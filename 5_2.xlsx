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_rels/sheet27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Финал" sheetId="1" state="visible" r:id="rId3"/>
    <sheet name="2 Полуфинал" sheetId="2" state="visible" r:id="rId4"/>
    <sheet name="1 Полуфинал" sheetId="3" state="visible" r:id="rId5"/>
    <sheet name="Статистика Полуфиналы Финал" sheetId="4" state="visible" r:id="rId6"/>
    <sheet name="Для графики" sheetId="5" state="visible" r:id="rId7"/>
    <sheet name="1 Серия" sheetId="6" state="visible" r:id="rId8"/>
    <sheet name="Лист10" sheetId="7" state="hidden" r:id="rId9"/>
    <sheet name="2 Серия" sheetId="8" state="visible" r:id="rId10"/>
    <sheet name="3 Серия" sheetId="9" state="visible" r:id="rId11"/>
    <sheet name="4 Серия" sheetId="10" state="visible" r:id="rId12"/>
    <sheet name="5 Серия" sheetId="11" state="visible" r:id="rId13"/>
    <sheet name="6 Серия" sheetId="12" state="visible" r:id="rId14"/>
    <sheet name="7 Серия" sheetId="13" state="visible" r:id="rId15"/>
    <sheet name="8 Серия" sheetId="14" state="visible" r:id="rId16"/>
    <sheet name="9 Серия" sheetId="15" state="visible" r:id="rId17"/>
    <sheet name="10 Серия" sheetId="16" state="visible" r:id="rId18"/>
    <sheet name="11 Серия" sheetId="17" state="visible" r:id="rId19"/>
    <sheet name="12 Серия" sheetId="18" state="visible" r:id="rId20"/>
    <sheet name="13 Серия" sheetId="19" state="visible" r:id="rId21"/>
    <sheet name="14 Серия" sheetId="20" state="visible" r:id="rId22"/>
    <sheet name="15 Серия" sheetId="21" state="visible" r:id="rId23"/>
    <sheet name="16 Серия" sheetId="22" state="visible" r:id="rId24"/>
    <sheet name="Полуфинал раб" sheetId="23" state="hidden" r:id="rId25"/>
    <sheet name="Лист3" sheetId="24" state="hidden" r:id="rId26"/>
    <sheet name="Статистика игроков" sheetId="25" state="visible" r:id="rId27"/>
    <sheet name="Все игры" sheetId="26" state="visible" r:id="rId28"/>
    <sheet name="Общая" sheetId="27" state="visible" r:id="rId29"/>
    <sheet name="Список участников" sheetId="28" state="visible" r:id="rId30"/>
    <sheet name="Состав Полуфиналов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<sst xmlns="http://schemas.openxmlformats.org/spreadsheetml/2006/main" count="4152" uniqueCount="306">
  <si>
    <t xml:space="preserve">Результаты Турнира "5 Элемент", 2 раунд. Финал (12-13.10.2024)</t>
  </si>
  <si>
    <t xml:space="preserve">Место</t>
  </si>
  <si>
    <t xml:space="preserve">Игровой ник</t>
  </si>
  <si>
    <t xml:space="preserve">Сумма баллов</t>
  </si>
  <si>
    <t xml:space="preserve">Количество побед</t>
  </si>
  <si>
    <t xml:space="preserve">Баллы за победу</t>
  </si>
  <si>
    <t xml:space="preserve">Доп. Баллы (с ЛХ и Ci)</t>
  </si>
  <si>
    <t xml:space="preserve">Игра 1</t>
  </si>
  <si>
    <t xml:space="preserve">Игра 2</t>
  </si>
  <si>
    <t xml:space="preserve">Игра 3</t>
  </si>
  <si>
    <t xml:space="preserve">Игра 4</t>
  </si>
  <si>
    <t xml:space="preserve">Игра 5</t>
  </si>
  <si>
    <t xml:space="preserve">Игра 6</t>
  </si>
  <si>
    <t xml:space="preserve">Игра 7</t>
  </si>
  <si>
    <t xml:space="preserve">Игра 8</t>
  </si>
  <si>
    <t xml:space="preserve">Игра 9</t>
  </si>
  <si>
    <t xml:space="preserve">Игра 10</t>
  </si>
  <si>
    <t xml:space="preserve">Игра 11</t>
  </si>
  <si>
    <t xml:space="preserve">Игра 12</t>
  </si>
  <si>
    <t xml:space="preserve">Игра 13</t>
  </si>
  <si>
    <t xml:space="preserve">Игра 14</t>
  </si>
  <si>
    <t xml:space="preserve">Дисциплинарный штраф</t>
  </si>
  <si>
    <t xml:space="preserve">Роль</t>
  </si>
  <si>
    <t xml:space="preserve">Баллы от ведущих</t>
  </si>
  <si>
    <t xml:space="preserve">Инфо</t>
  </si>
  <si>
    <t xml:space="preserve">ЛХ</t>
  </si>
  <si>
    <t xml:space="preserve">Ci</t>
  </si>
  <si>
    <t xml:space="preserve">Тихий Закат</t>
  </si>
  <si>
    <t xml:space="preserve">Мирный</t>
  </si>
  <si>
    <t xml:space="preserve">ПУ</t>
  </si>
  <si>
    <t xml:space="preserve">Шериф</t>
  </si>
  <si>
    <t xml:space="preserve">Мафия</t>
  </si>
  <si>
    <t xml:space="preserve">Чешир</t>
  </si>
  <si>
    <t xml:space="preserve">У/Проигрыш</t>
  </si>
  <si>
    <t xml:space="preserve">Дон</t>
  </si>
  <si>
    <t xml:space="preserve">Зверюга</t>
  </si>
  <si>
    <t xml:space="preserve">У/Победа</t>
  </si>
  <si>
    <t xml:space="preserve">Махинатор</t>
  </si>
  <si>
    <t xml:space="preserve">NME</t>
  </si>
  <si>
    <t xml:space="preserve">Curly</t>
  </si>
  <si>
    <t xml:space="preserve">Дракарис</t>
  </si>
  <si>
    <t xml:space="preserve">Никнейм</t>
  </si>
  <si>
    <t xml:space="preserve">UFO</t>
  </si>
  <si>
    <t xml:space="preserve">Наполеон</t>
  </si>
  <si>
    <t xml:space="preserve">Штраф</t>
  </si>
  <si>
    <t xml:space="preserve">56 мин</t>
  </si>
  <si>
    <t xml:space="preserve">60 мин</t>
  </si>
  <si>
    <t xml:space="preserve">48 мин</t>
  </si>
  <si>
    <t xml:space="preserve">55 мин</t>
  </si>
  <si>
    <t xml:space="preserve">47 мин</t>
  </si>
  <si>
    <t xml:space="preserve">Победа города в угадайке</t>
  </si>
  <si>
    <t xml:space="preserve">Победа мафии 1в1</t>
  </si>
  <si>
    <t xml:space="preserve">Победа мафии 2в2</t>
  </si>
  <si>
    <t xml:space="preserve">Победа города на круг при пятерых</t>
  </si>
  <si>
    <t xml:space="preserve">Победа мафии 3в3</t>
  </si>
  <si>
    <t xml:space="preserve">Сухая победа города</t>
  </si>
  <si>
    <t xml:space="preserve">Судья</t>
  </si>
  <si>
    <t xml:space="preserve">Yesterday</t>
  </si>
  <si>
    <t xml:space="preserve">Линейный</t>
  </si>
  <si>
    <t xml:space="preserve">BonAqua</t>
  </si>
  <si>
    <t xml:space="preserve">Игра</t>
  </si>
  <si>
    <t xml:space="preserve">Игровой Ник</t>
  </si>
  <si>
    <t xml:space="preserve">Вид штрафа</t>
  </si>
  <si>
    <t xml:space="preserve">Штрафной балл</t>
  </si>
  <si>
    <t xml:space="preserve">Удаление</t>
  </si>
  <si>
    <t xml:space="preserve">Желтая карточка</t>
  </si>
  <si>
    <t xml:space="preserve">Результаты Турнира "5 Элемент", 1 раунд. Второй Полуфинал (06.10.2024)</t>
  </si>
  <si>
    <t xml:space="preserve">Армен 24</t>
  </si>
  <si>
    <t xml:space="preserve">Мона</t>
  </si>
  <si>
    <t xml:space="preserve">Админ</t>
  </si>
  <si>
    <t xml:space="preserve">Луна</t>
  </si>
  <si>
    <t xml:space="preserve">Бастурма</t>
  </si>
  <si>
    <t xml:space="preserve">-</t>
  </si>
  <si>
    <t xml:space="preserve">Результаты Турнира "5 Элемент", 2 раунд. Первый Полуфинал (05.10.2024)</t>
  </si>
  <si>
    <t xml:space="preserve">Coach</t>
  </si>
  <si>
    <t xml:space="preserve">Still Rise</t>
  </si>
  <si>
    <t xml:space="preserve">Cristo</t>
  </si>
  <si>
    <t xml:space="preserve"> </t>
  </si>
  <si>
    <t xml:space="preserve">Арс</t>
  </si>
  <si>
    <t xml:space="preserve">Cherry Pick</t>
  </si>
  <si>
    <t xml:space="preserve">продолжительность 39 мин</t>
  </si>
  <si>
    <t xml:space="preserve">52 мин</t>
  </si>
  <si>
    <t xml:space="preserve">57 мин</t>
  </si>
  <si>
    <t xml:space="preserve">38 мин</t>
  </si>
  <si>
    <t xml:space="preserve">54 мин</t>
  </si>
  <si>
    <t xml:space="preserve">44 мин</t>
  </si>
  <si>
    <t xml:space="preserve">45 мин</t>
  </si>
  <si>
    <t xml:space="preserve">43 мин</t>
  </si>
  <si>
    <t xml:space="preserve">Победа города в угадайке при четверых</t>
  </si>
  <si>
    <t xml:space="preserve">Победа города на круг при шестерых</t>
  </si>
  <si>
    <t xml:space="preserve">Количество игр</t>
  </si>
  <si>
    <t xml:space="preserve">WINRATE ( % побед)</t>
  </si>
  <si>
    <t xml:space="preserve">Допы (без Ci и ЛХ)</t>
  </si>
  <si>
    <t xml:space="preserve">Средний доп (без Ci и ЛХ)</t>
  </si>
  <si>
    <t xml:space="preserve">1 ПОЛУФИНАЛ</t>
  </si>
  <si>
    <t xml:space="preserve">Игрок</t>
  </si>
  <si>
    <t xml:space="preserve">Кол-во игр</t>
  </si>
  <si>
    <t xml:space="preserve">ЛХ полный</t>
  </si>
  <si>
    <t xml:space="preserve">ЛХ двойка</t>
  </si>
  <si>
    <t xml:space="preserve">Killrate</t>
  </si>
  <si>
    <t xml:space="preserve">Победил в угадайке</t>
  </si>
  <si>
    <t xml:space="preserve">Проиграл в угадайке</t>
  </si>
  <si>
    <t xml:space="preserve">Все красные (М+Ш) игр</t>
  </si>
  <si>
    <t xml:space="preserve">Все черные (Д+М) игр</t>
  </si>
  <si>
    <t xml:space="preserve">Мафия Побед</t>
  </si>
  <si>
    <t xml:space="preserve">Мафия Проигрышей</t>
  </si>
  <si>
    <t xml:space="preserve">Шериф Побед</t>
  </si>
  <si>
    <t xml:space="preserve">Шериф Проигрышей</t>
  </si>
  <si>
    <t xml:space="preserve">Дон Побед</t>
  </si>
  <si>
    <t xml:space="preserve">Дон Проигрышей</t>
  </si>
  <si>
    <t xml:space="preserve">Мирный Побед</t>
  </si>
  <si>
    <t xml:space="preserve">Мирный Проигрышей</t>
  </si>
  <si>
    <t xml:space="preserve">WINRATE общий</t>
  </si>
  <si>
    <t xml:space="preserve">Все красные (М+Ш) % побед</t>
  </si>
  <si>
    <t xml:space="preserve">Все черные (Д+М) % побед</t>
  </si>
  <si>
    <t xml:space="preserve">Мафия: % Побед</t>
  </si>
  <si>
    <t xml:space="preserve">Шериф: % Побед</t>
  </si>
  <si>
    <t xml:space="preserve">Дон: % Побед</t>
  </si>
  <si>
    <t xml:space="preserve">Мирный: % Побед</t>
  </si>
  <si>
    <t xml:space="preserve">Всего: допы</t>
  </si>
  <si>
    <t xml:space="preserve">Мафия: допы</t>
  </si>
  <si>
    <t xml:space="preserve">Шериф: допы</t>
  </si>
  <si>
    <t xml:space="preserve">Дон: допы</t>
  </si>
  <si>
    <t xml:space="preserve">Мирный: допы</t>
  </si>
  <si>
    <t xml:space="preserve">Общий: ср.доп</t>
  </si>
  <si>
    <t xml:space="preserve">Мафия: ср. доп</t>
  </si>
  <si>
    <t xml:space="preserve">Шериф: ср.доп</t>
  </si>
  <si>
    <t xml:space="preserve">Дон: ср.доп</t>
  </si>
  <si>
    <t xml:space="preserve">Мирный: ср.доп</t>
  </si>
  <si>
    <t xml:space="preserve">2 ПОЛУФИНАЛ</t>
  </si>
  <si>
    <t xml:space="preserve">ФИНАЛ</t>
  </si>
  <si>
    <t xml:space="preserve">Место полуфинала</t>
  </si>
  <si>
    <t xml:space="preserve">Балл итоговый полуфинала</t>
  </si>
  <si>
    <t xml:space="preserve">Винрейт 100% полфинал</t>
  </si>
  <si>
    <t xml:space="preserve">лучшая карта полуфинала - мафия (50%)</t>
  </si>
  <si>
    <t xml:space="preserve">мафия (100%)</t>
  </si>
  <si>
    <t xml:space="preserve">Дон (100%)</t>
  </si>
  <si>
    <t xml:space="preserve">Шериф (100%)</t>
  </si>
  <si>
    <t xml:space="preserve">шериф, дон (100%)</t>
  </si>
  <si>
    <t xml:space="preserve">дон (100%)</t>
  </si>
  <si>
    <t xml:space="preserve">Мафия (100%)</t>
  </si>
  <si>
    <t xml:space="preserve">Шериф, мафия (67%)</t>
  </si>
  <si>
    <t xml:space="preserve">Мирный (67%)</t>
  </si>
  <si>
    <t xml:space="preserve">Ы</t>
  </si>
  <si>
    <t xml:space="preserve">Результаты отборочных серий Турнира "5 Элемент", 2 раунд. Серия №1</t>
  </si>
  <si>
    <t xml:space="preserve">Доп</t>
  </si>
  <si>
    <t xml:space="preserve">Хрум</t>
  </si>
  <si>
    <t xml:space="preserve">Хамилка</t>
  </si>
  <si>
    <t xml:space="preserve">SR</t>
  </si>
  <si>
    <t xml:space="preserve">Андерсен</t>
  </si>
  <si>
    <t xml:space="preserve">Ketamin</t>
  </si>
  <si>
    <t xml:space="preserve">Продолжительность игры: </t>
  </si>
  <si>
    <t xml:space="preserve">Продолжительность игры: 60</t>
  </si>
  <si>
    <t xml:space="preserve">Продолжительность игры: 55</t>
  </si>
  <si>
    <t xml:space="preserve">Продолжительность игры: 56</t>
  </si>
  <si>
    <t xml:space="preserve">У/Победа - победа игрока в угадайке</t>
  </si>
  <si>
    <t xml:space="preserve">У/Проигрыш - проигрыш игрока в угадайке</t>
  </si>
  <si>
    <t xml:space="preserve">Результаты отборочных серий Турнира "5 Элемент", 2 раунд. Серия №2</t>
  </si>
  <si>
    <t xml:space="preserve">Левша</t>
  </si>
  <si>
    <t xml:space="preserve">Love</t>
  </si>
  <si>
    <t xml:space="preserve">Хантер</t>
  </si>
  <si>
    <t xml:space="preserve">Лунатик</t>
  </si>
  <si>
    <t xml:space="preserve">Bogrolla</t>
  </si>
  <si>
    <t xml:space="preserve">Результаты отборочных серий Турнира "5 Элемент", 2 раунд. Серия №3</t>
  </si>
  <si>
    <t xml:space="preserve">Оскар</t>
  </si>
  <si>
    <t xml:space="preserve">Сахарочек</t>
  </si>
  <si>
    <t xml:space="preserve">Домовенок</t>
  </si>
  <si>
    <t xml:space="preserve">Результаты отборочных серий Турнира "5 Элемент", 2 раунд. Серия №4</t>
  </si>
  <si>
    <t xml:space="preserve">Лео</t>
  </si>
  <si>
    <t xml:space="preserve">Sirena</t>
  </si>
  <si>
    <t xml:space="preserve">Правда</t>
  </si>
  <si>
    <t xml:space="preserve">Дантес</t>
  </si>
  <si>
    <t xml:space="preserve">Суета</t>
  </si>
  <si>
    <t xml:space="preserve">Рыжая</t>
  </si>
  <si>
    <t xml:space="preserve">Король Лев</t>
  </si>
  <si>
    <t xml:space="preserve">Результаты отборочных серий Турнира "5 Элемент", 2 раунд. Серия №5</t>
  </si>
  <si>
    <t xml:space="preserve">Schokk</t>
  </si>
  <si>
    <t xml:space="preserve">Писатель</t>
  </si>
  <si>
    <t xml:space="preserve">Бестия</t>
  </si>
  <si>
    <t xml:space="preserve">Bublik</t>
  </si>
  <si>
    <t xml:space="preserve">СЧ</t>
  </si>
  <si>
    <t xml:space="preserve">Результаты отборочных серий Турнира "5 Элемент", 2 раунд. Серия №6</t>
  </si>
  <si>
    <t xml:space="preserve">Still Rise </t>
  </si>
  <si>
    <t xml:space="preserve">Физик</t>
  </si>
  <si>
    <t xml:space="preserve">Jazz</t>
  </si>
  <si>
    <t xml:space="preserve">Продюсер</t>
  </si>
  <si>
    <t xml:space="preserve">Хлоя</t>
  </si>
  <si>
    <t xml:space="preserve">Результаты отборочных серий Турнира "5 Элемент", 2 раунд. Серия №7</t>
  </si>
  <si>
    <t xml:space="preserve">Путедьют</t>
  </si>
  <si>
    <t xml:space="preserve">Юрия</t>
  </si>
  <si>
    <t xml:space="preserve">Шоу Бой</t>
  </si>
  <si>
    <t xml:space="preserve">Natsy</t>
  </si>
  <si>
    <t xml:space="preserve">Нелли</t>
  </si>
  <si>
    <t xml:space="preserve">Донателло</t>
  </si>
  <si>
    <t xml:space="preserve">Америка</t>
  </si>
  <si>
    <t xml:space="preserve">Результаты отборочных серий Турнира "5 Элемент", 2 раунд. Серия №8</t>
  </si>
  <si>
    <t xml:space="preserve">2 игра</t>
  </si>
  <si>
    <t xml:space="preserve">Teslex</t>
  </si>
  <si>
    <t xml:space="preserve">Шпиц</t>
  </si>
  <si>
    <t xml:space="preserve">Afer1st</t>
  </si>
  <si>
    <t xml:space="preserve">Cherry pick</t>
  </si>
  <si>
    <t xml:space="preserve">53 мин</t>
  </si>
  <si>
    <t xml:space="preserve">Результаты отборочных серий Турнира "5 Элемент", 2 раунд. Серия №9</t>
  </si>
  <si>
    <t xml:space="preserve">Stacy</t>
  </si>
  <si>
    <t xml:space="preserve">Мишель</t>
  </si>
  <si>
    <t xml:space="preserve">Результаты отборочных серий Турнира "5 Элемент", 2 раунд. Серия №10</t>
  </si>
  <si>
    <t xml:space="preserve">Букля</t>
  </si>
  <si>
    <t xml:space="preserve">Спирит</t>
  </si>
  <si>
    <t xml:space="preserve">Домовой</t>
  </si>
  <si>
    <t xml:space="preserve">56:00:00.000</t>
  </si>
  <si>
    <t xml:space="preserve">Результаты отборочных серий Турнира "5 Элемент", 2 раунд. Серия №11</t>
  </si>
  <si>
    <t xml:space="preserve">Sr</t>
  </si>
  <si>
    <t xml:space="preserve">время: 53 мин</t>
  </si>
  <si>
    <t xml:space="preserve">время: 41 мин</t>
  </si>
  <si>
    <t xml:space="preserve">время: 43 мин</t>
  </si>
  <si>
    <t xml:space="preserve">время: 55 мин</t>
  </si>
  <si>
    <t xml:space="preserve">Результаты отборочных серий Турнира "5 Элемент", 2 раунд. Серия №12</t>
  </si>
  <si>
    <t xml:space="preserve">Круэлла</t>
  </si>
  <si>
    <t xml:space="preserve">Результаты отборочных серий Турнира "5 Элемент", 2 раунд. Серия №13</t>
  </si>
  <si>
    <t xml:space="preserve">Алкарис</t>
  </si>
  <si>
    <t xml:space="preserve">Крестный отец </t>
  </si>
  <si>
    <t xml:space="preserve">Слепой Часовщик</t>
  </si>
  <si>
    <t xml:space="preserve">Красавчик</t>
  </si>
  <si>
    <t xml:space="preserve">SEO</t>
  </si>
  <si>
    <t xml:space="preserve">Juventini</t>
  </si>
  <si>
    <t xml:space="preserve">Венеция</t>
  </si>
  <si>
    <t xml:space="preserve">Castor Troy </t>
  </si>
  <si>
    <t xml:space="preserve">Дисциплинарный</t>
  </si>
  <si>
    <t xml:space="preserve">Результаты отборочных серий Турнира "5 Элемент", 2 раунд. Серия №14</t>
  </si>
  <si>
    <t xml:space="preserve">Infinity </t>
  </si>
  <si>
    <t xml:space="preserve">Оладушек</t>
  </si>
  <si>
    <t xml:space="preserve">РПродолжительность игры: 48.27</t>
  </si>
  <si>
    <t xml:space="preserve">Продолжительность игры: 45.39</t>
  </si>
  <si>
    <t xml:space="preserve">Продолжительность игры: 40.00</t>
  </si>
  <si>
    <t xml:space="preserve">Продолжительность игры: 59.00</t>
  </si>
  <si>
    <t xml:space="preserve">Продолжительность игры: 46.06</t>
  </si>
  <si>
    <t xml:space="preserve">Продолжительность игры: 37.13</t>
  </si>
  <si>
    <t xml:space="preserve">Продолжительность игры: 49.12</t>
  </si>
  <si>
    <t xml:space="preserve">Результаты отборочных серий Турнира "5 Элемент", 2 раунд. Серия №15</t>
  </si>
  <si>
    <t xml:space="preserve">Infinity</t>
  </si>
  <si>
    <t xml:space="preserve">Параселена</t>
  </si>
  <si>
    <t xml:space="preserve">БМ</t>
  </si>
  <si>
    <t xml:space="preserve">62 мин</t>
  </si>
  <si>
    <t xml:space="preserve">40 мин</t>
  </si>
  <si>
    <t xml:space="preserve">46 мин</t>
  </si>
  <si>
    <t xml:space="preserve">Результаты отборочных серий Турнира "5 Элемент", 2 раунд. Серия №16</t>
  </si>
  <si>
    <t xml:space="preserve">Домовенок </t>
  </si>
  <si>
    <t xml:space="preserve">Tardis</t>
  </si>
  <si>
    <t xml:space="preserve">В первой игре играла Грибочки, поэтому 0 в этой игре</t>
  </si>
  <si>
    <t xml:space="preserve">Состав полуфиналов Турнира "5 Элемент", 1 раунд</t>
  </si>
  <si>
    <t xml:space="preserve">Серия</t>
  </si>
  <si>
    <t xml:space="preserve">Игроки, занявшие 2 место в своих сериях</t>
  </si>
  <si>
    <t xml:space="preserve">1 серия</t>
  </si>
  <si>
    <t xml:space="preserve">2 серия</t>
  </si>
  <si>
    <t xml:space="preserve">3 серия</t>
  </si>
  <si>
    <t xml:space="preserve">4 серия</t>
  </si>
  <si>
    <t xml:space="preserve">5 серия</t>
  </si>
  <si>
    <t xml:space="preserve">6 серия</t>
  </si>
  <si>
    <t xml:space="preserve">7 серия</t>
  </si>
  <si>
    <t xml:space="preserve">8 серия</t>
  </si>
  <si>
    <t xml:space="preserve">9 серия</t>
  </si>
  <si>
    <t xml:space="preserve">10 серия</t>
  </si>
  <si>
    <t xml:space="preserve">11 серия</t>
  </si>
  <si>
    <t xml:space="preserve">12 серия</t>
  </si>
  <si>
    <t xml:space="preserve">13 серия</t>
  </si>
  <si>
    <t xml:space="preserve">14 серия</t>
  </si>
  <si>
    <t xml:space="preserve">15 серия</t>
  </si>
  <si>
    <t xml:space="preserve">16 серия</t>
  </si>
  <si>
    <t xml:space="preserve">2 места за серию</t>
  </si>
  <si>
    <t xml:space="preserve">Castor Troy</t>
  </si>
  <si>
    <t xml:space="preserve">Stacy </t>
  </si>
  <si>
    <t xml:space="preserve">Helga</t>
  </si>
  <si>
    <t xml:space="preserve">ОБЩЕЕ КОЛИЧЕСТВО ИГР</t>
  </si>
  <si>
    <t xml:space="preserve">1 Игра</t>
  </si>
  <si>
    <t xml:space="preserve">3 игра</t>
  </si>
  <si>
    <t xml:space="preserve">4 игра</t>
  </si>
  <si>
    <t xml:space="preserve">5 игра</t>
  </si>
  <si>
    <t xml:space="preserve">6 игра</t>
  </si>
  <si>
    <t xml:space="preserve">7 игра</t>
  </si>
  <si>
    <t xml:space="preserve">Победы красные</t>
  </si>
  <si>
    <t xml:space="preserve">1 полуфионал</t>
  </si>
  <si>
    <t xml:space="preserve">2полуфионал</t>
  </si>
  <si>
    <t xml:space="preserve">Финал</t>
  </si>
  <si>
    <t xml:space="preserve">Победы черные</t>
  </si>
  <si>
    <t xml:space="preserve">Всего игр</t>
  </si>
  <si>
    <t xml:space="preserve">Победа мафии 3х3</t>
  </si>
  <si>
    <t xml:space="preserve">Победа города (ППК)</t>
  </si>
  <si>
    <t xml:space="preserve">Победа мафии 2х2</t>
  </si>
  <si>
    <t xml:space="preserve">Победа мафии 1х1</t>
  </si>
  <si>
    <t xml:space="preserve">Победа города сухая</t>
  </si>
  <si>
    <t xml:space="preserve">Победа мафии 1в1 (ППК)</t>
  </si>
  <si>
    <t xml:space="preserve">Победа города в угадайка</t>
  </si>
  <si>
    <t xml:space="preserve">Победа города на круг при девятерых</t>
  </si>
  <si>
    <t xml:space="preserve">Победа мафии 2в2 (ППК)</t>
  </si>
  <si>
    <t xml:space="preserve">Победа мафии 3в3 (ППК)</t>
  </si>
  <si>
    <t xml:space="preserve">Победа мафии (ППК)</t>
  </si>
  <si>
    <t xml:space="preserve">16 ОТБОРОЧНЫХ СЕРИЙ</t>
  </si>
  <si>
    <t xml:space="preserve">ВСЕГО ЗА РАУНД</t>
  </si>
  <si>
    <t xml:space="preserve">Всего сыграно игр</t>
  </si>
  <si>
    <t xml:space="preserve">1 игра</t>
  </si>
  <si>
    <t xml:space="preserve">Победа красные</t>
  </si>
  <si>
    <t xml:space="preserve">Победа черные</t>
  </si>
  <si>
    <t xml:space="preserve">Имя игрока</t>
  </si>
  <si>
    <t xml:space="preserve">Количество серий</t>
  </si>
  <si>
    <t xml:space="preserve">Состав полуфиналов Турнира "5 Элемент", 2 раунд</t>
  </si>
  <si>
    <t xml:space="preserve">Игроки, занявшие в своих сериях 2 место и далее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</si>
</sst>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[h]:mm:ss"/>
    <numFmt numFmtId="168" formatCode="0.00"/>
    <numFmt numFmtId="169" formatCode="General"/>
    <numFmt numFmtId="170" formatCode="0%"/>
    <numFmt numFmtId="171" formatCode="0"/>
  </numFmts>
  <fonts count="44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  <font>
      <b val="true"/>
      <sz val="21"/>
      <color rgb="FF1F1F1F"/>
      <name val="Times New Roman"/>
      <family val="0"/>
      <charset val="1"/>
    </font>
    <font>
      <b val="true"/>
      <sz val="12"/>
      <color rgb="FFFFFFFF"/>
      <name val="&quot;Times New Roman&quot;"/>
      <family val="0"/>
      <charset val="1"/>
    </font>
    <font>
      <b val="true"/>
      <sz val="12"/>
      <color rgb="FF000000"/>
      <name val="&quot;Times New Roman&quot;"/>
      <family val="0"/>
      <charset val="1"/>
    </font>
    <font>
      <b val="true"/>
      <sz val="12"/>
      <color theme="1"/>
      <name val="&quot;Times New Roman&quot;"/>
      <family val="0"/>
      <charset val="1"/>
    </font>
    <font>
      <sz val="12"/>
      <color rgb="FFFFFFFF"/>
      <name val="&quot;Times New Roman&quot;"/>
      <family val="0"/>
      <charset val="1"/>
    </font>
    <font>
      <b val="true"/>
      <sz val="16"/>
      <color theme="1"/>
      <name val="&quot;Times New Roman&quot;"/>
      <family val="0"/>
      <charset val="1"/>
    </font>
    <font>
      <sz val="14"/>
      <color theme="1"/>
      <name val="&quot;Times New Roman&quot;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&quot;Times New Roman&quot;"/>
      <family val="0"/>
      <charset val="1"/>
    </font>
    <font>
      <b val="true"/>
      <sz val="11"/>
      <color theme="1"/>
      <name val="&quot;Times New Roman&quot;"/>
      <family val="0"/>
      <charset val="1"/>
    </font>
    <font>
      <sz val="9"/>
      <color rgb="FFFFFFFF"/>
      <name val="&quot;Times New Roman&quot;"/>
      <family val="0"/>
      <charset val="1"/>
    </font>
    <font>
      <sz val="13"/>
      <color theme="1"/>
      <name val="&quot;Times New Roman&quot;"/>
      <family val="0"/>
      <charset val="1"/>
    </font>
    <font>
      <sz val="10"/>
      <color rgb="FFFFFFFF"/>
      <name val="&quot;Times New Roman&quot;"/>
      <family val="0"/>
      <charset val="1"/>
    </font>
    <font>
      <sz val="10"/>
      <color theme="1"/>
      <name val="&quot;Times New Roman&quot;"/>
      <family val="0"/>
      <charset val="1"/>
    </font>
    <font>
      <sz val="9"/>
      <color rgb="FF000000"/>
      <name val="&quot;Google Sans Mono&quot;"/>
      <family val="0"/>
      <charset val="1"/>
    </font>
    <font>
      <b val="true"/>
      <sz val="27"/>
      <color theme="1"/>
      <name val="&quot;Times New Roman&quot;"/>
      <family val="0"/>
      <charset val="1"/>
    </font>
    <font>
      <b val="true"/>
      <sz val="19"/>
      <color theme="1"/>
      <name val="&quot;Times New Roman&quot;"/>
      <family val="0"/>
      <charset val="1"/>
    </font>
    <font>
      <b val="true"/>
      <sz val="22"/>
      <color theme="1"/>
      <name val="&quot;Times New Roman&quot;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&quot;Times New Roman&quot;"/>
      <family val="0"/>
      <charset val="1"/>
    </font>
    <font>
      <b val="true"/>
      <sz val="21"/>
      <color rgb="FF1F1F1F"/>
      <name val="&quot;Times New Roman&quot;"/>
      <family val="0"/>
      <charset val="1"/>
    </font>
    <font>
      <b val="true"/>
      <sz val="13"/>
      <color theme="1"/>
      <name val="&quot;Times New Roman&quot;"/>
      <family val="0"/>
      <charset val="1"/>
    </font>
    <font>
      <b val="true"/>
      <sz val="12"/>
      <color theme="1"/>
      <name val="Arial"/>
      <family val="0"/>
      <charset val="1"/>
    </font>
    <font>
      <sz val="11"/>
      <color rgb="FF1F1F1F"/>
      <name val="&quot;Google Sans&quot;"/>
      <family val="0"/>
      <charset val="1"/>
    </font>
    <font>
      <sz val="9"/>
      <color theme="1"/>
      <name val="Arial"/>
      <family val="0"/>
      <charset val="1"/>
    </font>
    <font>
      <b val="true"/>
      <sz val="10"/>
      <color theme="1"/>
      <name val="&quot;Times New Roman&quot;"/>
      <family val="0"/>
      <charset val="1"/>
    </font>
    <font>
      <sz val="9"/>
      <color rgb="FF1F1F1F"/>
      <name val="&quot;Google Sans&quot;"/>
      <family val="0"/>
      <charset val="1"/>
    </font>
    <font>
      <b val="true"/>
      <sz val="13"/>
      <color theme="1"/>
      <name val="Arial"/>
      <family val="0"/>
      <charset val="1"/>
    </font>
    <font>
      <sz val="13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8"/>
      <color rgb="FF757575"/>
      <name val="Arial"/>
      <family val="2"/>
    </font>
    <font>
      <sz val="10"/>
      <color rgb="FF1A1A1A"/>
      <name val="Arial"/>
      <family val="2"/>
    </font>
    <font>
      <b val="true"/>
      <sz val="13"/>
      <color theme="0"/>
      <name val="&quot;Times New Roman&quot;"/>
      <family val="0"/>
      <charset val="1"/>
    </font>
    <font>
      <b val="true"/>
      <sz val="13"/>
      <color rgb="FFFFFFFF"/>
      <name val="&quot;Times New Roman&quot;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EFEFEF"/>
        <bgColor rgb="FFF3F3F3"/>
      </patternFill>
    </fill>
    <fill>
      <patternFill patternType="solid">
        <fgColor rgb="FF000000"/>
        <bgColor rgb="FF1A1A1A"/>
      </patternFill>
    </fill>
    <fill>
      <patternFill patternType="solid">
        <fgColor rgb="FF8E7CC3"/>
        <bgColor rgb="FF999999"/>
      </patternFill>
    </fill>
    <fill>
      <patternFill patternType="solid">
        <fgColor rgb="FFB4A7D6"/>
        <bgColor rgb="FFADB9CA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EEF9F4"/>
      </patternFill>
    </fill>
    <fill>
      <patternFill patternType="solid">
        <fgColor rgb="FF351C75"/>
        <bgColor rgb="FF1F1F1F"/>
      </patternFill>
    </fill>
    <fill>
      <patternFill patternType="solid">
        <fgColor rgb="FFF1C232"/>
        <bgColor rgb="FFFFC000"/>
      </patternFill>
    </fill>
    <fill>
      <patternFill patternType="solid">
        <fgColor rgb="FF999999"/>
        <bgColor rgb="FF8E7CC3"/>
      </patternFill>
    </fill>
    <fill>
      <patternFill patternType="solid">
        <fgColor rgb="FF00FF00"/>
        <bgColor rgb="FF00B050"/>
      </patternFill>
    </fill>
    <fill>
      <patternFill patternType="solid">
        <fgColor rgb="FFF3F3F3"/>
        <bgColor rgb="FFEFEFEF"/>
      </patternFill>
    </fill>
    <fill>
      <patternFill patternType="solid">
        <fgColor rgb="FFD9D9D9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EEF9F4"/>
        <bgColor rgb="FFF3F3F3"/>
      </patternFill>
    </fill>
    <fill>
      <patternFill patternType="solid">
        <fgColor rgb="FFC9DAF8"/>
        <bgColor rgb="FFCFE2F3"/>
      </patternFill>
    </fill>
    <fill>
      <patternFill patternType="solid">
        <fgColor rgb="FFFFF2CC"/>
        <bgColor rgb="FFF3F3F3"/>
      </patternFill>
    </fill>
    <fill>
      <patternFill patternType="solid">
        <fgColor rgb="FFB7B7B7"/>
        <bgColor rgb="FFADB9CA"/>
      </patternFill>
    </fill>
    <fill>
      <patternFill patternType="solid">
        <fgColor rgb="FF8B3DDC"/>
        <bgColor rgb="FF993366"/>
      </patternFill>
    </fill>
    <fill>
      <patternFill patternType="solid">
        <fgColor rgb="FFADB9CA"/>
        <bgColor rgb="FFB7B7B7"/>
      </patternFill>
    </fill>
    <fill>
      <patternFill patternType="solid">
        <fgColor rgb="FFEA4335"/>
        <bgColor rgb="FF993366"/>
      </patternFill>
    </fill>
    <fill>
      <patternFill patternType="solid">
        <fgColor rgb="FFFFC000"/>
        <bgColor rgb="FFF1C232"/>
      </patternFill>
    </fill>
    <fill>
      <patternFill patternType="solid">
        <fgColor rgb="FF00B050"/>
        <bgColor rgb="FF008080"/>
      </patternFill>
    </fill>
    <fill>
      <patternFill patternType="solid">
        <fgColor rgb="FFB6D7A8"/>
        <bgColor rgb="FFCCCCCC"/>
      </patternFill>
    </fill>
    <fill>
      <patternFill patternType="solid">
        <fgColor rgb="FFD9EAD3"/>
        <bgColor rgb="FFD9D9D9"/>
      </patternFill>
    </fill>
    <fill>
      <patternFill patternType="solid">
        <fgColor rgb="FFFFFF00"/>
        <bgColor rgb="FFFFC000"/>
      </patternFill>
    </fill>
    <fill>
      <patternFill patternType="solid">
        <fgColor rgb="FFCCCCCC"/>
        <bgColor rgb="FFD9D9D9"/>
      </patternFill>
    </fill>
  </fills>
  <borders count="55">
    <border diagonalUp="false" diagonalDown="false">
      <left/>
      <right/>
      <top/>
      <bottom/>
      <diagonal/>
    </border>
    <border diagonalUp="false" diagonalDown="false">
      <left/>
      <right style="thin">
        <color rgb="FFEFEFEF"/>
      </right>
      <top/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 diagonalUp="false" diagonalDown="false">
      <left style="thin">
        <color rgb="FFEFEFEF"/>
      </left>
      <right/>
      <top/>
      <bottom style="thin">
        <color rgb="FFEFEFEF"/>
      </bottom>
      <diagonal/>
    </border>
    <border diagonalUp="false" diagonalDown="false">
      <left/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EFEF"/>
      </left>
      <right/>
      <top style="thin">
        <color rgb="FFEFEFEF"/>
      </top>
      <bottom style="thin">
        <color rgb="FFEFEFEF"/>
      </bottom>
      <diagonal/>
    </border>
    <border diagonalUp="false" diagonalDown="false">
      <left/>
      <right style="thin">
        <color rgb="FFEFEFEF"/>
      </right>
      <top style="thin">
        <color rgb="FFEFEFEF"/>
      </top>
      <bottom style="medium"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medium"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>
        <color rgb="FFEFEFEF"/>
      </right>
      <top style="thin">
        <color rgb="FFEFEFEF"/>
      </top>
      <bottom/>
      <diagonal/>
    </border>
    <border diagonalUp="false" diagonalDown="false">
      <left style="thin">
        <color rgb="FFEFEFEF"/>
      </left>
      <right/>
      <top style="thin">
        <color rgb="FFEFEFEF"/>
      </top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medium">
        <color rgb="FFEFEFEF"/>
      </right>
      <top/>
      <bottom style="medium">
        <color rgb="FFEFEFEF"/>
      </bottom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7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7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11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8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2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3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0" borderId="3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6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3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8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9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21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7" fillId="8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6" fillId="9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7" fillId="3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6" fillId="21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6" fillId="21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4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4" fillId="1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22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23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4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4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5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5" borderId="4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5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5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12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3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2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23" borderId="5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2" borderId="5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22" borderId="3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9" borderId="5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3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4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6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9" fillId="3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27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26" fillId="27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3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19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3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1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8E7CC3"/>
      <rgbColor rgb="FF8B3DDC"/>
      <rgbColor rgb="FFFFF2CC"/>
      <rgbColor rgb="FFEEF9F4"/>
      <rgbColor rgb="FF660066"/>
      <rgbColor rgb="FFFF8080"/>
      <rgbColor rgb="FF0066CC"/>
      <rgbColor rgb="FFC9DAF8"/>
      <rgbColor rgb="FF000080"/>
      <rgbColor rgb="FFFF00FF"/>
      <rgbColor rgb="FFEFEFEF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3F3F3"/>
      <rgbColor rgb="FFADB9CA"/>
      <rgbColor rgb="FFCCCCCC"/>
      <rgbColor rgb="FFB4A7D6"/>
      <rgbColor rgb="FFD9D9D9"/>
      <rgbColor rgb="FF4285F4"/>
      <rgbColor rgb="FF33CCCC"/>
      <rgbColor rgb="FFB6D7A8"/>
      <rgbColor rgb="FFFFC000"/>
      <rgbColor rgb="FFF1C232"/>
      <rgbColor rgb="FFEA4335"/>
      <rgbColor rgb="FF666699"/>
      <rgbColor rgb="FF999999"/>
      <rgbColor rgb="FF003366"/>
      <rgbColor rgb="FF00B050"/>
      <rgbColor rgb="FF003300"/>
      <rgbColor rgb="FF1A1A1A"/>
      <rgbColor rgb="FF993300"/>
      <rgbColor rgb="FF993366"/>
      <rgbColor rgb="FF351C7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Процент побед во всех играх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a43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'Все игры'!$I$2:$I$3</c:f>
              <c:strCache>
                <c:ptCount val="2"/>
                <c:pt idx="0">
                  <c:v>Победы красные</c:v>
                </c:pt>
                <c:pt idx="1">
                  <c:v>Победы черные</c:v>
                </c:pt>
              </c:strCache>
            </c:strRef>
          </c:cat>
          <c:val>
            <c:numRef>
              <c:f>'Все игры'!$K$2:$K$3</c:f>
              <c:numCache>
                <c:formatCode>General</c:formatCode>
                <c:ptCount val="2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Процент побед во всех играх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a43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'Все игры'!$I$2:$I$3</c:f>
              <c:strCache>
                <c:ptCount val="2"/>
                <c:pt idx="0">
                  <c:v>Победы красные</c:v>
                </c:pt>
                <c:pt idx="1">
                  <c:v>Победы черные</c:v>
                </c:pt>
              </c:strCache>
            </c:strRef>
          </c:cat>
          <c:val>
            <c:numRef>
              <c:f>Общая!$I$3:$I$4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104760</xdr:rowOff>
    </xdr:from>
    <xdr:to>
      <xdr:col>3</xdr:col>
      <xdr:colOff>228240</xdr:colOff>
      <xdr:row>16</xdr:row>
      <xdr:rowOff>94680</xdr:rowOff>
    </xdr:to>
    <xdr:graphicFrame>
      <xdr:nvGraphicFramePr>
        <xdr:cNvPr id="0" name="Chart 1"/>
        <xdr:cNvGraphicFramePr/>
      </xdr:nvGraphicFramePr>
      <xdr:xfrm>
        <a:off x="0" y="1104840"/>
        <a:ext cx="3533400" cy="219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101880</xdr:colOff>
      <xdr:row>5</xdr:row>
      <xdr:rowOff>171360</xdr:rowOff>
    </xdr:from>
    <xdr:to>
      <xdr:col>10</xdr:col>
      <xdr:colOff>207000</xdr:colOff>
      <xdr:row>16</xdr:row>
      <xdr:rowOff>161280</xdr:rowOff>
    </xdr:to>
    <xdr:graphicFrame>
      <xdr:nvGraphicFramePr>
        <xdr:cNvPr id="1" name="Chart 2"/>
        <xdr:cNvGraphicFramePr/>
      </xdr:nvGraphicFramePr>
      <xdr:xfrm>
        <a:off x="7346520" y="1171440"/>
        <a:ext cx="3533400" cy="219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19.51"/>
    <col collapsed="false" customWidth="true" hidden="false" outlineLevel="0" max="4" min="4" style="0" width="12.38"/>
    <col collapsed="false" customWidth="true" hidden="false" outlineLevel="0" max="10" min="7" style="0" width="10.13"/>
    <col collapsed="false" customWidth="true" hidden="false" outlineLevel="0" max="12" min="11" style="0" width="6.38"/>
    <col collapsed="false" customWidth="true" hidden="false" outlineLevel="0" max="16" min="13" style="0" width="10.13"/>
    <col collapsed="false" customWidth="true" hidden="false" outlineLevel="0" max="18" min="17" style="0" width="6.38"/>
    <col collapsed="false" customWidth="true" hidden="false" outlineLevel="0" max="22" min="19" style="0" width="10.13"/>
    <col collapsed="false" customWidth="true" hidden="false" outlineLevel="0" max="24" min="23" style="0" width="6.38"/>
    <col collapsed="false" customWidth="true" hidden="false" outlineLevel="0" max="28" min="25" style="0" width="10.13"/>
    <col collapsed="false" customWidth="true" hidden="false" outlineLevel="0" max="30" min="29" style="0" width="6.38"/>
    <col collapsed="false" customWidth="true" hidden="false" outlineLevel="0" max="34" min="31" style="0" width="10.13"/>
    <col collapsed="false" customWidth="true" hidden="false" outlineLevel="0" max="36" min="35" style="0" width="6.38"/>
    <col collapsed="false" customWidth="true" hidden="false" outlineLevel="0" max="40" min="37" style="0" width="10.13"/>
    <col collapsed="false" customWidth="true" hidden="false" outlineLevel="0" max="42" min="41" style="0" width="6.38"/>
    <col collapsed="false" customWidth="true" hidden="false" outlineLevel="0" max="46" min="43" style="0" width="10.13"/>
    <col collapsed="false" customWidth="true" hidden="false" outlineLevel="0" max="48" min="47" style="0" width="6.38"/>
    <col collapsed="false" customWidth="true" hidden="false" outlineLevel="0" max="52" min="49" style="0" width="10.13"/>
    <col collapsed="false" customWidth="true" hidden="false" outlineLevel="0" max="54" min="53" style="0" width="6.38"/>
    <col collapsed="false" customWidth="true" hidden="false" outlineLevel="0" max="58" min="55" style="0" width="10.13"/>
    <col collapsed="false" customWidth="true" hidden="false" outlineLevel="0" max="60" min="59" style="0" width="6.38"/>
    <col collapsed="false" customWidth="true" hidden="false" outlineLevel="0" max="64" min="61" style="0" width="10.13"/>
    <col collapsed="false" customWidth="true" hidden="false" outlineLevel="0" max="66" min="65" style="0" width="6.38"/>
    <col collapsed="false" customWidth="true" hidden="false" outlineLevel="0" max="70" min="67" style="0" width="10.13"/>
    <col collapsed="false" customWidth="true" hidden="false" outlineLevel="0" max="72" min="71" style="0" width="6.38"/>
    <col collapsed="false" customWidth="true" hidden="false" outlineLevel="0" max="76" min="73" style="0" width="10.13"/>
    <col collapsed="false" customWidth="true" hidden="false" outlineLevel="0" max="78" min="77" style="0" width="6.38"/>
    <col collapsed="false" customWidth="true" hidden="false" outlineLevel="0" max="82" min="79" style="0" width="10.13"/>
    <col collapsed="false" customWidth="true" hidden="false" outlineLevel="0" max="84" min="83" style="0" width="6.38"/>
    <col collapsed="false" customWidth="true" hidden="false" outlineLevel="0" max="88" min="85" style="0" width="10.13"/>
    <col collapsed="false" customWidth="true" hidden="false" outlineLevel="0" max="90" min="89" style="0" width="6.38"/>
    <col collapsed="false" customWidth="true" hidden="false" outlineLevel="0" max="91" min="91" style="0" width="19.51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3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</row>
    <row r="2" customFormat="false" ht="15.75" hidden="false" customHeight="false" outlineLevel="0" collapsed="false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7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9"/>
      <c r="CB3" s="9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9"/>
      <c r="CN3" s="7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7" t="s">
        <v>14</v>
      </c>
      <c r="AX4" s="17"/>
      <c r="AY4" s="17"/>
      <c r="AZ4" s="17"/>
      <c r="BA4" s="17"/>
      <c r="BB4" s="17"/>
      <c r="BC4" s="17" t="s">
        <v>15</v>
      </c>
      <c r="BD4" s="17"/>
      <c r="BE4" s="17"/>
      <c r="BF4" s="17"/>
      <c r="BG4" s="17"/>
      <c r="BH4" s="17"/>
      <c r="BI4" s="17" t="s">
        <v>16</v>
      </c>
      <c r="BJ4" s="17"/>
      <c r="BK4" s="17"/>
      <c r="BL4" s="17"/>
      <c r="BM4" s="17"/>
      <c r="BN4" s="17"/>
      <c r="BO4" s="17" t="s">
        <v>17</v>
      </c>
      <c r="BP4" s="17"/>
      <c r="BQ4" s="17"/>
      <c r="BR4" s="17"/>
      <c r="BS4" s="17"/>
      <c r="BT4" s="17"/>
      <c r="BU4" s="17" t="s">
        <v>18</v>
      </c>
      <c r="BV4" s="17"/>
      <c r="BW4" s="17"/>
      <c r="BX4" s="17"/>
      <c r="BY4" s="17"/>
      <c r="BZ4" s="17"/>
      <c r="CA4" s="17" t="s">
        <v>19</v>
      </c>
      <c r="CB4" s="17"/>
      <c r="CC4" s="17"/>
      <c r="CD4" s="17"/>
      <c r="CE4" s="17"/>
      <c r="CF4" s="17"/>
      <c r="CG4" s="17" t="s">
        <v>20</v>
      </c>
      <c r="CH4" s="17"/>
      <c r="CI4" s="17"/>
      <c r="CJ4" s="17"/>
      <c r="CK4" s="17"/>
      <c r="CL4" s="17"/>
      <c r="CM4" s="18" t="s">
        <v>21</v>
      </c>
      <c r="CN4" s="19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24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24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22" t="s">
        <v>22</v>
      </c>
      <c r="AX5" s="22" t="s">
        <v>5</v>
      </c>
      <c r="AY5" s="22" t="s">
        <v>23</v>
      </c>
      <c r="AZ5" s="22" t="s">
        <v>24</v>
      </c>
      <c r="BA5" s="22" t="s">
        <v>25</v>
      </c>
      <c r="BB5" s="23" t="s">
        <v>26</v>
      </c>
      <c r="BC5" s="22" t="s">
        <v>22</v>
      </c>
      <c r="BD5" s="22" t="s">
        <v>5</v>
      </c>
      <c r="BE5" s="22" t="s">
        <v>23</v>
      </c>
      <c r="BF5" s="22" t="s">
        <v>24</v>
      </c>
      <c r="BG5" s="22" t="s">
        <v>25</v>
      </c>
      <c r="BH5" s="23" t="s">
        <v>26</v>
      </c>
      <c r="BI5" s="22" t="s">
        <v>22</v>
      </c>
      <c r="BJ5" s="22" t="s">
        <v>5</v>
      </c>
      <c r="BK5" s="22" t="s">
        <v>23</v>
      </c>
      <c r="BL5" s="22" t="s">
        <v>24</v>
      </c>
      <c r="BM5" s="22" t="s">
        <v>25</v>
      </c>
      <c r="BN5" s="23" t="s">
        <v>26</v>
      </c>
      <c r="BO5" s="22" t="s">
        <v>22</v>
      </c>
      <c r="BP5" s="22" t="s">
        <v>5</v>
      </c>
      <c r="BQ5" s="22" t="s">
        <v>23</v>
      </c>
      <c r="BR5" s="22" t="s">
        <v>24</v>
      </c>
      <c r="BS5" s="22" t="s">
        <v>25</v>
      </c>
      <c r="BT5" s="23" t="s">
        <v>26</v>
      </c>
      <c r="BU5" s="22" t="s">
        <v>22</v>
      </c>
      <c r="BV5" s="22" t="s">
        <v>5</v>
      </c>
      <c r="BW5" s="22" t="s">
        <v>23</v>
      </c>
      <c r="BX5" s="22" t="s">
        <v>24</v>
      </c>
      <c r="BY5" s="22" t="s">
        <v>25</v>
      </c>
      <c r="BZ5" s="23" t="s">
        <v>26</v>
      </c>
      <c r="CA5" s="24" t="s">
        <v>22</v>
      </c>
      <c r="CB5" s="22" t="s">
        <v>5</v>
      </c>
      <c r="CC5" s="22" t="s">
        <v>23</v>
      </c>
      <c r="CD5" s="22" t="s">
        <v>24</v>
      </c>
      <c r="CE5" s="22" t="s">
        <v>25</v>
      </c>
      <c r="CF5" s="23" t="s">
        <v>26</v>
      </c>
      <c r="CG5" s="22" t="s">
        <v>22</v>
      </c>
      <c r="CH5" s="22" t="s">
        <v>5</v>
      </c>
      <c r="CI5" s="22" t="s">
        <v>23</v>
      </c>
      <c r="CJ5" s="22" t="s">
        <v>24</v>
      </c>
      <c r="CK5" s="22" t="s">
        <v>25</v>
      </c>
      <c r="CL5" s="23" t="s">
        <v>26</v>
      </c>
      <c r="CM5" s="18"/>
      <c r="CN5" s="25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</row>
    <row r="6" customFormat="false" ht="18.75" hidden="false" customHeight="true" outlineLevel="0" collapsed="false">
      <c r="A6" s="27" t="n">
        <v>1</v>
      </c>
      <c r="B6" s="28" t="s">
        <v>27</v>
      </c>
      <c r="C6" s="29" t="n">
        <f aca="false">SUM(H6:CM6)</f>
        <v>54</v>
      </c>
      <c r="D6" s="30" t="n">
        <f aca="false">E6/2.5</f>
        <v>5</v>
      </c>
      <c r="E6" s="31" t="n">
        <f aca="false">SUM(H6+N6+T6+Z6+AF6+AL6+AR6+AX6+BD6+BJ6+BP6+BV6+CB6+CH6)</f>
        <v>12.5</v>
      </c>
      <c r="F6" s="32" t="n">
        <f aca="false">C6-E6</f>
        <v>41.5</v>
      </c>
      <c r="G6" s="33" t="s">
        <v>28</v>
      </c>
      <c r="H6" s="34" t="n">
        <v>2.5</v>
      </c>
      <c r="I6" s="34" t="n">
        <v>3</v>
      </c>
      <c r="J6" s="35" t="s">
        <v>29</v>
      </c>
      <c r="K6" s="36"/>
      <c r="L6" s="37"/>
      <c r="M6" s="33" t="s">
        <v>28</v>
      </c>
      <c r="N6" s="34"/>
      <c r="O6" s="34" t="n">
        <v>3.25</v>
      </c>
      <c r="P6" s="35"/>
      <c r="Q6" s="36"/>
      <c r="R6" s="37"/>
      <c r="S6" s="35" t="s">
        <v>30</v>
      </c>
      <c r="T6" s="34"/>
      <c r="U6" s="34" t="n">
        <v>1.5</v>
      </c>
      <c r="V6" s="35"/>
      <c r="W6" s="36"/>
      <c r="X6" s="37"/>
      <c r="Y6" s="35" t="s">
        <v>28</v>
      </c>
      <c r="Z6" s="34"/>
      <c r="AA6" s="34" t="n">
        <v>4</v>
      </c>
      <c r="AB6" s="35"/>
      <c r="AC6" s="36"/>
      <c r="AD6" s="37"/>
      <c r="AE6" s="35" t="s">
        <v>28</v>
      </c>
      <c r="AF6" s="34"/>
      <c r="AG6" s="34" t="n">
        <v>3.5</v>
      </c>
      <c r="AH6" s="35"/>
      <c r="AI6" s="36"/>
      <c r="AJ6" s="37"/>
      <c r="AK6" s="35" t="s">
        <v>30</v>
      </c>
      <c r="AL6" s="34"/>
      <c r="AM6" s="34" t="n">
        <v>2.75</v>
      </c>
      <c r="AN6" s="35" t="s">
        <v>29</v>
      </c>
      <c r="AO6" s="36"/>
      <c r="AP6" s="37" t="n">
        <v>0.5</v>
      </c>
      <c r="AQ6" s="35" t="s">
        <v>28</v>
      </c>
      <c r="AR6" s="34" t="n">
        <v>2.5</v>
      </c>
      <c r="AS6" s="34" t="n">
        <v>4.75</v>
      </c>
      <c r="AT6" s="35"/>
      <c r="AU6" s="36"/>
      <c r="AV6" s="37"/>
      <c r="AW6" s="35" t="s">
        <v>28</v>
      </c>
      <c r="AX6" s="34"/>
      <c r="AY6" s="34" t="n">
        <v>1.75</v>
      </c>
      <c r="AZ6" s="35"/>
      <c r="BA6" s="36"/>
      <c r="BB6" s="37"/>
      <c r="BC6" s="35" t="s">
        <v>28</v>
      </c>
      <c r="BD6" s="34"/>
      <c r="BE6" s="34" t="n">
        <v>1.25</v>
      </c>
      <c r="BF6" s="35"/>
      <c r="BG6" s="36"/>
      <c r="BH6" s="37"/>
      <c r="BI6" s="35" t="s">
        <v>28</v>
      </c>
      <c r="BJ6" s="34"/>
      <c r="BK6" s="34" t="n">
        <v>1.5</v>
      </c>
      <c r="BL6" s="35"/>
      <c r="BM6" s="36"/>
      <c r="BN6" s="37"/>
      <c r="BO6" s="35" t="s">
        <v>28</v>
      </c>
      <c r="BP6" s="34" t="n">
        <v>2.5</v>
      </c>
      <c r="BQ6" s="34" t="n">
        <v>2.25</v>
      </c>
      <c r="BR6" s="35" t="s">
        <v>29</v>
      </c>
      <c r="BS6" s="36"/>
      <c r="BT6" s="37" t="n">
        <v>1</v>
      </c>
      <c r="BU6" s="35" t="s">
        <v>31</v>
      </c>
      <c r="BV6" s="34" t="n">
        <v>2.5</v>
      </c>
      <c r="BW6" s="34" t="n">
        <v>3.25</v>
      </c>
      <c r="BX6" s="35"/>
      <c r="BY6" s="36"/>
      <c r="BZ6" s="36"/>
      <c r="CA6" s="38" t="s">
        <v>28</v>
      </c>
      <c r="CB6" s="34"/>
      <c r="CC6" s="34" t="n">
        <v>3</v>
      </c>
      <c r="CD6" s="35"/>
      <c r="CE6" s="36"/>
      <c r="CF6" s="37"/>
      <c r="CG6" s="35" t="s">
        <v>30</v>
      </c>
      <c r="CH6" s="34" t="n">
        <v>2.5</v>
      </c>
      <c r="CI6" s="34" t="n">
        <v>4.25</v>
      </c>
      <c r="CJ6" s="35"/>
      <c r="CK6" s="36"/>
      <c r="CL6" s="37"/>
      <c r="CM6" s="39"/>
      <c r="CN6" s="40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</row>
    <row r="7" customFormat="false" ht="18.75" hidden="false" customHeight="true" outlineLevel="0" collapsed="false">
      <c r="A7" s="27" t="n">
        <v>2</v>
      </c>
      <c r="B7" s="41" t="s">
        <v>32</v>
      </c>
      <c r="C7" s="29" t="n">
        <f aca="false">SUM(H7:CM7)</f>
        <v>48.5</v>
      </c>
      <c r="D7" s="42" t="n">
        <f aca="false">E7/2.5</f>
        <v>5</v>
      </c>
      <c r="E7" s="31" t="n">
        <f aca="false">SUM(H7+N7+T7+Z7+AF7+AL7+AR7+AX7+BD7+BJ7+BP7+BV7+CB7+CH7)</f>
        <v>12.5</v>
      </c>
      <c r="F7" s="32" t="n">
        <f aca="false">C7-E7</f>
        <v>36</v>
      </c>
      <c r="G7" s="33" t="s">
        <v>30</v>
      </c>
      <c r="H7" s="34" t="n">
        <v>2.5</v>
      </c>
      <c r="I7" s="34" t="n">
        <v>3.5</v>
      </c>
      <c r="J7" s="35"/>
      <c r="K7" s="36"/>
      <c r="L7" s="37"/>
      <c r="M7" s="33" t="s">
        <v>30</v>
      </c>
      <c r="N7" s="34"/>
      <c r="O7" s="34" t="n">
        <v>1.75</v>
      </c>
      <c r="P7" s="35"/>
      <c r="Q7" s="36"/>
      <c r="R7" s="37"/>
      <c r="S7" s="35" t="s">
        <v>31</v>
      </c>
      <c r="T7" s="34" t="n">
        <v>2.5</v>
      </c>
      <c r="U7" s="34" t="n">
        <v>3.75</v>
      </c>
      <c r="V7" s="35"/>
      <c r="W7" s="36"/>
      <c r="X7" s="37"/>
      <c r="Y7" s="35" t="s">
        <v>28</v>
      </c>
      <c r="Z7" s="34"/>
      <c r="AA7" s="34" t="n">
        <v>3</v>
      </c>
      <c r="AB7" s="35"/>
      <c r="AC7" s="36"/>
      <c r="AD7" s="37"/>
      <c r="AE7" s="35" t="s">
        <v>28</v>
      </c>
      <c r="AF7" s="34"/>
      <c r="AG7" s="34" t="n">
        <v>2.75</v>
      </c>
      <c r="AH7" s="35"/>
      <c r="AI7" s="36"/>
      <c r="AJ7" s="37"/>
      <c r="AK7" s="35" t="s">
        <v>28</v>
      </c>
      <c r="AL7" s="34"/>
      <c r="AM7" s="34" t="n">
        <v>3.75</v>
      </c>
      <c r="AN7" s="35" t="s">
        <v>33</v>
      </c>
      <c r="AO7" s="36"/>
      <c r="AP7" s="37"/>
      <c r="AQ7" s="35" t="s">
        <v>31</v>
      </c>
      <c r="AR7" s="34"/>
      <c r="AS7" s="43" t="n">
        <v>0</v>
      </c>
      <c r="AT7" s="35"/>
      <c r="AU7" s="36"/>
      <c r="AV7" s="37"/>
      <c r="AW7" s="35" t="s">
        <v>28</v>
      </c>
      <c r="AX7" s="34"/>
      <c r="AY7" s="34" t="n">
        <v>1.75</v>
      </c>
      <c r="AZ7" s="35"/>
      <c r="BA7" s="36"/>
      <c r="BB7" s="37"/>
      <c r="BC7" s="35" t="s">
        <v>28</v>
      </c>
      <c r="BD7" s="34"/>
      <c r="BE7" s="34" t="n">
        <v>1.5</v>
      </c>
      <c r="BF7" s="35"/>
      <c r="BG7" s="36"/>
      <c r="BH7" s="37"/>
      <c r="BI7" s="35" t="s">
        <v>31</v>
      </c>
      <c r="BJ7" s="34" t="n">
        <v>2.5</v>
      </c>
      <c r="BK7" s="34" t="n">
        <v>3.5</v>
      </c>
      <c r="BL7" s="35"/>
      <c r="BM7" s="36"/>
      <c r="BN7" s="37"/>
      <c r="BO7" s="35" t="s">
        <v>34</v>
      </c>
      <c r="BP7" s="34"/>
      <c r="BQ7" s="34" t="n">
        <v>2.25</v>
      </c>
      <c r="BR7" s="35"/>
      <c r="BS7" s="36"/>
      <c r="BT7" s="37"/>
      <c r="BU7" s="35" t="s">
        <v>34</v>
      </c>
      <c r="BV7" s="34" t="n">
        <v>2.5</v>
      </c>
      <c r="BW7" s="34" t="n">
        <v>3.25</v>
      </c>
      <c r="BX7" s="35"/>
      <c r="BY7" s="36"/>
      <c r="BZ7" s="36"/>
      <c r="CA7" s="38" t="s">
        <v>34</v>
      </c>
      <c r="CB7" s="34" t="n">
        <v>2.5</v>
      </c>
      <c r="CC7" s="34" t="n">
        <v>3.25</v>
      </c>
      <c r="CD7" s="35"/>
      <c r="CE7" s="36"/>
      <c r="CF7" s="37"/>
      <c r="CG7" s="35" t="s">
        <v>31</v>
      </c>
      <c r="CH7" s="34"/>
      <c r="CI7" s="34" t="n">
        <v>2</v>
      </c>
      <c r="CJ7" s="35"/>
      <c r="CK7" s="36"/>
      <c r="CL7" s="37"/>
      <c r="CM7" s="32"/>
      <c r="CN7" s="4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</row>
    <row r="8" customFormat="false" ht="18.75" hidden="false" customHeight="true" outlineLevel="0" collapsed="false">
      <c r="A8" s="27" t="n">
        <v>3</v>
      </c>
      <c r="B8" s="41" t="s">
        <v>35</v>
      </c>
      <c r="C8" s="29" t="n">
        <f aca="false">SUM(H8:CM8)</f>
        <v>55</v>
      </c>
      <c r="D8" s="42" t="n">
        <f aca="false">E8/2.5</f>
        <v>6</v>
      </c>
      <c r="E8" s="31" t="n">
        <f aca="false">SUM(H8+N8+T8+Z8+AF8+AL8+AR8+AX8+BD8+BJ8+BP8+BV8+CB8+CH8)</f>
        <v>15</v>
      </c>
      <c r="F8" s="32" t="n">
        <f aca="false">C8-E8</f>
        <v>40</v>
      </c>
      <c r="G8" s="33" t="s">
        <v>31</v>
      </c>
      <c r="H8" s="34"/>
      <c r="I8" s="34" t="n">
        <v>2.25</v>
      </c>
      <c r="J8" s="35"/>
      <c r="K8" s="36"/>
      <c r="L8" s="37"/>
      <c r="M8" s="33" t="s">
        <v>34</v>
      </c>
      <c r="N8" s="34" t="n">
        <v>2.5</v>
      </c>
      <c r="O8" s="34" t="n">
        <v>3.25</v>
      </c>
      <c r="P8" s="35"/>
      <c r="Q8" s="36"/>
      <c r="R8" s="37"/>
      <c r="S8" s="35" t="s">
        <v>28</v>
      </c>
      <c r="T8" s="34"/>
      <c r="U8" s="34" t="n">
        <v>3.25</v>
      </c>
      <c r="V8" s="35" t="s">
        <v>29</v>
      </c>
      <c r="W8" s="36" t="n">
        <v>0.5</v>
      </c>
      <c r="X8" s="37"/>
      <c r="Y8" s="35" t="s">
        <v>31</v>
      </c>
      <c r="Z8" s="34" t="n">
        <v>2.5</v>
      </c>
      <c r="AA8" s="34" t="n">
        <v>3.5</v>
      </c>
      <c r="AB8" s="35"/>
      <c r="AC8" s="36"/>
      <c r="AD8" s="37"/>
      <c r="AE8" s="35" t="s">
        <v>30</v>
      </c>
      <c r="AF8" s="34"/>
      <c r="AG8" s="34" t="n">
        <v>3.25</v>
      </c>
      <c r="AH8" s="35" t="s">
        <v>29</v>
      </c>
      <c r="AI8" s="36" t="n">
        <v>0.5</v>
      </c>
      <c r="AJ8" s="37" t="n">
        <v>0.5</v>
      </c>
      <c r="AK8" s="35" t="s">
        <v>31</v>
      </c>
      <c r="AL8" s="34" t="n">
        <v>2.5</v>
      </c>
      <c r="AM8" s="34" t="n">
        <v>3.25</v>
      </c>
      <c r="AN8" s="35"/>
      <c r="AO8" s="36"/>
      <c r="AP8" s="37"/>
      <c r="AQ8" s="35" t="s">
        <v>34</v>
      </c>
      <c r="AR8" s="34"/>
      <c r="AS8" s="34" t="n">
        <v>2</v>
      </c>
      <c r="AT8" s="35"/>
      <c r="AU8" s="36"/>
      <c r="AV8" s="37"/>
      <c r="AW8" s="35" t="s">
        <v>28</v>
      </c>
      <c r="AX8" s="34"/>
      <c r="AY8" s="34" t="n">
        <v>1.75</v>
      </c>
      <c r="AZ8" s="35"/>
      <c r="BA8" s="36"/>
      <c r="BB8" s="37"/>
      <c r="BC8" s="35" t="s">
        <v>28</v>
      </c>
      <c r="BD8" s="34"/>
      <c r="BE8" s="34" t="n">
        <v>2</v>
      </c>
      <c r="BF8" s="35"/>
      <c r="BG8" s="36"/>
      <c r="BH8" s="37"/>
      <c r="BI8" s="35" t="s">
        <v>28</v>
      </c>
      <c r="BJ8" s="34"/>
      <c r="BK8" s="43" t="n">
        <v>1.75</v>
      </c>
      <c r="BL8" s="35"/>
      <c r="BM8" s="36"/>
      <c r="BN8" s="37"/>
      <c r="BO8" s="35" t="s">
        <v>28</v>
      </c>
      <c r="BP8" s="34" t="n">
        <v>2.5</v>
      </c>
      <c r="BQ8" s="34" t="n">
        <v>3</v>
      </c>
      <c r="BR8" s="35" t="s">
        <v>36</v>
      </c>
      <c r="BS8" s="36"/>
      <c r="BT8" s="37"/>
      <c r="BU8" s="35" t="s">
        <v>31</v>
      </c>
      <c r="BV8" s="34" t="n">
        <v>2.5</v>
      </c>
      <c r="BW8" s="34" t="n">
        <v>3.75</v>
      </c>
      <c r="BX8" s="35"/>
      <c r="BY8" s="36"/>
      <c r="BZ8" s="36"/>
      <c r="CA8" s="38" t="s">
        <v>28</v>
      </c>
      <c r="CB8" s="34"/>
      <c r="CC8" s="34" t="n">
        <v>2</v>
      </c>
      <c r="CD8" s="35" t="s">
        <v>33</v>
      </c>
      <c r="CE8" s="36"/>
      <c r="CF8" s="37"/>
      <c r="CG8" s="35" t="s">
        <v>28</v>
      </c>
      <c r="CH8" s="34" t="n">
        <v>2.5</v>
      </c>
      <c r="CI8" s="34" t="n">
        <v>3.5</v>
      </c>
      <c r="CJ8" s="35"/>
      <c r="CK8" s="36"/>
      <c r="CL8" s="37"/>
      <c r="CM8" s="32"/>
      <c r="CN8" s="40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</row>
    <row r="9" customFormat="false" ht="18.75" hidden="false" customHeight="true" outlineLevel="0" collapsed="false">
      <c r="A9" s="27" t="n">
        <v>4</v>
      </c>
      <c r="B9" s="41" t="s">
        <v>37</v>
      </c>
      <c r="C9" s="29" t="n">
        <f aca="false">SUM(H9:CM9)</f>
        <v>51.5</v>
      </c>
      <c r="D9" s="42" t="n">
        <f aca="false">E9/2.5</f>
        <v>6</v>
      </c>
      <c r="E9" s="31" t="n">
        <f aca="false">SUM(H9+N9+T9+Z9+AF9+AL9+AR9+AX9+BD9+BJ9+BP9+BV9+CB9+CH9)</f>
        <v>15</v>
      </c>
      <c r="F9" s="32" t="n">
        <f aca="false">C9-E9</f>
        <v>36.5</v>
      </c>
      <c r="G9" s="33" t="s">
        <v>28</v>
      </c>
      <c r="H9" s="34" t="n">
        <v>2.5</v>
      </c>
      <c r="I9" s="34" t="n">
        <v>4</v>
      </c>
      <c r="J9" s="35"/>
      <c r="K9" s="36"/>
      <c r="L9" s="37"/>
      <c r="M9" s="33" t="s">
        <v>31</v>
      </c>
      <c r="N9" s="34" t="n">
        <v>2.5</v>
      </c>
      <c r="O9" s="43" t="n">
        <v>2.5</v>
      </c>
      <c r="P9" s="35"/>
      <c r="Q9" s="36"/>
      <c r="R9" s="37"/>
      <c r="S9" s="35" t="s">
        <v>28</v>
      </c>
      <c r="T9" s="34"/>
      <c r="U9" s="34" t="n">
        <v>2.25</v>
      </c>
      <c r="V9" s="35"/>
      <c r="W9" s="36"/>
      <c r="X9" s="37"/>
      <c r="Y9" s="35" t="s">
        <v>28</v>
      </c>
      <c r="Z9" s="34"/>
      <c r="AA9" s="34" t="n">
        <v>2.25</v>
      </c>
      <c r="AB9" s="35" t="s">
        <v>29</v>
      </c>
      <c r="AC9" s="36" t="n">
        <v>0.5</v>
      </c>
      <c r="AD9" s="37"/>
      <c r="AE9" s="35" t="s">
        <v>31</v>
      </c>
      <c r="AF9" s="34" t="n">
        <v>2.5</v>
      </c>
      <c r="AG9" s="34" t="n">
        <v>2.5</v>
      </c>
      <c r="AH9" s="35"/>
      <c r="AI9" s="36"/>
      <c r="AJ9" s="37"/>
      <c r="AK9" s="35" t="s">
        <v>31</v>
      </c>
      <c r="AL9" s="34" t="n">
        <v>2.5</v>
      </c>
      <c r="AM9" s="34" t="n">
        <v>3</v>
      </c>
      <c r="AN9" s="35"/>
      <c r="AO9" s="36"/>
      <c r="AP9" s="37"/>
      <c r="AQ9" s="35" t="s">
        <v>31</v>
      </c>
      <c r="AR9" s="34"/>
      <c r="AS9" s="34" t="n">
        <v>2.5</v>
      </c>
      <c r="AT9" s="35"/>
      <c r="AU9" s="36"/>
      <c r="AV9" s="37"/>
      <c r="AW9" s="35" t="s">
        <v>28</v>
      </c>
      <c r="AX9" s="34"/>
      <c r="AY9" s="34" t="n">
        <v>1.75</v>
      </c>
      <c r="AZ9" s="35"/>
      <c r="BA9" s="36"/>
      <c r="BB9" s="37"/>
      <c r="BC9" s="35" t="s">
        <v>31</v>
      </c>
      <c r="BD9" s="34" t="n">
        <v>2.5</v>
      </c>
      <c r="BE9" s="34" t="n">
        <v>3.5</v>
      </c>
      <c r="BF9" s="35"/>
      <c r="BG9" s="36"/>
      <c r="BH9" s="37"/>
      <c r="BI9" s="35" t="s">
        <v>28</v>
      </c>
      <c r="BJ9" s="34"/>
      <c r="BK9" s="34" t="n">
        <v>2</v>
      </c>
      <c r="BL9" s="35"/>
      <c r="BM9" s="36"/>
      <c r="BN9" s="37"/>
      <c r="BO9" s="35" t="s">
        <v>31</v>
      </c>
      <c r="BP9" s="34"/>
      <c r="BQ9" s="34" t="n">
        <v>2.75</v>
      </c>
      <c r="BR9" s="35" t="s">
        <v>33</v>
      </c>
      <c r="BS9" s="36"/>
      <c r="BT9" s="37"/>
      <c r="BU9" s="35" t="s">
        <v>28</v>
      </c>
      <c r="BV9" s="34"/>
      <c r="BW9" s="34" t="n">
        <v>1</v>
      </c>
      <c r="BX9" s="35"/>
      <c r="BY9" s="36"/>
      <c r="BZ9" s="36"/>
      <c r="CA9" s="38" t="s">
        <v>28</v>
      </c>
      <c r="CB9" s="34"/>
      <c r="CC9" s="34" t="n">
        <v>2</v>
      </c>
      <c r="CD9" s="35"/>
      <c r="CE9" s="36"/>
      <c r="CF9" s="37"/>
      <c r="CG9" s="35" t="s">
        <v>28</v>
      </c>
      <c r="CH9" s="34" t="n">
        <v>2.5</v>
      </c>
      <c r="CI9" s="34" t="n">
        <v>4</v>
      </c>
      <c r="CJ9" s="35"/>
      <c r="CK9" s="36"/>
      <c r="CL9" s="37"/>
      <c r="CM9" s="32"/>
      <c r="CN9" s="40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</row>
    <row r="10" customFormat="false" ht="18.75" hidden="false" customHeight="true" outlineLevel="0" collapsed="false">
      <c r="A10" s="27" t="n">
        <v>5</v>
      </c>
      <c r="B10" s="41" t="s">
        <v>38</v>
      </c>
      <c r="C10" s="29" t="n">
        <f aca="false">SUM(H10:CM10)</f>
        <v>49.75</v>
      </c>
      <c r="D10" s="42" t="n">
        <f aca="false">E10/2.5</f>
        <v>5</v>
      </c>
      <c r="E10" s="31" t="n">
        <f aca="false">SUM(H10+N10+T10+Z10+AF10+AL10+AR10+AX10+BD10+BJ10+BP10+BV10+CB10+CH10)</f>
        <v>12.5</v>
      </c>
      <c r="F10" s="32" t="n">
        <f aca="false">C10-E10</f>
        <v>37.25</v>
      </c>
      <c r="G10" s="33" t="s">
        <v>31</v>
      </c>
      <c r="H10" s="34"/>
      <c r="I10" s="34" t="n">
        <v>2</v>
      </c>
      <c r="J10" s="35" t="s">
        <v>33</v>
      </c>
      <c r="K10" s="36"/>
      <c r="L10" s="45"/>
      <c r="M10" s="33" t="s">
        <v>31</v>
      </c>
      <c r="N10" s="34" t="n">
        <v>2.5</v>
      </c>
      <c r="O10" s="34" t="n">
        <v>4</v>
      </c>
      <c r="P10" s="35" t="s">
        <v>36</v>
      </c>
      <c r="Q10" s="36"/>
      <c r="R10" s="37"/>
      <c r="S10" s="35" t="s">
        <v>34</v>
      </c>
      <c r="T10" s="34" t="n">
        <v>2.5</v>
      </c>
      <c r="U10" s="34" t="n">
        <v>2</v>
      </c>
      <c r="V10" s="35" t="s">
        <v>36</v>
      </c>
      <c r="W10" s="36"/>
      <c r="X10" s="37"/>
      <c r="Y10" s="35" t="s">
        <v>28</v>
      </c>
      <c r="Z10" s="34"/>
      <c r="AA10" s="34" t="n">
        <v>2.75</v>
      </c>
      <c r="AB10" s="35"/>
      <c r="AC10" s="36"/>
      <c r="AD10" s="37"/>
      <c r="AE10" s="35" t="s">
        <v>28</v>
      </c>
      <c r="AF10" s="34"/>
      <c r="AG10" s="34" t="n">
        <v>3</v>
      </c>
      <c r="AH10" s="35" t="s">
        <v>33</v>
      </c>
      <c r="AI10" s="36"/>
      <c r="AJ10" s="37"/>
      <c r="AK10" s="35" t="s">
        <v>34</v>
      </c>
      <c r="AL10" s="34" t="n">
        <v>2.5</v>
      </c>
      <c r="AM10" s="34" t="n">
        <v>3.75</v>
      </c>
      <c r="AN10" s="35" t="s">
        <v>36</v>
      </c>
      <c r="AO10" s="36"/>
      <c r="AP10" s="37"/>
      <c r="AQ10" s="35" t="s">
        <v>28</v>
      </c>
      <c r="AR10" s="34" t="n">
        <v>2.5</v>
      </c>
      <c r="AS10" s="34" t="n">
        <v>2.5</v>
      </c>
      <c r="AT10" s="35"/>
      <c r="AU10" s="36"/>
      <c r="AV10" s="37"/>
      <c r="AW10" s="35" t="s">
        <v>34</v>
      </c>
      <c r="AX10" s="34" t="n">
        <v>2.5</v>
      </c>
      <c r="AY10" s="34" t="n">
        <v>3.75</v>
      </c>
      <c r="AZ10" s="35"/>
      <c r="BA10" s="36"/>
      <c r="BB10" s="37"/>
      <c r="BC10" s="35" t="s">
        <v>28</v>
      </c>
      <c r="BD10" s="34"/>
      <c r="BE10" s="34" t="n">
        <v>2.25</v>
      </c>
      <c r="BF10" s="35" t="s">
        <v>29</v>
      </c>
      <c r="BG10" s="36"/>
      <c r="BH10" s="37"/>
      <c r="BI10" s="35" t="s">
        <v>30</v>
      </c>
      <c r="BJ10" s="34"/>
      <c r="BK10" s="34" t="n">
        <v>1.75</v>
      </c>
      <c r="BL10" s="35" t="s">
        <v>29</v>
      </c>
      <c r="BM10" s="36"/>
      <c r="BN10" s="37" t="n">
        <v>0.5</v>
      </c>
      <c r="BO10" s="35" t="s">
        <v>31</v>
      </c>
      <c r="BP10" s="34"/>
      <c r="BQ10" s="34" t="n">
        <v>2</v>
      </c>
      <c r="BR10" s="35"/>
      <c r="BS10" s="36"/>
      <c r="BT10" s="37"/>
      <c r="BU10" s="35" t="s">
        <v>28</v>
      </c>
      <c r="BV10" s="34"/>
      <c r="BW10" s="34" t="n">
        <v>3.5</v>
      </c>
      <c r="BX10" s="35"/>
      <c r="BY10" s="36"/>
      <c r="BZ10" s="36"/>
      <c r="CA10" s="38" t="s">
        <v>28</v>
      </c>
      <c r="CB10" s="34"/>
      <c r="CC10" s="34" t="n">
        <v>1.5</v>
      </c>
      <c r="CD10" s="35"/>
      <c r="CE10" s="36"/>
      <c r="CF10" s="37"/>
      <c r="CG10" s="35" t="s">
        <v>31</v>
      </c>
      <c r="CH10" s="34"/>
      <c r="CI10" s="34" t="n">
        <v>2</v>
      </c>
      <c r="CJ10" s="35"/>
      <c r="CK10" s="36"/>
      <c r="CL10" s="37"/>
      <c r="CM10" s="32"/>
      <c r="CN10" s="40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</row>
    <row r="11" customFormat="false" ht="18.75" hidden="false" customHeight="true" outlineLevel="0" collapsed="false">
      <c r="A11" s="27" t="n">
        <v>6</v>
      </c>
      <c r="B11" s="28" t="s">
        <v>39</v>
      </c>
      <c r="C11" s="29" t="n">
        <f aca="false">SUM(H11:CM11)</f>
        <v>50.25</v>
      </c>
      <c r="D11" s="42" t="n">
        <f aca="false">E11/2.5</f>
        <v>5</v>
      </c>
      <c r="E11" s="31" t="n">
        <f aca="false">SUM(H11+N11+T11+Z11+AF11+AL11+AR11+AX11+BD11+BJ11+BP11+BV11+CB11+CH11)</f>
        <v>12.5</v>
      </c>
      <c r="F11" s="32" t="n">
        <f aca="false">C11-E11</f>
        <v>37.75</v>
      </c>
      <c r="G11" s="33" t="s">
        <v>28</v>
      </c>
      <c r="H11" s="34" t="n">
        <v>2.5</v>
      </c>
      <c r="I11" s="34" t="n">
        <v>3.25</v>
      </c>
      <c r="J11" s="35"/>
      <c r="K11" s="36"/>
      <c r="L11" s="37"/>
      <c r="M11" s="33" t="s">
        <v>28</v>
      </c>
      <c r="N11" s="34"/>
      <c r="O11" s="34" t="n">
        <v>2.25</v>
      </c>
      <c r="P11" s="35"/>
      <c r="Q11" s="36"/>
      <c r="R11" s="45"/>
      <c r="S11" s="35" t="s">
        <v>28</v>
      </c>
      <c r="T11" s="34"/>
      <c r="U11" s="34" t="n">
        <v>2</v>
      </c>
      <c r="V11" s="35" t="s">
        <v>33</v>
      </c>
      <c r="W11" s="36"/>
      <c r="X11" s="37"/>
      <c r="Y11" s="35" t="s">
        <v>28</v>
      </c>
      <c r="Z11" s="34"/>
      <c r="AA11" s="34" t="n">
        <v>1.5</v>
      </c>
      <c r="AB11" s="35"/>
      <c r="AC11" s="36"/>
      <c r="AD11" s="37"/>
      <c r="AE11" s="35" t="s">
        <v>28</v>
      </c>
      <c r="AF11" s="34"/>
      <c r="AG11" s="34" t="n">
        <v>2.5</v>
      </c>
      <c r="AH11" s="35"/>
      <c r="AI11" s="36"/>
      <c r="AJ11" s="37"/>
      <c r="AK11" s="35" t="s">
        <v>28</v>
      </c>
      <c r="AL11" s="34"/>
      <c r="AM11" s="34" t="n">
        <v>3.25</v>
      </c>
      <c r="AN11" s="35"/>
      <c r="AO11" s="36"/>
      <c r="AP11" s="37"/>
      <c r="AQ11" s="35" t="s">
        <v>28</v>
      </c>
      <c r="AR11" s="34" t="n">
        <v>2.5</v>
      </c>
      <c r="AS11" s="34" t="n">
        <v>3</v>
      </c>
      <c r="AT11" s="35"/>
      <c r="AU11" s="36"/>
      <c r="AV11" s="37"/>
      <c r="AW11" s="35" t="s">
        <v>30</v>
      </c>
      <c r="AX11" s="34"/>
      <c r="AY11" s="34" t="n">
        <v>2.25</v>
      </c>
      <c r="AZ11" s="35" t="s">
        <v>29</v>
      </c>
      <c r="BA11" s="36"/>
      <c r="BB11" s="37"/>
      <c r="BC11" s="35" t="s">
        <v>28</v>
      </c>
      <c r="BD11" s="34"/>
      <c r="BE11" s="34" t="n">
        <v>2</v>
      </c>
      <c r="BF11" s="35"/>
      <c r="BG11" s="36"/>
      <c r="BH11" s="37"/>
      <c r="BI11" s="35" t="s">
        <v>31</v>
      </c>
      <c r="BJ11" s="34" t="n">
        <v>2.5</v>
      </c>
      <c r="BK11" s="34" t="n">
        <v>3</v>
      </c>
      <c r="BL11" s="35"/>
      <c r="BM11" s="36"/>
      <c r="BN11" s="37"/>
      <c r="BO11" s="35" t="s">
        <v>28</v>
      </c>
      <c r="BP11" s="34" t="n">
        <v>2.5</v>
      </c>
      <c r="BQ11" s="34" t="n">
        <v>3.75</v>
      </c>
      <c r="BR11" s="35"/>
      <c r="BS11" s="36"/>
      <c r="BT11" s="37"/>
      <c r="BU11" s="35" t="s">
        <v>28</v>
      </c>
      <c r="BV11" s="34"/>
      <c r="BW11" s="34" t="n">
        <v>2.5</v>
      </c>
      <c r="BX11" s="35"/>
      <c r="BY11" s="36"/>
      <c r="BZ11" s="36"/>
      <c r="CA11" s="38" t="s">
        <v>30</v>
      </c>
      <c r="CB11" s="34"/>
      <c r="CC11" s="43" t="n">
        <v>3.25</v>
      </c>
      <c r="CD11" s="35"/>
      <c r="CE11" s="36"/>
      <c r="CF11" s="37"/>
      <c r="CG11" s="35" t="s">
        <v>28</v>
      </c>
      <c r="CH11" s="34" t="n">
        <v>2.5</v>
      </c>
      <c r="CI11" s="34" t="n">
        <v>3.25</v>
      </c>
      <c r="CJ11" s="35"/>
      <c r="CK11" s="36"/>
      <c r="CL11" s="37"/>
      <c r="CM11" s="32"/>
      <c r="CN11" s="40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</row>
    <row r="12" customFormat="false" ht="18.75" hidden="false" customHeight="true" outlineLevel="0" collapsed="false">
      <c r="A12" s="27" t="n">
        <v>7</v>
      </c>
      <c r="B12" s="41" t="s">
        <v>40</v>
      </c>
      <c r="C12" s="29" t="n">
        <f aca="false">SUM(H12:CM12)</f>
        <v>55</v>
      </c>
      <c r="D12" s="42" t="n">
        <f aca="false">E12/2.5</f>
        <v>6</v>
      </c>
      <c r="E12" s="31" t="n">
        <f aca="false">SUM(H12+N12+T12+Z12+AF12+AL12+AR12+AX12+BD12+BJ12+BP12+BV12+CB12+CH12)</f>
        <v>15</v>
      </c>
      <c r="F12" s="32" t="n">
        <f aca="false">C12-E12</f>
        <v>40</v>
      </c>
      <c r="G12" s="33" t="s">
        <v>28</v>
      </c>
      <c r="H12" s="34" t="n">
        <v>2.5</v>
      </c>
      <c r="I12" s="34" t="n">
        <v>2.5</v>
      </c>
      <c r="J12" s="35"/>
      <c r="K12" s="36"/>
      <c r="L12" s="37"/>
      <c r="M12" s="33" t="s">
        <v>28</v>
      </c>
      <c r="N12" s="34"/>
      <c r="O12" s="34" t="n">
        <v>2.25</v>
      </c>
      <c r="P12" s="35"/>
      <c r="Q12" s="36"/>
      <c r="R12" s="37"/>
      <c r="S12" s="35" t="s">
        <v>28</v>
      </c>
      <c r="T12" s="34"/>
      <c r="U12" s="34" t="n">
        <v>2</v>
      </c>
      <c r="V12" s="35"/>
      <c r="W12" s="36"/>
      <c r="X12" s="45"/>
      <c r="Y12" s="35" t="s">
        <v>34</v>
      </c>
      <c r="Z12" s="34" t="n">
        <v>2.5</v>
      </c>
      <c r="AA12" s="34" t="n">
        <v>3.5</v>
      </c>
      <c r="AB12" s="35"/>
      <c r="AC12" s="36"/>
      <c r="AD12" s="37"/>
      <c r="AE12" s="35" t="s">
        <v>28</v>
      </c>
      <c r="AF12" s="34"/>
      <c r="AG12" s="34" t="n">
        <v>3.25</v>
      </c>
      <c r="AH12" s="35"/>
      <c r="AI12" s="36"/>
      <c r="AJ12" s="37"/>
      <c r="AK12" s="35" t="s">
        <v>28</v>
      </c>
      <c r="AL12" s="34"/>
      <c r="AM12" s="34" t="n">
        <v>2.25</v>
      </c>
      <c r="AN12" s="35"/>
      <c r="AO12" s="36"/>
      <c r="AP12" s="37"/>
      <c r="AQ12" s="35" t="s">
        <v>30</v>
      </c>
      <c r="AR12" s="34" t="n">
        <v>2.5</v>
      </c>
      <c r="AS12" s="34" t="n">
        <v>3.25</v>
      </c>
      <c r="AT12" s="35"/>
      <c r="AU12" s="36"/>
      <c r="AV12" s="37"/>
      <c r="AW12" s="35" t="s">
        <v>28</v>
      </c>
      <c r="AX12" s="34"/>
      <c r="AY12" s="34" t="n">
        <v>1.75</v>
      </c>
      <c r="AZ12" s="35"/>
      <c r="BA12" s="36"/>
      <c r="BB12" s="45"/>
      <c r="BC12" s="35" t="s">
        <v>34</v>
      </c>
      <c r="BD12" s="34" t="n">
        <v>2.5</v>
      </c>
      <c r="BE12" s="34" t="n">
        <v>4</v>
      </c>
      <c r="BF12" s="35"/>
      <c r="BG12" s="36"/>
      <c r="BH12" s="37"/>
      <c r="BI12" s="35" t="s">
        <v>28</v>
      </c>
      <c r="BJ12" s="34"/>
      <c r="BK12" s="34" t="n">
        <v>3.75</v>
      </c>
      <c r="BL12" s="35"/>
      <c r="BM12" s="36"/>
      <c r="BN12" s="37"/>
      <c r="BO12" s="35" t="s">
        <v>30</v>
      </c>
      <c r="BP12" s="34" t="n">
        <v>2.5</v>
      </c>
      <c r="BQ12" s="34" t="n">
        <v>3.5</v>
      </c>
      <c r="BR12" s="35" t="s">
        <v>36</v>
      </c>
      <c r="BS12" s="36"/>
      <c r="BT12" s="37"/>
      <c r="BU12" s="35" t="s">
        <v>30</v>
      </c>
      <c r="BV12" s="34"/>
      <c r="BW12" s="34" t="n">
        <v>2</v>
      </c>
      <c r="BX12" s="35"/>
      <c r="BY12" s="36"/>
      <c r="BZ12" s="36"/>
      <c r="CA12" s="38" t="s">
        <v>28</v>
      </c>
      <c r="CB12" s="34"/>
      <c r="CC12" s="34" t="n">
        <v>2.5</v>
      </c>
      <c r="CD12" s="35" t="s">
        <v>29</v>
      </c>
      <c r="CE12" s="36"/>
      <c r="CF12" s="37"/>
      <c r="CG12" s="35" t="s">
        <v>28</v>
      </c>
      <c r="CH12" s="34" t="n">
        <v>2.5</v>
      </c>
      <c r="CI12" s="34" t="n">
        <v>3.5</v>
      </c>
      <c r="CJ12" s="35"/>
      <c r="CK12" s="36"/>
      <c r="CL12" s="37"/>
      <c r="CM12" s="32"/>
      <c r="CN12" s="40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</row>
    <row r="13" customFormat="false" ht="18.75" hidden="false" customHeight="true" outlineLevel="0" collapsed="false">
      <c r="A13" s="27" t="n">
        <v>8</v>
      </c>
      <c r="B13" s="41" t="s">
        <v>41</v>
      </c>
      <c r="C13" s="29" t="n">
        <f aca="false">SUM(H13:CM13)</f>
        <v>51</v>
      </c>
      <c r="D13" s="42" t="n">
        <f aca="false">E13/2.5</f>
        <v>5</v>
      </c>
      <c r="E13" s="31" t="n">
        <f aca="false">SUM(H13+N13+T13+Z13+AF13+AL13+AR13+AX13+BD13+BJ13+BP13+BV13+CB13+CH13)</f>
        <v>12.5</v>
      </c>
      <c r="F13" s="32" t="n">
        <f aca="false">C13-E13</f>
        <v>38.5</v>
      </c>
      <c r="G13" s="33" t="s">
        <v>28</v>
      </c>
      <c r="H13" s="34" t="n">
        <v>2.5</v>
      </c>
      <c r="I13" s="34" t="n">
        <v>4.25</v>
      </c>
      <c r="J13" s="35" t="s">
        <v>36</v>
      </c>
      <c r="K13" s="36"/>
      <c r="L13" s="37"/>
      <c r="M13" s="33" t="s">
        <v>28</v>
      </c>
      <c r="N13" s="34"/>
      <c r="O13" s="34" t="n">
        <v>1.5</v>
      </c>
      <c r="P13" s="35" t="s">
        <v>33</v>
      </c>
      <c r="Q13" s="36"/>
      <c r="R13" s="37"/>
      <c r="S13" s="35" t="s">
        <v>28</v>
      </c>
      <c r="T13" s="34"/>
      <c r="U13" s="34" t="n">
        <v>2.75</v>
      </c>
      <c r="V13" s="35"/>
      <c r="W13" s="36"/>
      <c r="X13" s="37"/>
      <c r="Y13" s="35" t="s">
        <v>30</v>
      </c>
      <c r="Z13" s="34"/>
      <c r="AA13" s="34" t="n">
        <v>3</v>
      </c>
      <c r="AB13" s="35"/>
      <c r="AC13" s="34"/>
      <c r="AD13" s="45"/>
      <c r="AE13" s="35" t="s">
        <v>28</v>
      </c>
      <c r="AF13" s="34"/>
      <c r="AG13" s="34" t="n">
        <v>1.5</v>
      </c>
      <c r="AH13" s="35" t="s">
        <v>33</v>
      </c>
      <c r="AI13" s="36"/>
      <c r="AJ13" s="45"/>
      <c r="AK13" s="35" t="s">
        <v>28</v>
      </c>
      <c r="AL13" s="34"/>
      <c r="AM13" s="34" t="n">
        <v>3.5</v>
      </c>
      <c r="AN13" s="35"/>
      <c r="AO13" s="34"/>
      <c r="AP13" s="45"/>
      <c r="AQ13" s="35" t="s">
        <v>28</v>
      </c>
      <c r="AR13" s="34" t="n">
        <v>2.5</v>
      </c>
      <c r="AS13" s="34" t="n">
        <v>2.75</v>
      </c>
      <c r="AT13" s="35"/>
      <c r="AU13" s="36"/>
      <c r="AV13" s="45"/>
      <c r="AW13" s="35" t="s">
        <v>28</v>
      </c>
      <c r="AX13" s="34"/>
      <c r="AY13" s="34" t="n">
        <v>1.75</v>
      </c>
      <c r="AZ13" s="35"/>
      <c r="BA13" s="36"/>
      <c r="BB13" s="37"/>
      <c r="BC13" s="35" t="s">
        <v>31</v>
      </c>
      <c r="BD13" s="34" t="n">
        <v>2.5</v>
      </c>
      <c r="BE13" s="34" t="n">
        <v>3.75</v>
      </c>
      <c r="BF13" s="35"/>
      <c r="BG13" s="34"/>
      <c r="BH13" s="45"/>
      <c r="BI13" s="35" t="s">
        <v>28</v>
      </c>
      <c r="BJ13" s="34"/>
      <c r="BK13" s="34" t="n">
        <v>1.75</v>
      </c>
      <c r="BL13" s="35"/>
      <c r="BM13" s="36"/>
      <c r="BN13" s="45"/>
      <c r="BO13" s="35" t="s">
        <v>28</v>
      </c>
      <c r="BP13" s="34" t="n">
        <v>2.5</v>
      </c>
      <c r="BQ13" s="34" t="n">
        <v>1.75</v>
      </c>
      <c r="BR13" s="35"/>
      <c r="BS13" s="34"/>
      <c r="BT13" s="45"/>
      <c r="BU13" s="35" t="s">
        <v>28</v>
      </c>
      <c r="BV13" s="34"/>
      <c r="BW13" s="34" t="n">
        <v>2.5</v>
      </c>
      <c r="BX13" s="35"/>
      <c r="BY13" s="36"/>
      <c r="BZ13" s="34"/>
      <c r="CA13" s="38" t="s">
        <v>28</v>
      </c>
      <c r="CB13" s="34"/>
      <c r="CC13" s="34" t="n">
        <v>3.25</v>
      </c>
      <c r="CD13" s="35" t="s">
        <v>33</v>
      </c>
      <c r="CE13" s="34"/>
      <c r="CF13" s="45"/>
      <c r="CG13" s="35" t="s">
        <v>28</v>
      </c>
      <c r="CH13" s="34" t="n">
        <v>2.5</v>
      </c>
      <c r="CI13" s="34" t="n">
        <v>4.5</v>
      </c>
      <c r="CJ13" s="35"/>
      <c r="CK13" s="36"/>
      <c r="CL13" s="45"/>
      <c r="CM13" s="32"/>
      <c r="CN13" s="40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</row>
    <row r="14" customFormat="false" ht="18.75" hidden="false" customHeight="true" outlineLevel="0" collapsed="false">
      <c r="A14" s="27" t="n">
        <v>9</v>
      </c>
      <c r="B14" s="41" t="s">
        <v>42</v>
      </c>
      <c r="C14" s="29" t="n">
        <f aca="false">SUM(H14:CM14)</f>
        <v>52.25</v>
      </c>
      <c r="D14" s="42" t="n">
        <f aca="false">E14/2.5</f>
        <v>6</v>
      </c>
      <c r="E14" s="31" t="n">
        <f aca="false">SUM(H14+N14+T14+Z14+AF14+AL14+AR14+AX14+BD14+BJ14+BP14+BV14+CB14+CH14)</f>
        <v>15</v>
      </c>
      <c r="F14" s="32" t="n">
        <f aca="false">C14-E14</f>
        <v>37.25</v>
      </c>
      <c r="G14" s="33" t="s">
        <v>28</v>
      </c>
      <c r="H14" s="34" t="n">
        <v>2.5</v>
      </c>
      <c r="I14" s="34" t="n">
        <v>3.25</v>
      </c>
      <c r="J14" s="35" t="s">
        <v>36</v>
      </c>
      <c r="K14" s="36"/>
      <c r="L14" s="37"/>
      <c r="M14" s="33" t="s">
        <v>28</v>
      </c>
      <c r="N14" s="34"/>
      <c r="O14" s="34" t="n">
        <v>1.25</v>
      </c>
      <c r="P14" s="35" t="s">
        <v>33</v>
      </c>
      <c r="Q14" s="36"/>
      <c r="R14" s="37"/>
      <c r="S14" s="35" t="s">
        <v>28</v>
      </c>
      <c r="T14" s="34"/>
      <c r="U14" s="34" t="n">
        <v>2</v>
      </c>
      <c r="V14" s="35" t="s">
        <v>33</v>
      </c>
      <c r="W14" s="36"/>
      <c r="X14" s="37"/>
      <c r="Y14" s="35" t="s">
        <v>28</v>
      </c>
      <c r="Z14" s="34"/>
      <c r="AA14" s="34" t="n">
        <v>2</v>
      </c>
      <c r="AB14" s="35"/>
      <c r="AC14" s="36"/>
      <c r="AD14" s="37"/>
      <c r="AE14" s="35" t="s">
        <v>31</v>
      </c>
      <c r="AF14" s="34" t="n">
        <v>2.5</v>
      </c>
      <c r="AG14" s="34" t="n">
        <v>3.5</v>
      </c>
      <c r="AH14" s="35" t="s">
        <v>36</v>
      </c>
      <c r="AI14" s="36"/>
      <c r="AJ14" s="37"/>
      <c r="AK14" s="35" t="s">
        <v>28</v>
      </c>
      <c r="AL14" s="34"/>
      <c r="AM14" s="34" t="n">
        <v>1.75</v>
      </c>
      <c r="AN14" s="35" t="s">
        <v>33</v>
      </c>
      <c r="AO14" s="36"/>
      <c r="AP14" s="37"/>
      <c r="AQ14" s="35" t="s">
        <v>28</v>
      </c>
      <c r="AR14" s="34" t="n">
        <v>2.5</v>
      </c>
      <c r="AS14" s="34" t="n">
        <v>3</v>
      </c>
      <c r="AT14" s="35"/>
      <c r="AU14" s="36"/>
      <c r="AV14" s="37"/>
      <c r="AW14" s="35" t="s">
        <v>31</v>
      </c>
      <c r="AX14" s="34" t="n">
        <v>2.5</v>
      </c>
      <c r="AY14" s="34" t="n">
        <v>3.75</v>
      </c>
      <c r="AZ14" s="35"/>
      <c r="BA14" s="36"/>
      <c r="BB14" s="37"/>
      <c r="BC14" s="35" t="s">
        <v>28</v>
      </c>
      <c r="BD14" s="34"/>
      <c r="BE14" s="34" t="n">
        <v>2</v>
      </c>
      <c r="BF14" s="35"/>
      <c r="BG14" s="36"/>
      <c r="BH14" s="37"/>
      <c r="BI14" s="35" t="s">
        <v>28</v>
      </c>
      <c r="BJ14" s="34"/>
      <c r="BK14" s="34" t="n">
        <v>3</v>
      </c>
      <c r="BL14" s="35"/>
      <c r="BM14" s="36"/>
      <c r="BN14" s="37"/>
      <c r="BO14" s="35" t="s">
        <v>28</v>
      </c>
      <c r="BP14" s="34" t="n">
        <v>2.5</v>
      </c>
      <c r="BQ14" s="34" t="n">
        <v>3.25</v>
      </c>
      <c r="BR14" s="35"/>
      <c r="BS14" s="36"/>
      <c r="BT14" s="37"/>
      <c r="BU14" s="35" t="s">
        <v>28</v>
      </c>
      <c r="BV14" s="34"/>
      <c r="BW14" s="34" t="n">
        <v>3.25</v>
      </c>
      <c r="BX14" s="35"/>
      <c r="BY14" s="36"/>
      <c r="BZ14" s="36"/>
      <c r="CA14" s="38" t="s">
        <v>31</v>
      </c>
      <c r="CB14" s="34" t="n">
        <v>2.5</v>
      </c>
      <c r="CC14" s="34" t="n">
        <v>3.75</v>
      </c>
      <c r="CD14" s="35" t="s">
        <v>36</v>
      </c>
      <c r="CE14" s="36"/>
      <c r="CF14" s="37"/>
      <c r="CG14" s="35" t="s">
        <v>34</v>
      </c>
      <c r="CH14" s="34"/>
      <c r="CI14" s="34" t="n">
        <v>1.5</v>
      </c>
      <c r="CJ14" s="35"/>
      <c r="CK14" s="36"/>
      <c r="CL14" s="37"/>
      <c r="CM14" s="32"/>
      <c r="CN14" s="40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</row>
    <row r="15" customFormat="false" ht="18.75" hidden="false" customHeight="true" outlineLevel="0" collapsed="false">
      <c r="A15" s="46" t="n">
        <v>10</v>
      </c>
      <c r="B15" s="41" t="s">
        <v>43</v>
      </c>
      <c r="C15" s="29" t="n">
        <f aca="false">SUM(H15:CM15)</f>
        <v>69.5</v>
      </c>
      <c r="D15" s="47" t="n">
        <f aca="false">E15/2.5</f>
        <v>9</v>
      </c>
      <c r="E15" s="48" t="n">
        <f aca="false">SUM(H15+N15+T15+Z15+AF15+AL15+AR15+AX15+BD15+BJ15+BP15+BV15+CB15+CH15)</f>
        <v>22.5</v>
      </c>
      <c r="F15" s="32" t="n">
        <f aca="false">C15-E15</f>
        <v>47</v>
      </c>
      <c r="G15" s="49" t="s">
        <v>34</v>
      </c>
      <c r="H15" s="50"/>
      <c r="I15" s="50" t="n">
        <v>2.5</v>
      </c>
      <c r="J15" s="51"/>
      <c r="K15" s="52"/>
      <c r="L15" s="53"/>
      <c r="M15" s="49" t="s">
        <v>28</v>
      </c>
      <c r="N15" s="50"/>
      <c r="O15" s="50" t="n">
        <v>2.75</v>
      </c>
      <c r="P15" s="51" t="s">
        <v>29</v>
      </c>
      <c r="Q15" s="52" t="n">
        <v>0.5</v>
      </c>
      <c r="R15" s="53"/>
      <c r="S15" s="51" t="s">
        <v>31</v>
      </c>
      <c r="T15" s="50" t="n">
        <v>2.5</v>
      </c>
      <c r="U15" s="50" t="n">
        <v>3.75</v>
      </c>
      <c r="V15" s="51"/>
      <c r="W15" s="52"/>
      <c r="X15" s="53"/>
      <c r="Y15" s="51" t="s">
        <v>31</v>
      </c>
      <c r="Z15" s="50" t="n">
        <v>2.5</v>
      </c>
      <c r="AA15" s="50" t="n">
        <v>3.75</v>
      </c>
      <c r="AB15" s="51"/>
      <c r="AC15" s="52"/>
      <c r="AD15" s="53"/>
      <c r="AE15" s="51" t="s">
        <v>34</v>
      </c>
      <c r="AF15" s="50" t="n">
        <v>2.5</v>
      </c>
      <c r="AG15" s="50" t="n">
        <v>3.25</v>
      </c>
      <c r="AH15" s="51"/>
      <c r="AI15" s="52"/>
      <c r="AJ15" s="53"/>
      <c r="AK15" s="51" t="s">
        <v>28</v>
      </c>
      <c r="AL15" s="50"/>
      <c r="AM15" s="50" t="n">
        <v>4</v>
      </c>
      <c r="AN15" s="51"/>
      <c r="AO15" s="52"/>
      <c r="AP15" s="53"/>
      <c r="AQ15" s="51" t="s">
        <v>28</v>
      </c>
      <c r="AR15" s="50" t="n">
        <v>2.5</v>
      </c>
      <c r="AS15" s="50" t="n">
        <v>2.5</v>
      </c>
      <c r="AT15" s="51" t="s">
        <v>29</v>
      </c>
      <c r="AU15" s="52"/>
      <c r="AV15" s="53" t="n">
        <v>0.5</v>
      </c>
      <c r="AW15" s="51" t="s">
        <v>31</v>
      </c>
      <c r="AX15" s="50" t="n">
        <v>2.5</v>
      </c>
      <c r="AY15" s="50" t="n">
        <v>3.75</v>
      </c>
      <c r="AZ15" s="51"/>
      <c r="BA15" s="52"/>
      <c r="BB15" s="53"/>
      <c r="BC15" s="51" t="s">
        <v>30</v>
      </c>
      <c r="BD15" s="50"/>
      <c r="BE15" s="50" t="n">
        <v>1.5</v>
      </c>
      <c r="BF15" s="51"/>
      <c r="BG15" s="52"/>
      <c r="BH15" s="53"/>
      <c r="BI15" s="51" t="s">
        <v>34</v>
      </c>
      <c r="BJ15" s="50" t="n">
        <v>2.5</v>
      </c>
      <c r="BK15" s="50" t="n">
        <v>3</v>
      </c>
      <c r="BL15" s="51"/>
      <c r="BM15" s="52"/>
      <c r="BN15" s="53"/>
      <c r="BO15" s="51" t="s">
        <v>28</v>
      </c>
      <c r="BP15" s="50" t="n">
        <v>2.5</v>
      </c>
      <c r="BQ15" s="50" t="n">
        <v>4</v>
      </c>
      <c r="BR15" s="51"/>
      <c r="BS15" s="52"/>
      <c r="BT15" s="53"/>
      <c r="BU15" s="51" t="s">
        <v>28</v>
      </c>
      <c r="BV15" s="50"/>
      <c r="BW15" s="50" t="n">
        <v>2.75</v>
      </c>
      <c r="BX15" s="51" t="s">
        <v>29</v>
      </c>
      <c r="BY15" s="52"/>
      <c r="BZ15" s="52" t="n">
        <v>1</v>
      </c>
      <c r="CA15" s="54" t="s">
        <v>31</v>
      </c>
      <c r="CB15" s="50" t="n">
        <v>2.5</v>
      </c>
      <c r="CC15" s="50" t="n">
        <v>2.5</v>
      </c>
      <c r="CD15" s="51"/>
      <c r="CE15" s="52"/>
      <c r="CF15" s="53"/>
      <c r="CG15" s="51" t="s">
        <v>28</v>
      </c>
      <c r="CH15" s="50" t="n">
        <v>2.5</v>
      </c>
      <c r="CI15" s="50" t="n">
        <v>3</v>
      </c>
      <c r="CJ15" s="51" t="s">
        <v>29</v>
      </c>
      <c r="CK15" s="52" t="n">
        <v>0.5</v>
      </c>
      <c r="CL15" s="53" t="n">
        <v>1.5</v>
      </c>
      <c r="CM15" s="55"/>
      <c r="CN15" s="40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57"/>
      <c r="H16" s="57"/>
      <c r="I16" s="57"/>
      <c r="J16" s="57"/>
      <c r="K16" s="57"/>
      <c r="L16" s="57"/>
      <c r="M16" s="58" t="s">
        <v>45</v>
      </c>
      <c r="N16" s="58"/>
      <c r="O16" s="58"/>
      <c r="P16" s="58"/>
      <c r="Q16" s="58"/>
      <c r="R16" s="58"/>
      <c r="S16" s="58" t="s">
        <v>46</v>
      </c>
      <c r="T16" s="58"/>
      <c r="U16" s="58"/>
      <c r="V16" s="58"/>
      <c r="W16" s="58"/>
      <c r="X16" s="58"/>
      <c r="Y16" s="58" t="s">
        <v>47</v>
      </c>
      <c r="Z16" s="58"/>
      <c r="AA16" s="58"/>
      <c r="AB16" s="58"/>
      <c r="AC16" s="58"/>
      <c r="AD16" s="58"/>
      <c r="AE16" s="58" t="s">
        <v>48</v>
      </c>
      <c r="AF16" s="58"/>
      <c r="AG16" s="58"/>
      <c r="AH16" s="58"/>
      <c r="AI16" s="58"/>
      <c r="AJ16" s="58"/>
      <c r="AK16" s="58" t="s">
        <v>49</v>
      </c>
      <c r="AL16" s="58"/>
      <c r="AM16" s="58"/>
      <c r="AN16" s="58"/>
      <c r="AO16" s="58"/>
      <c r="AP16" s="58"/>
      <c r="AQ16" s="58" t="s">
        <v>47</v>
      </c>
      <c r="AR16" s="58"/>
      <c r="AS16" s="58"/>
      <c r="AT16" s="58"/>
      <c r="AU16" s="58"/>
      <c r="AV16" s="58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7"/>
      <c r="CN16" s="60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7"/>
      <c r="CN17" s="60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51</v>
      </c>
      <c r="N18" s="66"/>
      <c r="O18" s="66"/>
      <c r="P18" s="66"/>
      <c r="Q18" s="66"/>
      <c r="R18" s="66"/>
      <c r="S18" s="66" t="s">
        <v>51</v>
      </c>
      <c r="T18" s="66"/>
      <c r="U18" s="66"/>
      <c r="V18" s="66"/>
      <c r="W18" s="66"/>
      <c r="X18" s="66"/>
      <c r="Y18" s="66" t="s">
        <v>52</v>
      </c>
      <c r="Z18" s="66"/>
      <c r="AA18" s="66"/>
      <c r="AB18" s="66"/>
      <c r="AC18" s="66"/>
      <c r="AD18" s="66"/>
      <c r="AE18" s="66" t="s">
        <v>51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53</v>
      </c>
      <c r="AR18" s="66"/>
      <c r="AS18" s="66"/>
      <c r="AT18" s="66"/>
      <c r="AU18" s="66"/>
      <c r="AV18" s="66"/>
      <c r="AW18" s="66" t="s">
        <v>52</v>
      </c>
      <c r="AX18" s="66"/>
      <c r="AY18" s="66"/>
      <c r="AZ18" s="66"/>
      <c r="BA18" s="66"/>
      <c r="BB18" s="66"/>
      <c r="BC18" s="66" t="s">
        <v>52</v>
      </c>
      <c r="BD18" s="66"/>
      <c r="BE18" s="66"/>
      <c r="BF18" s="66"/>
      <c r="BG18" s="66"/>
      <c r="BH18" s="66"/>
      <c r="BI18" s="66" t="s">
        <v>52</v>
      </c>
      <c r="BJ18" s="66"/>
      <c r="BK18" s="66"/>
      <c r="BL18" s="66"/>
      <c r="BM18" s="66"/>
      <c r="BN18" s="66"/>
      <c r="BO18" s="66" t="s">
        <v>50</v>
      </c>
      <c r="BP18" s="66"/>
      <c r="BQ18" s="66"/>
      <c r="BR18" s="66"/>
      <c r="BS18" s="66"/>
      <c r="BT18" s="66"/>
      <c r="BU18" s="66" t="s">
        <v>54</v>
      </c>
      <c r="BV18" s="66"/>
      <c r="BW18" s="66"/>
      <c r="BX18" s="66"/>
      <c r="BY18" s="66"/>
      <c r="BZ18" s="66"/>
      <c r="CA18" s="66" t="s">
        <v>51</v>
      </c>
      <c r="CB18" s="66"/>
      <c r="CC18" s="66"/>
      <c r="CD18" s="66"/>
      <c r="CE18" s="66"/>
      <c r="CF18" s="66"/>
      <c r="CG18" s="66" t="s">
        <v>55</v>
      </c>
      <c r="CH18" s="66"/>
      <c r="CI18" s="66"/>
      <c r="CJ18" s="66"/>
      <c r="CK18" s="66"/>
      <c r="CL18" s="66"/>
      <c r="CM18" s="7"/>
      <c r="CN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7"/>
      <c r="CN19" s="7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7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</row>
    <row r="21" customFormat="false" ht="15.75" hidden="false" customHeight="false" outlineLevel="0" collapsed="false">
      <c r="A21" s="70" t="s">
        <v>56</v>
      </c>
      <c r="B21" s="71" t="s">
        <v>57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7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</row>
    <row r="22" customFormat="false" ht="15.75" hidden="false" customHeight="false" outlineLevel="0" collapsed="false">
      <c r="A22" s="70" t="s">
        <v>58</v>
      </c>
      <c r="B22" s="71" t="s">
        <v>59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7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4"/>
    </row>
    <row r="24" customFormat="false" ht="15.75" hidden="false" customHeight="true" outlineLevel="0" collapsed="false">
      <c r="A24" s="75" t="s">
        <v>60</v>
      </c>
      <c r="B24" s="75" t="s">
        <v>61</v>
      </c>
      <c r="C24" s="75" t="s">
        <v>62</v>
      </c>
      <c r="D24" s="75" t="s">
        <v>63</v>
      </c>
    </row>
    <row r="25" customFormat="false" ht="15.75" hidden="false" customHeight="false" outlineLevel="0" collapsed="false">
      <c r="A25" s="75"/>
      <c r="B25" s="75"/>
      <c r="C25" s="75"/>
      <c r="D25" s="75"/>
    </row>
    <row r="26" customFormat="false" ht="15.75" hidden="false" customHeight="false" outlineLevel="0" collapsed="false">
      <c r="A26" s="76" t="n">
        <v>2</v>
      </c>
      <c r="B26" s="4" t="s">
        <v>37</v>
      </c>
      <c r="C26" s="4" t="s">
        <v>64</v>
      </c>
      <c r="D26" s="4" t="n">
        <v>1</v>
      </c>
      <c r="E26" s="77" t="e">
        <f aca="false" t="array" ref="E26:F35">sort(B6:C15,2,FALSE())</f>
        <v>#NAME?</v>
      </c>
      <c r="F26" s="78" t="e">
        <v>#NAME?</v>
      </c>
    </row>
    <row r="27" customFormat="false" ht="15.75" hidden="false" customHeight="false" outlineLevel="0" collapsed="false">
      <c r="A27" s="76" t="n">
        <v>7</v>
      </c>
      <c r="B27" s="4" t="s">
        <v>32</v>
      </c>
      <c r="C27" s="4" t="s">
        <v>64</v>
      </c>
      <c r="D27" s="4" t="n">
        <v>2.5</v>
      </c>
      <c r="E27" s="78" t="e">
        <v>#NAME?</v>
      </c>
      <c r="F27" s="78" t="e">
        <v>#NAME?</v>
      </c>
    </row>
    <row r="28" customFormat="false" ht="15.75" hidden="false" customHeight="false" outlineLevel="0" collapsed="false">
      <c r="A28" s="76" t="n">
        <v>10</v>
      </c>
      <c r="B28" s="4" t="s">
        <v>35</v>
      </c>
      <c r="C28" s="4" t="s">
        <v>65</v>
      </c>
      <c r="D28" s="4" t="n">
        <v>0</v>
      </c>
      <c r="E28" s="78" t="e">
        <v>#NAME?</v>
      </c>
      <c r="F28" s="78" t="e">
        <v>#NAME?</v>
      </c>
    </row>
    <row r="29" customFormat="false" ht="15.75" hidden="false" customHeight="false" outlineLevel="0" collapsed="false">
      <c r="A29" s="4" t="n">
        <v>13</v>
      </c>
      <c r="B29" s="4" t="s">
        <v>39</v>
      </c>
      <c r="C29" s="4" t="s">
        <v>65</v>
      </c>
      <c r="D29" s="4" t="n">
        <v>0</v>
      </c>
      <c r="E29" s="78" t="e">
        <v>#NAME?</v>
      </c>
      <c r="F29" s="78" t="e">
        <v>#NAME?</v>
      </c>
    </row>
    <row r="30" customFormat="false" ht="15.75" hidden="false" customHeight="false" outlineLevel="0" collapsed="false">
      <c r="A30" s="4"/>
      <c r="B30" s="4"/>
      <c r="C30" s="4"/>
      <c r="E30" s="78" t="e">
        <v>#NAME?</v>
      </c>
      <c r="F30" s="78" t="e">
        <v>#NAME?</v>
      </c>
    </row>
    <row r="31" customFormat="false" ht="15.75" hidden="false" customHeight="false" outlineLevel="0" collapsed="false">
      <c r="A31" s="4"/>
      <c r="B31" s="4"/>
      <c r="C31" s="4"/>
      <c r="E31" s="78" t="e">
        <v>#NAME?</v>
      </c>
      <c r="F31" s="78" t="e">
        <v>#NAME?</v>
      </c>
    </row>
    <row r="32" customFormat="false" ht="15.75" hidden="false" customHeight="false" outlineLevel="0" collapsed="false">
      <c r="A32" s="4"/>
      <c r="B32" s="4"/>
      <c r="C32" s="4"/>
      <c r="E32" s="78" t="e">
        <v>#NAME?</v>
      </c>
      <c r="F32" s="78" t="e">
        <v>#NAME?</v>
      </c>
    </row>
    <row r="33" customFormat="false" ht="15.75" hidden="false" customHeight="false" outlineLevel="0" collapsed="false">
      <c r="A33" s="4"/>
      <c r="B33" s="4"/>
      <c r="C33" s="4"/>
      <c r="E33" s="78" t="e">
        <v>#NAME?</v>
      </c>
      <c r="F33" s="78" t="e">
        <v>#NAME?</v>
      </c>
    </row>
    <row r="34" customFormat="false" ht="15.75" hidden="false" customHeight="false" outlineLevel="0" collapsed="false">
      <c r="A34" s="4"/>
      <c r="B34" s="4"/>
      <c r="C34" s="4"/>
      <c r="E34" s="78" t="e">
        <v>#NAME?</v>
      </c>
      <c r="F34" s="78" t="e">
        <v>#NAME?</v>
      </c>
    </row>
    <row r="35" customFormat="false" ht="15.75" hidden="false" customHeight="false" outlineLevel="0" collapsed="false">
      <c r="A35" s="4"/>
      <c r="B35" s="4"/>
      <c r="C35" s="4"/>
      <c r="E35" s="78" t="e">
        <v>#NAME?</v>
      </c>
      <c r="F35" s="78" t="e">
        <v>#NAME?</v>
      </c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</sheetData>
  <mergeCells count="53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BB4"/>
    <mergeCell ref="BC4:BH4"/>
    <mergeCell ref="BI4:BN4"/>
    <mergeCell ref="BO4:BT4"/>
    <mergeCell ref="BU4:BZ4"/>
    <mergeCell ref="CA4:CF4"/>
    <mergeCell ref="CG4:CL4"/>
    <mergeCell ref="CM4:CM5"/>
    <mergeCell ref="G16:L17"/>
    <mergeCell ref="M16:R17"/>
    <mergeCell ref="S16:X17"/>
    <mergeCell ref="Y16:AD17"/>
    <mergeCell ref="AE16:AJ17"/>
    <mergeCell ref="AK16:AP17"/>
    <mergeCell ref="AQ16:AV17"/>
    <mergeCell ref="AW16:BB17"/>
    <mergeCell ref="BC16:BH17"/>
    <mergeCell ref="BI16:BN17"/>
    <mergeCell ref="BO16:BT17"/>
    <mergeCell ref="BU16:BZ17"/>
    <mergeCell ref="CA16:CF17"/>
    <mergeCell ref="CG16:CL17"/>
    <mergeCell ref="G18:L18"/>
    <mergeCell ref="M18:R18"/>
    <mergeCell ref="S18:X18"/>
    <mergeCell ref="Y18:AD18"/>
    <mergeCell ref="AE18:AJ18"/>
    <mergeCell ref="AK18:AP18"/>
    <mergeCell ref="AQ18:AV18"/>
    <mergeCell ref="AW18:BB18"/>
    <mergeCell ref="BC18:BH18"/>
    <mergeCell ref="BI18:BN18"/>
    <mergeCell ref="BO18:BT18"/>
    <mergeCell ref="BU18:BZ18"/>
    <mergeCell ref="CA18:CF18"/>
    <mergeCell ref="CG18:CL18"/>
    <mergeCell ref="A24:A25"/>
    <mergeCell ref="B24:B25"/>
    <mergeCell ref="C24:C25"/>
    <mergeCell ref="D24:D25"/>
  </mergeCells>
  <dataValidations count="8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M18 S18 Y18 AE18 AK18 AQ18 AW18 BC18 BI18 BO18 BU18 CA18 CG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B21:B22" type="list">
      <formula1>"Yesterday,Shaok,Ася,Бамблби,Жнец,Пила,Mary Poppins,BonAqua,Грибочки,Самаритянка,-"</formula1>
      <formula2>0</formula2>
    </dataValidation>
    <dataValidation allowBlank="true" errorStyle="stop" operator="between" showDropDown="false" showErrorMessage="true" showInputMessage="false" sqref="H6:H15 N6:N15 T6:T15 Z6:Z15 AF6:AF15 AL6:AL15 AR6:AR15 AX6:AX15 BD6:BD15 BJ6:BJ15 BP6:BP15 BV6:BV15 CB6:CB15 CH6:CH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 AZ6:AZ15 BF6:BF15 BL6:BL15 BR6:BR15 BX6:BX15 CD6:CD15 CJ6:CJ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 AW6:AW15 BC6:BC15 BI6:BI15 BO6:BO15 BU6:BU15 CA6:CA15 CG6:CG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Финал!$B$6:$B$15</formula1>
      <formula2>0</formula2>
    </dataValidation>
    <dataValidation allowBlank="true" errorStyle="stop" operator="between" showDropDown="false" showErrorMessage="true" showInputMessage="false" sqref="G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города на круг при девятерых,Победа мафии 2в2,Победа мафии 1в1,Победа мафии "&amp;"1в1 (ППК),Победа мафии 2в2,Победа мафии 2в2 (ППК),Победа мафии 3в3,Победа мафии 3в3 (ППК),Победа мафии (ППК)"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19.51"/>
    <col collapsed="false" customWidth="true" hidden="false" outlineLevel="0" max="4" min="4" style="0" width="12.38"/>
    <col collapsed="false" customWidth="true" hidden="false" outlineLevel="0" max="10" min="7" style="0" width="10.13"/>
    <col collapsed="false" customWidth="true" hidden="false" outlineLevel="0" max="12" min="11" style="0" width="6.38"/>
    <col collapsed="false" customWidth="true" hidden="false" outlineLevel="0" max="16" min="13" style="0" width="10.13"/>
    <col collapsed="false" customWidth="true" hidden="false" outlineLevel="0" max="18" min="17" style="0" width="6.38"/>
    <col collapsed="false" customWidth="true" hidden="false" outlineLevel="0" max="22" min="19" style="0" width="10.13"/>
    <col collapsed="false" customWidth="true" hidden="false" outlineLevel="0" max="24" min="23" style="0" width="6.38"/>
    <col collapsed="false" customWidth="true" hidden="false" outlineLevel="0" max="28" min="25" style="0" width="10.13"/>
    <col collapsed="false" customWidth="true" hidden="false" outlineLevel="0" max="30" min="29" style="0" width="6.38"/>
    <col collapsed="false" customWidth="true" hidden="false" outlineLevel="0" max="34" min="31" style="0" width="10.13"/>
    <col collapsed="false" customWidth="true" hidden="false" outlineLevel="0" max="36" min="35" style="0" width="6.38"/>
    <col collapsed="false" customWidth="true" hidden="false" outlineLevel="0" max="40" min="37" style="0" width="10.13"/>
    <col collapsed="false" customWidth="true" hidden="false" outlineLevel="0" max="42" min="41" style="0" width="6.38"/>
    <col collapsed="false" customWidth="true" hidden="false" outlineLevel="0" max="46" min="43" style="0" width="10.13"/>
    <col collapsed="false" customWidth="true" hidden="false" outlineLevel="0" max="48" min="47" style="0" width="6.38"/>
    <col collapsed="false" customWidth="true" hidden="false" outlineLevel="0" max="52" min="49" style="0" width="10.13"/>
    <col collapsed="false" customWidth="true" hidden="false" outlineLevel="0" max="54" min="53" style="0" width="6.38"/>
    <col collapsed="false" customWidth="true" hidden="false" outlineLevel="0" max="55" min="55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customFormat="false" ht="15.75" hidden="false" customHeight="false" outlineLevel="0" collapsed="false">
      <c r="A2" s="5" t="s">
        <v>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7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/>
      <c r="BD3" s="7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7" t="s">
        <v>14</v>
      </c>
      <c r="AX4" s="17"/>
      <c r="AY4" s="17"/>
      <c r="AZ4" s="17"/>
      <c r="BA4" s="17"/>
      <c r="BB4" s="17"/>
      <c r="BC4" s="18" t="s">
        <v>21</v>
      </c>
      <c r="BD4" s="19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24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24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22" t="s">
        <v>22</v>
      </c>
      <c r="AX5" s="22" t="s">
        <v>5</v>
      </c>
      <c r="AY5" s="22" t="s">
        <v>23</v>
      </c>
      <c r="AZ5" s="22" t="s">
        <v>24</v>
      </c>
      <c r="BA5" s="22" t="s">
        <v>25</v>
      </c>
      <c r="BB5" s="23" t="s">
        <v>26</v>
      </c>
      <c r="BC5" s="18"/>
      <c r="BD5" s="25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</row>
    <row r="6" customFormat="false" ht="18.75" hidden="false" customHeight="true" outlineLevel="0" collapsed="false">
      <c r="A6" s="27" t="n">
        <v>1</v>
      </c>
      <c r="B6" s="28" t="s">
        <v>67</v>
      </c>
      <c r="C6" s="29" t="n">
        <f aca="false">SUM(H6:BC6)</f>
        <v>32</v>
      </c>
      <c r="D6" s="79" t="n">
        <f aca="false">E6/2.5</f>
        <v>4</v>
      </c>
      <c r="E6" s="80" t="n">
        <f aca="false">SUM(H6+N6+T6+Z6+AF6+AL6+AR6+AX6)</f>
        <v>10</v>
      </c>
      <c r="F6" s="81" t="n">
        <f aca="false">C6-E6-BC6</f>
        <v>22</v>
      </c>
      <c r="G6" s="33" t="s">
        <v>34</v>
      </c>
      <c r="H6" s="34"/>
      <c r="I6" s="34" t="n">
        <v>2.75</v>
      </c>
      <c r="J6" s="35"/>
      <c r="K6" s="36"/>
      <c r="L6" s="37"/>
      <c r="M6" s="33" t="s">
        <v>28</v>
      </c>
      <c r="N6" s="34" t="n">
        <v>2.5</v>
      </c>
      <c r="O6" s="34" t="n">
        <v>2</v>
      </c>
      <c r="P6" s="35" t="s">
        <v>29</v>
      </c>
      <c r="Q6" s="36"/>
      <c r="R6" s="37" t="n">
        <v>0.5</v>
      </c>
      <c r="S6" s="35" t="s">
        <v>28</v>
      </c>
      <c r="T6" s="34"/>
      <c r="U6" s="34" t="n">
        <v>1.75</v>
      </c>
      <c r="V6" s="35"/>
      <c r="W6" s="36"/>
      <c r="X6" s="37"/>
      <c r="Y6" s="35" t="s">
        <v>28</v>
      </c>
      <c r="Z6" s="34"/>
      <c r="AA6" s="34" t="n">
        <v>2</v>
      </c>
      <c r="AB6" s="35"/>
      <c r="AC6" s="36"/>
      <c r="AD6" s="37"/>
      <c r="AE6" s="35" t="s">
        <v>28</v>
      </c>
      <c r="AF6" s="34" t="n">
        <v>2.5</v>
      </c>
      <c r="AG6" s="34" t="n">
        <v>4</v>
      </c>
      <c r="AH6" s="35"/>
      <c r="AI6" s="36"/>
      <c r="AJ6" s="37"/>
      <c r="AK6" s="35" t="s">
        <v>28</v>
      </c>
      <c r="AL6" s="34" t="n">
        <v>2.5</v>
      </c>
      <c r="AM6" s="34" t="n">
        <v>3.75</v>
      </c>
      <c r="AN6" s="35"/>
      <c r="AO6" s="36"/>
      <c r="AP6" s="37"/>
      <c r="AQ6" s="35" t="s">
        <v>34</v>
      </c>
      <c r="AR6" s="34" t="n">
        <v>2.5</v>
      </c>
      <c r="AS6" s="34" t="n">
        <v>3.25</v>
      </c>
      <c r="AT6" s="35"/>
      <c r="AU6" s="36"/>
      <c r="AV6" s="37"/>
      <c r="AW6" s="35" t="s">
        <v>28</v>
      </c>
      <c r="AX6" s="34"/>
      <c r="AY6" s="34" t="n">
        <v>2</v>
      </c>
      <c r="AZ6" s="35"/>
      <c r="BA6" s="36"/>
      <c r="BB6" s="37"/>
      <c r="BC6" s="39"/>
      <c r="BD6" s="40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</row>
    <row r="7" customFormat="false" ht="18.75" hidden="false" customHeight="true" outlineLevel="0" collapsed="false">
      <c r="A7" s="27" t="n">
        <v>2</v>
      </c>
      <c r="B7" s="41" t="s">
        <v>43</v>
      </c>
      <c r="C7" s="29" t="n">
        <f aca="false">SUM(H7:BC7)</f>
        <v>34.5</v>
      </c>
      <c r="D7" s="82" t="n">
        <f aca="false">E7/2.5</f>
        <v>4</v>
      </c>
      <c r="E7" s="31" t="n">
        <f aca="false">SUM(H7+N7+T7+Z7+AF7+AL7+AR7+AX7)</f>
        <v>10</v>
      </c>
      <c r="F7" s="81" t="n">
        <f aca="false">C7-E7-BC7</f>
        <v>24.5</v>
      </c>
      <c r="G7" s="33" t="s">
        <v>31</v>
      </c>
      <c r="H7" s="34"/>
      <c r="I7" s="34" t="n">
        <v>2.25</v>
      </c>
      <c r="J7" s="35"/>
      <c r="K7" s="36"/>
      <c r="L7" s="37"/>
      <c r="M7" s="33" t="s">
        <v>28</v>
      </c>
      <c r="N7" s="34" t="n">
        <v>2.5</v>
      </c>
      <c r="O7" s="34" t="n">
        <v>3</v>
      </c>
      <c r="P7" s="35"/>
      <c r="Q7" s="36"/>
      <c r="R7" s="37"/>
      <c r="S7" s="35" t="s">
        <v>30</v>
      </c>
      <c r="T7" s="34"/>
      <c r="U7" s="34" t="n">
        <v>2</v>
      </c>
      <c r="V7" s="35"/>
      <c r="W7" s="36"/>
      <c r="X7" s="37"/>
      <c r="Y7" s="35" t="s">
        <v>28</v>
      </c>
      <c r="Z7" s="34"/>
      <c r="AA7" s="34" t="n">
        <v>3</v>
      </c>
      <c r="AB7" s="35"/>
      <c r="AC7" s="36"/>
      <c r="AD7" s="37"/>
      <c r="AE7" s="35" t="s">
        <v>28</v>
      </c>
      <c r="AF7" s="34" t="n">
        <v>2.5</v>
      </c>
      <c r="AG7" s="34" t="n">
        <v>4.5</v>
      </c>
      <c r="AH7" s="35"/>
      <c r="AI7" s="36"/>
      <c r="AJ7" s="37"/>
      <c r="AK7" s="35" t="s">
        <v>31</v>
      </c>
      <c r="AL7" s="34"/>
      <c r="AM7" s="34" t="n">
        <v>2.75</v>
      </c>
      <c r="AN7" s="35" t="s">
        <v>33</v>
      </c>
      <c r="AO7" s="36"/>
      <c r="AP7" s="37"/>
      <c r="AQ7" s="35" t="s">
        <v>31</v>
      </c>
      <c r="AR7" s="34" t="n">
        <v>2.5</v>
      </c>
      <c r="AS7" s="34" t="n">
        <v>3</v>
      </c>
      <c r="AT7" s="35"/>
      <c r="AU7" s="36"/>
      <c r="AV7" s="37"/>
      <c r="AW7" s="35" t="s">
        <v>31</v>
      </c>
      <c r="AX7" s="34" t="n">
        <v>2.5</v>
      </c>
      <c r="AY7" s="34" t="n">
        <v>4</v>
      </c>
      <c r="AZ7" s="35" t="s">
        <v>36</v>
      </c>
      <c r="BA7" s="36"/>
      <c r="BB7" s="37"/>
      <c r="BC7" s="32"/>
      <c r="BD7" s="4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</row>
    <row r="8" customFormat="false" ht="18.75" hidden="false" customHeight="true" outlineLevel="0" collapsed="false">
      <c r="A8" s="27" t="n">
        <v>3</v>
      </c>
      <c r="B8" s="41" t="s">
        <v>68</v>
      </c>
      <c r="C8" s="29" t="n">
        <f aca="false">SUM(H8:BC8)</f>
        <v>27.25</v>
      </c>
      <c r="D8" s="82" t="n">
        <f aca="false">E8/2.5</f>
        <v>3</v>
      </c>
      <c r="E8" s="31" t="n">
        <f aca="false">SUM(H8+N8+T8+Z8+AF8+AL8+AR8+AX8)</f>
        <v>7.5</v>
      </c>
      <c r="F8" s="81" t="n">
        <f aca="false">C8-E8-BC8</f>
        <v>19.75</v>
      </c>
      <c r="G8" s="33" t="s">
        <v>28</v>
      </c>
      <c r="H8" s="34" t="n">
        <v>2.5</v>
      </c>
      <c r="I8" s="34" t="n">
        <v>3</v>
      </c>
      <c r="J8" s="35" t="s">
        <v>36</v>
      </c>
      <c r="K8" s="36"/>
      <c r="L8" s="37"/>
      <c r="M8" s="33" t="s">
        <v>34</v>
      </c>
      <c r="N8" s="34"/>
      <c r="O8" s="34" t="n">
        <v>2</v>
      </c>
      <c r="P8" s="35"/>
      <c r="Q8" s="36"/>
      <c r="R8" s="37"/>
      <c r="S8" s="35" t="s">
        <v>28</v>
      </c>
      <c r="T8" s="34"/>
      <c r="U8" s="34" t="n">
        <v>2</v>
      </c>
      <c r="V8" s="35"/>
      <c r="W8" s="36"/>
      <c r="X8" s="37"/>
      <c r="Y8" s="35" t="s">
        <v>28</v>
      </c>
      <c r="Z8" s="34"/>
      <c r="AA8" s="34" t="n">
        <v>2.25</v>
      </c>
      <c r="AB8" s="35"/>
      <c r="AC8" s="36"/>
      <c r="AD8" s="37"/>
      <c r="AE8" s="35" t="s">
        <v>28</v>
      </c>
      <c r="AF8" s="34" t="n">
        <v>2.5</v>
      </c>
      <c r="AG8" s="34" t="n">
        <v>2.5</v>
      </c>
      <c r="AH8" s="35"/>
      <c r="AI8" s="36"/>
      <c r="AJ8" s="37"/>
      <c r="AK8" s="35" t="s">
        <v>28</v>
      </c>
      <c r="AL8" s="34" t="n">
        <v>2.5</v>
      </c>
      <c r="AM8" s="34" t="n">
        <v>2.5</v>
      </c>
      <c r="AN8" s="35" t="s">
        <v>29</v>
      </c>
      <c r="AO8" s="36" t="n">
        <v>0.5</v>
      </c>
      <c r="AP8" s="37" t="n">
        <v>0.5</v>
      </c>
      <c r="AQ8" s="35" t="s">
        <v>28</v>
      </c>
      <c r="AR8" s="34"/>
      <c r="AS8" s="34" t="n">
        <v>2</v>
      </c>
      <c r="AT8" s="35" t="s">
        <v>33</v>
      </c>
      <c r="AU8" s="36"/>
      <c r="AV8" s="37"/>
      <c r="AW8" s="35" t="s">
        <v>30</v>
      </c>
      <c r="AX8" s="34"/>
      <c r="AY8" s="34" t="n">
        <v>2.5</v>
      </c>
      <c r="AZ8" s="35"/>
      <c r="BA8" s="36"/>
      <c r="BB8" s="37"/>
      <c r="BC8" s="32"/>
      <c r="BD8" s="40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</row>
    <row r="9" customFormat="false" ht="18.75" hidden="false" customHeight="true" outlineLevel="0" collapsed="false">
      <c r="A9" s="27" t="n">
        <v>4</v>
      </c>
      <c r="B9" s="41" t="s">
        <v>42</v>
      </c>
      <c r="C9" s="29" t="n">
        <f aca="false">SUM(H9:BC9)</f>
        <v>34.75</v>
      </c>
      <c r="D9" s="82" t="n">
        <f aca="false">E9/2.5</f>
        <v>5</v>
      </c>
      <c r="E9" s="31" t="n">
        <f aca="false">SUM(H9+N9+T9+Z9+AF9+AL9+AR9+AX9)</f>
        <v>12.5</v>
      </c>
      <c r="F9" s="81" t="n">
        <f aca="false">C9-E9-BC9</f>
        <v>22.25</v>
      </c>
      <c r="G9" s="33" t="s">
        <v>30</v>
      </c>
      <c r="H9" s="34" t="n">
        <v>2.5</v>
      </c>
      <c r="I9" s="34" t="n">
        <v>2.5</v>
      </c>
      <c r="J9" s="35"/>
      <c r="K9" s="36"/>
      <c r="L9" s="37"/>
      <c r="M9" s="33" t="s">
        <v>28</v>
      </c>
      <c r="N9" s="34" t="n">
        <v>2.5</v>
      </c>
      <c r="O9" s="34" t="n">
        <v>3</v>
      </c>
      <c r="P9" s="35"/>
      <c r="Q9" s="36"/>
      <c r="R9" s="37"/>
      <c r="S9" s="35" t="s">
        <v>31</v>
      </c>
      <c r="T9" s="34" t="n">
        <v>2.5</v>
      </c>
      <c r="U9" s="34" t="n">
        <v>3.75</v>
      </c>
      <c r="V9" s="35"/>
      <c r="W9" s="36"/>
      <c r="X9" s="37"/>
      <c r="Y9" s="35" t="s">
        <v>31</v>
      </c>
      <c r="Z9" s="34" t="n">
        <v>2.5</v>
      </c>
      <c r="AA9" s="34" t="n">
        <v>3.25</v>
      </c>
      <c r="AB9" s="35"/>
      <c r="AC9" s="36"/>
      <c r="AD9" s="37"/>
      <c r="AE9" s="35" t="s">
        <v>31</v>
      </c>
      <c r="AF9" s="34"/>
      <c r="AG9" s="34" t="n">
        <v>2.5</v>
      </c>
      <c r="AH9" s="35"/>
      <c r="AI9" s="36"/>
      <c r="AJ9" s="37"/>
      <c r="AK9" s="35" t="s">
        <v>30</v>
      </c>
      <c r="AL9" s="34" t="n">
        <v>2.5</v>
      </c>
      <c r="AM9" s="34" t="n">
        <v>3.25</v>
      </c>
      <c r="AN9" s="35"/>
      <c r="AO9" s="36"/>
      <c r="AP9" s="37"/>
      <c r="AQ9" s="35" t="s">
        <v>30</v>
      </c>
      <c r="AR9" s="34"/>
      <c r="AS9" s="34" t="n">
        <v>2.5</v>
      </c>
      <c r="AT9" s="35"/>
      <c r="AU9" s="36"/>
      <c r="AV9" s="37"/>
      <c r="AW9" s="35" t="s">
        <v>28</v>
      </c>
      <c r="AX9" s="34"/>
      <c r="AY9" s="34" t="n">
        <v>1.5</v>
      </c>
      <c r="AZ9" s="35" t="s">
        <v>33</v>
      </c>
      <c r="BA9" s="36"/>
      <c r="BB9" s="37"/>
      <c r="BC9" s="32"/>
      <c r="BD9" s="40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</row>
    <row r="10" customFormat="false" ht="18.75" hidden="false" customHeight="true" outlineLevel="0" collapsed="false">
      <c r="A10" s="27" t="n">
        <v>5</v>
      </c>
      <c r="B10" s="41" t="s">
        <v>69</v>
      </c>
      <c r="C10" s="29" t="n">
        <f aca="false">SUM(H10:BC10)</f>
        <v>32.25</v>
      </c>
      <c r="D10" s="82" t="n">
        <f aca="false">E10/2.5</f>
        <v>4</v>
      </c>
      <c r="E10" s="31" t="n">
        <f aca="false">SUM(H10+N10+T10+Z10+AF10+AL10+AR10+AX10)</f>
        <v>10</v>
      </c>
      <c r="F10" s="81" t="n">
        <f aca="false">C10-E10-BC10</f>
        <v>22.25</v>
      </c>
      <c r="G10" s="33" t="s">
        <v>31</v>
      </c>
      <c r="H10" s="34"/>
      <c r="I10" s="34" t="n">
        <v>2.5</v>
      </c>
      <c r="J10" s="35" t="s">
        <v>33</v>
      </c>
      <c r="K10" s="36"/>
      <c r="L10" s="45"/>
      <c r="M10" s="33" t="s">
        <v>28</v>
      </c>
      <c r="N10" s="34" t="n">
        <v>2.5</v>
      </c>
      <c r="O10" s="34" t="n">
        <v>3.25</v>
      </c>
      <c r="P10" s="35"/>
      <c r="Q10" s="36"/>
      <c r="R10" s="37"/>
      <c r="S10" s="35" t="s">
        <v>28</v>
      </c>
      <c r="T10" s="34"/>
      <c r="U10" s="34" t="n">
        <v>2.25</v>
      </c>
      <c r="V10" s="35" t="s">
        <v>29</v>
      </c>
      <c r="W10" s="36"/>
      <c r="X10" s="37" t="n">
        <v>0.5</v>
      </c>
      <c r="Y10" s="35" t="s">
        <v>31</v>
      </c>
      <c r="Z10" s="34" t="n">
        <v>2.5</v>
      </c>
      <c r="AA10" s="34" t="n">
        <v>3.25</v>
      </c>
      <c r="AB10" s="35"/>
      <c r="AC10" s="36"/>
      <c r="AD10" s="37"/>
      <c r="AE10" s="35" t="s">
        <v>31</v>
      </c>
      <c r="AF10" s="34"/>
      <c r="AG10" s="34" t="n">
        <v>2</v>
      </c>
      <c r="AH10" s="35"/>
      <c r="AI10" s="36"/>
      <c r="AJ10" s="37"/>
      <c r="AK10" s="35" t="s">
        <v>28</v>
      </c>
      <c r="AL10" s="34" t="n">
        <v>2.5</v>
      </c>
      <c r="AM10" s="34" t="n">
        <v>3.75</v>
      </c>
      <c r="AN10" s="35" t="s">
        <v>36</v>
      </c>
      <c r="AO10" s="36"/>
      <c r="AP10" s="37"/>
      <c r="AQ10" s="35" t="s">
        <v>28</v>
      </c>
      <c r="AR10" s="34"/>
      <c r="AS10" s="34" t="n">
        <v>1.75</v>
      </c>
      <c r="AT10" s="35"/>
      <c r="AU10" s="36"/>
      <c r="AV10" s="37"/>
      <c r="AW10" s="35" t="s">
        <v>31</v>
      </c>
      <c r="AX10" s="34" t="n">
        <v>2.5</v>
      </c>
      <c r="AY10" s="34" t="n">
        <v>3</v>
      </c>
      <c r="AZ10" s="35"/>
      <c r="BA10" s="36"/>
      <c r="BB10" s="37"/>
      <c r="BC10" s="32"/>
      <c r="BD10" s="40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</row>
    <row r="11" customFormat="false" ht="18.75" hidden="false" customHeight="true" outlineLevel="0" collapsed="false">
      <c r="A11" s="27" t="n">
        <v>6</v>
      </c>
      <c r="B11" s="41" t="s">
        <v>39</v>
      </c>
      <c r="C11" s="29" t="n">
        <f aca="false">SUM(H11:BC11)</f>
        <v>37</v>
      </c>
      <c r="D11" s="82" t="n">
        <f aca="false">E11/2.5</f>
        <v>5</v>
      </c>
      <c r="E11" s="31" t="n">
        <f aca="false">SUM(H11+N11+T11+Z11+AF11+AL11+AR11+AX11)</f>
        <v>12.5</v>
      </c>
      <c r="F11" s="81" t="n">
        <f aca="false">C11-E11-BC11</f>
        <v>24.5</v>
      </c>
      <c r="G11" s="33" t="s">
        <v>28</v>
      </c>
      <c r="H11" s="34" t="n">
        <v>2.5</v>
      </c>
      <c r="I11" s="34" t="n">
        <v>3</v>
      </c>
      <c r="J11" s="35" t="s">
        <v>36</v>
      </c>
      <c r="K11" s="36"/>
      <c r="L11" s="37"/>
      <c r="M11" s="33" t="s">
        <v>28</v>
      </c>
      <c r="N11" s="34" t="n">
        <v>2.5</v>
      </c>
      <c r="O11" s="34" t="n">
        <v>3.25</v>
      </c>
      <c r="P11" s="35"/>
      <c r="Q11" s="36"/>
      <c r="R11" s="37"/>
      <c r="S11" s="35" t="s">
        <v>34</v>
      </c>
      <c r="T11" s="34" t="n">
        <v>2.5</v>
      </c>
      <c r="U11" s="34" t="n">
        <v>4</v>
      </c>
      <c r="V11" s="35"/>
      <c r="W11" s="36"/>
      <c r="X11" s="45"/>
      <c r="Y11" s="35" t="s">
        <v>28</v>
      </c>
      <c r="Z11" s="34"/>
      <c r="AA11" s="34" t="n">
        <v>2.5</v>
      </c>
      <c r="AB11" s="35" t="s">
        <v>29</v>
      </c>
      <c r="AC11" s="36" t="n">
        <v>0.5</v>
      </c>
      <c r="AD11" s="37" t="n">
        <v>0.5</v>
      </c>
      <c r="AE11" s="35" t="s">
        <v>28</v>
      </c>
      <c r="AF11" s="34" t="n">
        <v>2.5</v>
      </c>
      <c r="AG11" s="34" t="n">
        <v>2.5</v>
      </c>
      <c r="AH11" s="35"/>
      <c r="AI11" s="36"/>
      <c r="AJ11" s="37"/>
      <c r="AK11" s="35" t="s">
        <v>31</v>
      </c>
      <c r="AL11" s="34"/>
      <c r="AM11" s="34" t="n">
        <v>2.25</v>
      </c>
      <c r="AN11" s="35"/>
      <c r="AO11" s="36"/>
      <c r="AP11" s="37"/>
      <c r="AQ11" s="35" t="s">
        <v>31</v>
      </c>
      <c r="AR11" s="34" t="n">
        <v>2.5</v>
      </c>
      <c r="AS11" s="34" t="n">
        <v>4</v>
      </c>
      <c r="AT11" s="35" t="s">
        <v>36</v>
      </c>
      <c r="AU11" s="36"/>
      <c r="AV11" s="37"/>
      <c r="AW11" s="35" t="s">
        <v>28</v>
      </c>
      <c r="AX11" s="34"/>
      <c r="AY11" s="34" t="n">
        <v>2</v>
      </c>
      <c r="AZ11" s="35"/>
      <c r="BA11" s="36"/>
      <c r="BB11" s="37"/>
      <c r="BC11" s="32"/>
      <c r="BD11" s="40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</row>
    <row r="12" customFormat="false" ht="18.75" hidden="false" customHeight="true" outlineLevel="0" collapsed="false">
      <c r="A12" s="27" t="n">
        <v>7</v>
      </c>
      <c r="B12" s="41" t="s">
        <v>40</v>
      </c>
      <c r="C12" s="29" t="n">
        <f aca="false">SUM(H12:BC12)</f>
        <v>36.5</v>
      </c>
      <c r="D12" s="82" t="n">
        <f aca="false">E12/2.5</f>
        <v>5</v>
      </c>
      <c r="E12" s="31" t="n">
        <f aca="false">SUM(H12+N12+T12+Z12+AF12+AL12+AR12+AX12)</f>
        <v>12.5</v>
      </c>
      <c r="F12" s="81" t="n">
        <f aca="false">C12-E12-BC12</f>
        <v>24</v>
      </c>
      <c r="G12" s="33" t="s">
        <v>28</v>
      </c>
      <c r="H12" s="34" t="n">
        <v>2.5</v>
      </c>
      <c r="I12" s="34" t="n">
        <v>2.75</v>
      </c>
      <c r="J12" s="35"/>
      <c r="K12" s="36"/>
      <c r="L12" s="37"/>
      <c r="M12" s="33" t="s">
        <v>30</v>
      </c>
      <c r="N12" s="34" t="n">
        <v>2.5</v>
      </c>
      <c r="O12" s="34" t="n">
        <v>3.75</v>
      </c>
      <c r="P12" s="35"/>
      <c r="Q12" s="36"/>
      <c r="R12" s="37"/>
      <c r="S12" s="35" t="s">
        <v>31</v>
      </c>
      <c r="T12" s="34" t="n">
        <v>2.5</v>
      </c>
      <c r="U12" s="34" t="n">
        <v>2.5</v>
      </c>
      <c r="V12" s="35"/>
      <c r="W12" s="36"/>
      <c r="X12" s="37"/>
      <c r="Y12" s="35" t="s">
        <v>30</v>
      </c>
      <c r="Z12" s="34"/>
      <c r="AA12" s="34" t="n">
        <v>2.5</v>
      </c>
      <c r="AB12" s="35"/>
      <c r="AC12" s="34"/>
      <c r="AD12" s="45"/>
      <c r="AE12" s="35" t="s">
        <v>28</v>
      </c>
      <c r="AF12" s="34" t="n">
        <v>2.5</v>
      </c>
      <c r="AG12" s="34" t="n">
        <v>2.75</v>
      </c>
      <c r="AH12" s="35" t="s">
        <v>29</v>
      </c>
      <c r="AI12" s="36" t="n">
        <v>0.5</v>
      </c>
      <c r="AJ12" s="45" t="n">
        <v>0.5</v>
      </c>
      <c r="AK12" s="35" t="s">
        <v>28</v>
      </c>
      <c r="AL12" s="34" t="n">
        <v>2.5</v>
      </c>
      <c r="AM12" s="34" t="n">
        <v>3.25</v>
      </c>
      <c r="AN12" s="35"/>
      <c r="AO12" s="34"/>
      <c r="AP12" s="45"/>
      <c r="AQ12" s="35" t="s">
        <v>28</v>
      </c>
      <c r="AR12" s="34"/>
      <c r="AS12" s="34" t="n">
        <v>3</v>
      </c>
      <c r="AT12" s="35"/>
      <c r="AU12" s="36"/>
      <c r="AV12" s="45"/>
      <c r="AW12" s="35" t="s">
        <v>28</v>
      </c>
      <c r="AX12" s="34"/>
      <c r="AY12" s="34" t="n">
        <v>2.5</v>
      </c>
      <c r="AZ12" s="35"/>
      <c r="BA12" s="36"/>
      <c r="BB12" s="45"/>
      <c r="BC12" s="32"/>
      <c r="BD12" s="40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</row>
    <row r="13" customFormat="false" ht="18.75" hidden="false" customHeight="true" outlineLevel="0" collapsed="false">
      <c r="A13" s="27" t="n">
        <v>8</v>
      </c>
      <c r="B13" s="41" t="s">
        <v>70</v>
      </c>
      <c r="C13" s="29" t="n">
        <f aca="false">SUM(H13:BC13)</f>
        <v>26.25</v>
      </c>
      <c r="D13" s="82" t="n">
        <f aca="false">E13/2.5</f>
        <v>2</v>
      </c>
      <c r="E13" s="31" t="n">
        <f aca="false">SUM(H13+N13+T13+Z13+AF13+AL13+AR13+AX13)</f>
        <v>5</v>
      </c>
      <c r="F13" s="81" t="n">
        <f aca="false">C13-E13-BC13</f>
        <v>21.25</v>
      </c>
      <c r="G13" s="33" t="s">
        <v>28</v>
      </c>
      <c r="H13" s="34" t="n">
        <v>2.5</v>
      </c>
      <c r="I13" s="34" t="n">
        <v>4.25</v>
      </c>
      <c r="J13" s="35"/>
      <c r="K13" s="36"/>
      <c r="L13" s="37"/>
      <c r="M13" s="33" t="s">
        <v>31</v>
      </c>
      <c r="N13" s="34"/>
      <c r="O13" s="34" t="n">
        <v>2.25</v>
      </c>
      <c r="P13" s="35"/>
      <c r="Q13" s="36"/>
      <c r="R13" s="45"/>
      <c r="S13" s="35" t="s">
        <v>28</v>
      </c>
      <c r="T13" s="34"/>
      <c r="U13" s="34" t="n">
        <v>1.75</v>
      </c>
      <c r="V13" s="35"/>
      <c r="W13" s="36"/>
      <c r="X13" s="37"/>
      <c r="Y13" s="35" t="s">
        <v>28</v>
      </c>
      <c r="Z13" s="34"/>
      <c r="AA13" s="34" t="n">
        <v>3</v>
      </c>
      <c r="AB13" s="35"/>
      <c r="AC13" s="36"/>
      <c r="AD13" s="37"/>
      <c r="AE13" s="35" t="s">
        <v>30</v>
      </c>
      <c r="AF13" s="34" t="n">
        <v>2.5</v>
      </c>
      <c r="AG13" s="34" t="n">
        <v>2.5</v>
      </c>
      <c r="AH13" s="35"/>
      <c r="AI13" s="36"/>
      <c r="AJ13" s="37"/>
      <c r="AK13" s="35" t="s">
        <v>34</v>
      </c>
      <c r="AL13" s="34"/>
      <c r="AM13" s="34" t="n">
        <v>2.75</v>
      </c>
      <c r="AN13" s="35"/>
      <c r="AO13" s="36"/>
      <c r="AP13" s="37"/>
      <c r="AQ13" s="35" t="s">
        <v>28</v>
      </c>
      <c r="AR13" s="34"/>
      <c r="AS13" s="34" t="n">
        <v>2.5</v>
      </c>
      <c r="AT13" s="35"/>
      <c r="AU13" s="36"/>
      <c r="AV13" s="37"/>
      <c r="AW13" s="35" t="s">
        <v>28</v>
      </c>
      <c r="AX13" s="34"/>
      <c r="AY13" s="34" t="n">
        <v>1.75</v>
      </c>
      <c r="AZ13" s="35" t="s">
        <v>29</v>
      </c>
      <c r="BA13" s="36"/>
      <c r="BB13" s="37" t="n">
        <v>0.5</v>
      </c>
      <c r="BC13" s="32"/>
      <c r="BD13" s="40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</row>
    <row r="14" customFormat="false" ht="18.75" hidden="false" customHeight="true" outlineLevel="0" collapsed="false">
      <c r="A14" s="27" t="n">
        <v>9</v>
      </c>
      <c r="B14" s="41" t="s">
        <v>71</v>
      </c>
      <c r="C14" s="29" t="n">
        <f aca="false">SUM(H14:BC14)</f>
        <v>27.75</v>
      </c>
      <c r="D14" s="82" t="n">
        <f aca="false">E14/2.5</f>
        <v>3</v>
      </c>
      <c r="E14" s="31" t="n">
        <f aca="false">SUM(H14+N14+T14+Z14+AF14+AL14+AR14+AX14)</f>
        <v>7.5</v>
      </c>
      <c r="F14" s="81" t="n">
        <f aca="false">C14-E14-BC14</f>
        <v>20.25</v>
      </c>
      <c r="G14" s="33" t="s">
        <v>28</v>
      </c>
      <c r="H14" s="34" t="n">
        <v>2.5</v>
      </c>
      <c r="I14" s="34" t="n">
        <v>3.5</v>
      </c>
      <c r="J14" s="35"/>
      <c r="K14" s="36"/>
      <c r="L14" s="37"/>
      <c r="M14" s="33" t="s">
        <v>28</v>
      </c>
      <c r="N14" s="34" t="n">
        <v>2.5</v>
      </c>
      <c r="O14" s="34" t="n">
        <v>3</v>
      </c>
      <c r="P14" s="35"/>
      <c r="Q14" s="36"/>
      <c r="R14" s="37"/>
      <c r="S14" s="35" t="s">
        <v>28</v>
      </c>
      <c r="T14" s="34"/>
      <c r="U14" s="34" t="n">
        <v>3.25</v>
      </c>
      <c r="V14" s="35"/>
      <c r="W14" s="36"/>
      <c r="X14" s="37"/>
      <c r="Y14" s="35" t="s">
        <v>28</v>
      </c>
      <c r="Z14" s="34"/>
      <c r="AA14" s="34" t="n">
        <v>2</v>
      </c>
      <c r="AB14" s="35"/>
      <c r="AC14" s="36"/>
      <c r="AD14" s="37"/>
      <c r="AE14" s="35" t="s">
        <v>34</v>
      </c>
      <c r="AF14" s="34"/>
      <c r="AG14" s="34" t="n">
        <v>1.5</v>
      </c>
      <c r="AH14" s="35"/>
      <c r="AI14" s="36"/>
      <c r="AJ14" s="37"/>
      <c r="AK14" s="35" t="s">
        <v>28</v>
      </c>
      <c r="AL14" s="34" t="n">
        <v>2.5</v>
      </c>
      <c r="AM14" s="34" t="n">
        <v>3</v>
      </c>
      <c r="AN14" s="35"/>
      <c r="AO14" s="36"/>
      <c r="AP14" s="37"/>
      <c r="AQ14" s="35" t="s">
        <v>28</v>
      </c>
      <c r="AR14" s="34"/>
      <c r="AS14" s="34" t="n">
        <v>2</v>
      </c>
      <c r="AT14" s="35" t="s">
        <v>29</v>
      </c>
      <c r="AU14" s="36"/>
      <c r="AV14" s="37" t="n">
        <v>0.5</v>
      </c>
      <c r="AW14" s="35" t="s">
        <v>28</v>
      </c>
      <c r="AX14" s="34"/>
      <c r="AY14" s="34" t="n">
        <v>1.5</v>
      </c>
      <c r="AZ14" s="35" t="s">
        <v>33</v>
      </c>
      <c r="BA14" s="36"/>
      <c r="BB14" s="37"/>
      <c r="BC14" s="32"/>
      <c r="BD14" s="40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</row>
    <row r="15" customFormat="false" ht="18.75" hidden="false" customHeight="true" outlineLevel="0" collapsed="false">
      <c r="A15" s="46" t="n">
        <v>10</v>
      </c>
      <c r="B15" s="83" t="s">
        <v>41</v>
      </c>
      <c r="C15" s="84" t="n">
        <f aca="false">SUM(H15:BC15)</f>
        <v>35</v>
      </c>
      <c r="D15" s="85" t="n">
        <f aca="false">E15/2.5</f>
        <v>5</v>
      </c>
      <c r="E15" s="48" t="n">
        <f aca="false">SUM(H15+N15+T15+Z15+AF15+AL15+AR15+AX15)</f>
        <v>12.5</v>
      </c>
      <c r="F15" s="86" t="n">
        <f aca="false">C15-E15-BC15</f>
        <v>22.5</v>
      </c>
      <c r="G15" s="49" t="s">
        <v>28</v>
      </c>
      <c r="H15" s="50" t="n">
        <v>2.5</v>
      </c>
      <c r="I15" s="50" t="n">
        <v>2</v>
      </c>
      <c r="J15" s="51" t="s">
        <v>29</v>
      </c>
      <c r="K15" s="52"/>
      <c r="L15" s="53" t="n">
        <v>0.5</v>
      </c>
      <c r="M15" s="49" t="s">
        <v>31</v>
      </c>
      <c r="N15" s="50"/>
      <c r="O15" s="50" t="n">
        <v>1.75</v>
      </c>
      <c r="P15" s="51"/>
      <c r="Q15" s="52"/>
      <c r="R15" s="53"/>
      <c r="S15" s="51" t="s">
        <v>28</v>
      </c>
      <c r="T15" s="50"/>
      <c r="U15" s="50" t="n">
        <v>2.5</v>
      </c>
      <c r="V15" s="51"/>
      <c r="W15" s="52"/>
      <c r="X15" s="53"/>
      <c r="Y15" s="51" t="s">
        <v>34</v>
      </c>
      <c r="Z15" s="50" t="n">
        <v>2.5</v>
      </c>
      <c r="AA15" s="50" t="n">
        <v>4</v>
      </c>
      <c r="AB15" s="51"/>
      <c r="AC15" s="52"/>
      <c r="AD15" s="53"/>
      <c r="AE15" s="51" t="s">
        <v>28</v>
      </c>
      <c r="AF15" s="50" t="n">
        <v>2.5</v>
      </c>
      <c r="AG15" s="50" t="n">
        <v>3.75</v>
      </c>
      <c r="AH15" s="51"/>
      <c r="AI15" s="52"/>
      <c r="AJ15" s="53"/>
      <c r="AK15" s="51" t="s">
        <v>28</v>
      </c>
      <c r="AL15" s="50" t="n">
        <v>2.5</v>
      </c>
      <c r="AM15" s="50" t="n">
        <v>2.75</v>
      </c>
      <c r="AN15" s="51" t="s">
        <v>36</v>
      </c>
      <c r="AO15" s="52"/>
      <c r="AP15" s="53"/>
      <c r="AQ15" s="51" t="s">
        <v>28</v>
      </c>
      <c r="AR15" s="50"/>
      <c r="AS15" s="50" t="n">
        <v>2.25</v>
      </c>
      <c r="AT15" s="51" t="s">
        <v>33</v>
      </c>
      <c r="AU15" s="52"/>
      <c r="AV15" s="53"/>
      <c r="AW15" s="51" t="s">
        <v>34</v>
      </c>
      <c r="AX15" s="50" t="n">
        <v>2.5</v>
      </c>
      <c r="AY15" s="50" t="n">
        <v>3</v>
      </c>
      <c r="AZ15" s="51"/>
      <c r="BA15" s="52"/>
      <c r="BB15" s="53"/>
      <c r="BC15" s="55"/>
      <c r="BD15" s="40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87"/>
      <c r="H16" s="87"/>
      <c r="I16" s="87"/>
      <c r="J16" s="87"/>
      <c r="K16" s="87"/>
      <c r="L16" s="87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7"/>
      <c r="BD16" s="60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87"/>
      <c r="H17" s="87"/>
      <c r="I17" s="87"/>
      <c r="J17" s="87"/>
      <c r="K17" s="87"/>
      <c r="L17" s="87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7"/>
      <c r="BD17" s="60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55</v>
      </c>
      <c r="N18" s="66"/>
      <c r="O18" s="66"/>
      <c r="P18" s="66"/>
      <c r="Q18" s="66"/>
      <c r="R18" s="66"/>
      <c r="S18" s="66" t="s">
        <v>52</v>
      </c>
      <c r="T18" s="66"/>
      <c r="U18" s="66"/>
      <c r="V18" s="66"/>
      <c r="W18" s="66"/>
      <c r="X18" s="66"/>
      <c r="Y18" s="66" t="s">
        <v>52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50</v>
      </c>
      <c r="AL18" s="66"/>
      <c r="AM18" s="66"/>
      <c r="AN18" s="66"/>
      <c r="AO18" s="66"/>
      <c r="AP18" s="66"/>
      <c r="AQ18" s="66" t="s">
        <v>51</v>
      </c>
      <c r="AR18" s="66"/>
      <c r="AS18" s="66"/>
      <c r="AT18" s="66"/>
      <c r="AU18" s="66"/>
      <c r="AV18" s="66"/>
      <c r="AW18" s="66" t="s">
        <v>51</v>
      </c>
      <c r="AX18" s="66"/>
      <c r="AY18" s="66"/>
      <c r="AZ18" s="66"/>
      <c r="BA18" s="66"/>
      <c r="BB18" s="66"/>
      <c r="BC18" s="7"/>
      <c r="BD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7"/>
      <c r="BD19" s="7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7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 customFormat="false" ht="15.75" hidden="false" customHeight="false" outlineLevel="0" collapsed="false">
      <c r="A21" s="70" t="s">
        <v>56</v>
      </c>
      <c r="B21" s="71" t="s">
        <v>57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7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 customFormat="false" ht="15.75" hidden="false" customHeight="false" outlineLevel="0" collapsed="false">
      <c r="A22" s="70" t="s">
        <v>58</v>
      </c>
      <c r="B22" s="71" t="s">
        <v>72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7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4"/>
    </row>
    <row r="24" customFormat="false" ht="15.75" hidden="false" customHeight="true" outlineLevel="0" collapsed="false">
      <c r="A24" s="75" t="s">
        <v>60</v>
      </c>
      <c r="B24" s="75" t="s">
        <v>61</v>
      </c>
      <c r="C24" s="75" t="s">
        <v>62</v>
      </c>
      <c r="D24" s="75" t="s">
        <v>63</v>
      </c>
    </row>
    <row r="25" customFormat="false" ht="15.75" hidden="false" customHeight="false" outlineLevel="0" collapsed="false">
      <c r="A25" s="75"/>
      <c r="B25" s="75"/>
      <c r="C25" s="75"/>
      <c r="D25" s="75"/>
    </row>
    <row r="26" customFormat="false" ht="15.75" hidden="false" customHeight="false" outlineLevel="0" collapsed="false">
      <c r="A26" s="76"/>
      <c r="B26" s="4"/>
      <c r="C26" s="4"/>
      <c r="E26" s="77" t="e">
        <f aca="false" t="array" ref="E26:F35">sort(B6:C15,2,FALSE())</f>
        <v>#NAME?</v>
      </c>
      <c r="F26" s="78" t="e">
        <v>#NAME?</v>
      </c>
    </row>
    <row r="27" customFormat="false" ht="15.75" hidden="false" customHeight="false" outlineLevel="0" collapsed="false">
      <c r="A27" s="76"/>
      <c r="B27" s="4"/>
      <c r="C27" s="4"/>
      <c r="E27" s="78" t="e">
        <v>#NAME?</v>
      </c>
      <c r="F27" s="78" t="e">
        <v>#NAME?</v>
      </c>
    </row>
    <row r="28" customFormat="false" ht="15.75" hidden="false" customHeight="false" outlineLevel="0" collapsed="false">
      <c r="A28" s="76"/>
      <c r="B28" s="4"/>
      <c r="C28" s="4"/>
      <c r="E28" s="78" t="e">
        <v>#NAME?</v>
      </c>
      <c r="F28" s="78" t="e">
        <v>#NAME?</v>
      </c>
    </row>
    <row r="29" customFormat="false" ht="15.75" hidden="false" customHeight="false" outlineLevel="0" collapsed="false">
      <c r="A29" s="4"/>
      <c r="B29" s="4"/>
      <c r="C29" s="4"/>
      <c r="E29" s="78" t="e">
        <v>#NAME?</v>
      </c>
      <c r="F29" s="78" t="e">
        <v>#NAME?</v>
      </c>
    </row>
    <row r="30" customFormat="false" ht="15.75" hidden="false" customHeight="false" outlineLevel="0" collapsed="false">
      <c r="A30" s="4"/>
      <c r="B30" s="4"/>
      <c r="C30" s="4"/>
      <c r="E30" s="78" t="e">
        <v>#NAME?</v>
      </c>
      <c r="F30" s="78" t="e">
        <v>#NAME?</v>
      </c>
    </row>
    <row r="31" customFormat="false" ht="15.75" hidden="false" customHeight="false" outlineLevel="0" collapsed="false">
      <c r="A31" s="4"/>
      <c r="B31" s="4"/>
      <c r="C31" s="4"/>
      <c r="E31" s="78" t="e">
        <v>#NAME?</v>
      </c>
      <c r="F31" s="78" t="e">
        <v>#NAME?</v>
      </c>
    </row>
    <row r="32" customFormat="false" ht="15.75" hidden="false" customHeight="false" outlineLevel="0" collapsed="false">
      <c r="A32" s="4"/>
      <c r="B32" s="4"/>
      <c r="C32" s="4"/>
      <c r="E32" s="78" t="e">
        <v>#NAME?</v>
      </c>
      <c r="F32" s="78" t="e">
        <v>#NAME?</v>
      </c>
    </row>
    <row r="33" customFormat="false" ht="15.75" hidden="false" customHeight="false" outlineLevel="0" collapsed="false">
      <c r="A33" s="4"/>
      <c r="B33" s="4"/>
      <c r="C33" s="4"/>
      <c r="E33" s="78" t="e">
        <v>#NAME?</v>
      </c>
      <c r="F33" s="78" t="e">
        <v>#NAME?</v>
      </c>
    </row>
    <row r="34" customFormat="false" ht="15.75" hidden="false" customHeight="false" outlineLevel="0" collapsed="false">
      <c r="A34" s="4"/>
      <c r="B34" s="4"/>
      <c r="C34" s="4"/>
      <c r="E34" s="78" t="e">
        <v>#NAME?</v>
      </c>
      <c r="F34" s="78" t="e">
        <v>#NAME?</v>
      </c>
    </row>
    <row r="35" customFormat="false" ht="15.75" hidden="false" customHeight="false" outlineLevel="0" collapsed="false">
      <c r="A35" s="4"/>
      <c r="B35" s="4"/>
      <c r="C35" s="4"/>
      <c r="E35" s="78" t="e">
        <v>#NAME?</v>
      </c>
      <c r="F35" s="78" t="e">
        <v>#NAME?</v>
      </c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</sheetData>
  <mergeCells count="35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BB4"/>
    <mergeCell ref="BC4:BC5"/>
    <mergeCell ref="G16:L17"/>
    <mergeCell ref="M16:R17"/>
    <mergeCell ref="S16:X17"/>
    <mergeCell ref="Y16:AD17"/>
    <mergeCell ref="AE16:AJ17"/>
    <mergeCell ref="AK16:AP17"/>
    <mergeCell ref="AQ16:AV17"/>
    <mergeCell ref="AW16:BB17"/>
    <mergeCell ref="G18:L18"/>
    <mergeCell ref="M18:R18"/>
    <mergeCell ref="S18:X18"/>
    <mergeCell ref="Y18:AD18"/>
    <mergeCell ref="AE18:AJ18"/>
    <mergeCell ref="AK18:AP18"/>
    <mergeCell ref="AQ18:AV18"/>
    <mergeCell ref="AW18:BB18"/>
    <mergeCell ref="A24:A25"/>
    <mergeCell ref="B24:B25"/>
    <mergeCell ref="C24:C25"/>
    <mergeCell ref="D24:D25"/>
  </mergeCells>
  <dataValidations count="8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M18 S18 Y18 AE18 AK18 AQ18 AW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B21:B22" type="list">
      <formula1>"Yesterday,Shaok,Ася,Бамблби,Жнец,Пила,Mary Poppins,BonAqua,Грибочки,Самаритянка,-"</formula1>
      <formula2>0</formula2>
    </dataValidation>
    <dataValidation allowBlank="true" errorStyle="stop" operator="between" showDropDown="false" showErrorMessage="true" showInputMessage="false" sqref="B26:B40" type="list">
      <formula1>'2 Полуфинал'!$B$6:$B$15</formula1>
      <formula2>0</formula2>
    </dataValidation>
    <dataValidation allowBlank="true" errorStyle="stop" operator="between" showDropDown="false" showErrorMessage="true" showInputMessage="false" sqref="H6:H15 N6:N15 T6:T15 Z6:Z15 AF6:AF15 AL6:AL15 AR6:AR15 AX6:AX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 AZ6:AZ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 AW6:AW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G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города на круг при девятерых,Победа мафии 2в2,Победа мафии 1в1,Победа мафии "&amp;"1в1 (ППК),Победа мафии 2в2,Победа мафии 2в2 (ППК),Победа мафии 3в3,Победа мафии 3в3 (ППК),Победа мафии (ППК)"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S24" activeCellId="0" sqref="S2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19.51"/>
    <col collapsed="false" customWidth="true" hidden="false" outlineLevel="0" max="4" min="4" style="0" width="12.38"/>
    <col collapsed="false" customWidth="true" hidden="false" outlineLevel="0" max="10" min="7" style="0" width="10.13"/>
    <col collapsed="false" customWidth="true" hidden="false" outlineLevel="0" max="12" min="11" style="0" width="6.38"/>
    <col collapsed="false" customWidth="true" hidden="false" outlineLevel="0" max="15" min="13" style="0" width="10.13"/>
    <col collapsed="false" customWidth="true" hidden="false" outlineLevel="0" max="18" min="16" style="0" width="6.38"/>
    <col collapsed="false" customWidth="true" hidden="false" outlineLevel="0" max="22" min="19" style="0" width="10.13"/>
    <col collapsed="false" customWidth="true" hidden="false" outlineLevel="0" max="24" min="23" style="0" width="6.38"/>
    <col collapsed="false" customWidth="true" hidden="false" outlineLevel="0" max="28" min="25" style="0" width="10.13"/>
    <col collapsed="false" customWidth="true" hidden="false" outlineLevel="0" max="30" min="29" style="0" width="6.38"/>
    <col collapsed="false" customWidth="true" hidden="false" outlineLevel="0" max="34" min="31" style="0" width="10.13"/>
    <col collapsed="false" customWidth="true" hidden="false" outlineLevel="0" max="36" min="35" style="0" width="6.38"/>
    <col collapsed="false" customWidth="true" hidden="false" outlineLevel="0" max="40" min="37" style="0" width="10.13"/>
    <col collapsed="false" customWidth="true" hidden="false" outlineLevel="0" max="42" min="41" style="0" width="6.38"/>
    <col collapsed="false" customWidth="true" hidden="false" outlineLevel="0" max="46" min="43" style="0" width="10.13"/>
    <col collapsed="false" customWidth="true" hidden="false" outlineLevel="0" max="48" min="47" style="0" width="6.38"/>
    <col collapsed="false" customWidth="true" hidden="false" outlineLevel="0" max="52" min="49" style="0" width="10.13"/>
    <col collapsed="false" customWidth="true" hidden="false" outlineLevel="0" max="54" min="53" style="0" width="6.38"/>
    <col collapsed="false" customWidth="true" hidden="false" outlineLevel="0" max="55" min="55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customFormat="false" ht="25.6" hidden="false" customHeight="false" outlineLevel="0" collapsed="false">
      <c r="A2" s="5" t="s">
        <v>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7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/>
      <c r="BD3" s="7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 customFormat="false" ht="19.7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7" t="s">
        <v>14</v>
      </c>
      <c r="AX4" s="17"/>
      <c r="AY4" s="17"/>
      <c r="AZ4" s="17"/>
      <c r="BA4" s="17"/>
      <c r="BB4" s="17"/>
      <c r="BC4" s="18" t="s">
        <v>21</v>
      </c>
      <c r="BD4" s="19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customFormat="false" ht="64.1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/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24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24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22" t="s">
        <v>22</v>
      </c>
      <c r="AX5" s="22" t="s">
        <v>5</v>
      </c>
      <c r="AY5" s="22" t="s">
        <v>23</v>
      </c>
      <c r="AZ5" s="22" t="s">
        <v>24</v>
      </c>
      <c r="BA5" s="22" t="s">
        <v>25</v>
      </c>
      <c r="BB5" s="23" t="s">
        <v>26</v>
      </c>
      <c r="BC5" s="18"/>
      <c r="BD5" s="25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</row>
    <row r="6" customFormat="false" ht="18.75" hidden="false" customHeight="true" outlineLevel="0" collapsed="false">
      <c r="A6" s="27" t="n">
        <v>1</v>
      </c>
      <c r="B6" s="28" t="s">
        <v>74</v>
      </c>
      <c r="C6" s="29" t="n">
        <f aca="false">SUM(H6:BC6)</f>
        <v>30.5</v>
      </c>
      <c r="D6" s="79" t="n">
        <f aca="false">E6/2.5</f>
        <v>3</v>
      </c>
      <c r="E6" s="89" t="n">
        <f aca="false">SUM(H6+N6+T6+Z6+AF6+AL6+AR6+AX6)</f>
        <v>7.5</v>
      </c>
      <c r="F6" s="81" t="n">
        <f aca="false">C6-E6-BC6</f>
        <v>23</v>
      </c>
      <c r="G6" s="33" t="s">
        <v>28</v>
      </c>
      <c r="H6" s="34"/>
      <c r="I6" s="34" t="n">
        <v>2.75</v>
      </c>
      <c r="J6" s="35"/>
      <c r="K6" s="36"/>
      <c r="L6" s="37"/>
      <c r="M6" s="33" t="s">
        <v>30</v>
      </c>
      <c r="N6" s="34"/>
      <c r="O6" s="34" t="n">
        <v>1.75</v>
      </c>
      <c r="P6" s="34"/>
      <c r="Q6" s="36"/>
      <c r="R6" s="37"/>
      <c r="S6" s="35" t="s">
        <v>31</v>
      </c>
      <c r="T6" s="34"/>
      <c r="U6" s="34" t="n">
        <v>3.25</v>
      </c>
      <c r="V6" s="35"/>
      <c r="W6" s="36"/>
      <c r="X6" s="37"/>
      <c r="Y6" s="35" t="s">
        <v>31</v>
      </c>
      <c r="Z6" s="34"/>
      <c r="AA6" s="34" t="n">
        <v>2.25</v>
      </c>
      <c r="AB6" s="35"/>
      <c r="AC6" s="36"/>
      <c r="AD6" s="37"/>
      <c r="AE6" s="35" t="s">
        <v>28</v>
      </c>
      <c r="AF6" s="34" t="n">
        <v>2.5</v>
      </c>
      <c r="AG6" s="34" t="n">
        <v>4.25</v>
      </c>
      <c r="AH6" s="35"/>
      <c r="AI6" s="36"/>
      <c r="AJ6" s="37"/>
      <c r="AK6" s="35" t="s">
        <v>28</v>
      </c>
      <c r="AL6" s="34" t="n">
        <v>2.5</v>
      </c>
      <c r="AM6" s="34" t="n">
        <v>2.5</v>
      </c>
      <c r="AN6" s="35"/>
      <c r="AO6" s="36"/>
      <c r="AP6" s="37"/>
      <c r="AQ6" s="35" t="s">
        <v>28</v>
      </c>
      <c r="AR6" s="34"/>
      <c r="AS6" s="34" t="n">
        <v>4</v>
      </c>
      <c r="AT6" s="35"/>
      <c r="AU6" s="36"/>
      <c r="AV6" s="37"/>
      <c r="AW6" s="35" t="s">
        <v>30</v>
      </c>
      <c r="AX6" s="34" t="n">
        <v>2.5</v>
      </c>
      <c r="AY6" s="34" t="n">
        <v>1.75</v>
      </c>
      <c r="AZ6" s="35" t="s">
        <v>29</v>
      </c>
      <c r="BA6" s="36"/>
      <c r="BB6" s="37" t="n">
        <v>0.5</v>
      </c>
      <c r="BC6" s="39"/>
      <c r="BD6" s="40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</row>
    <row r="7" customFormat="false" ht="18.75" hidden="false" customHeight="true" outlineLevel="0" collapsed="false">
      <c r="A7" s="27" t="n">
        <v>2</v>
      </c>
      <c r="B7" s="41" t="s">
        <v>35</v>
      </c>
      <c r="C7" s="29" t="n">
        <f aca="false">SUM(H7:BC7)</f>
        <v>35.5</v>
      </c>
      <c r="D7" s="82" t="n">
        <f aca="false">E7/2.5</f>
        <v>5</v>
      </c>
      <c r="E7" s="90" t="n">
        <f aca="false">SUM(H7+N7+T7+Z7+AF7+AL7+AR7+AX7)</f>
        <v>12.5</v>
      </c>
      <c r="F7" s="81" t="n">
        <f aca="false">C7-E7-BC7</f>
        <v>23</v>
      </c>
      <c r="G7" s="33" t="s">
        <v>28</v>
      </c>
      <c r="H7" s="34"/>
      <c r="I7" s="34" t="n">
        <v>1.25</v>
      </c>
      <c r="J7" s="35"/>
      <c r="K7" s="36"/>
      <c r="L7" s="45"/>
      <c r="M7" s="33" t="s">
        <v>28</v>
      </c>
      <c r="N7" s="34"/>
      <c r="O7" s="34" t="n">
        <v>2.25</v>
      </c>
      <c r="P7" s="34"/>
      <c r="Q7" s="36"/>
      <c r="R7" s="37"/>
      <c r="S7" s="35" t="s">
        <v>31</v>
      </c>
      <c r="T7" s="34"/>
      <c r="U7" s="43" t="n">
        <v>2.75</v>
      </c>
      <c r="V7" s="35"/>
      <c r="W7" s="36"/>
      <c r="X7" s="37"/>
      <c r="Y7" s="35" t="s">
        <v>30</v>
      </c>
      <c r="Z7" s="34" t="n">
        <v>2.5</v>
      </c>
      <c r="AA7" s="34" t="n">
        <v>4</v>
      </c>
      <c r="AB7" s="35"/>
      <c r="AC7" s="36"/>
      <c r="AD7" s="37"/>
      <c r="AE7" s="35" t="s">
        <v>28</v>
      </c>
      <c r="AF7" s="34" t="n">
        <v>2.5</v>
      </c>
      <c r="AG7" s="34" t="n">
        <v>4.5</v>
      </c>
      <c r="AH7" s="35" t="s">
        <v>36</v>
      </c>
      <c r="AI7" s="36"/>
      <c r="AJ7" s="37"/>
      <c r="AK7" s="35" t="s">
        <v>28</v>
      </c>
      <c r="AL7" s="34" t="n">
        <v>2.5</v>
      </c>
      <c r="AM7" s="34" t="n">
        <v>3</v>
      </c>
      <c r="AN7" s="35" t="s">
        <v>29</v>
      </c>
      <c r="AO7" s="36"/>
      <c r="AP7" s="37" t="n">
        <v>0.5</v>
      </c>
      <c r="AQ7" s="35" t="s">
        <v>31</v>
      </c>
      <c r="AR7" s="34" t="n">
        <v>2.5</v>
      </c>
      <c r="AS7" s="34" t="n">
        <v>3.25</v>
      </c>
      <c r="AT7" s="35"/>
      <c r="AU7" s="36"/>
      <c r="AV7" s="37"/>
      <c r="AW7" s="35" t="s">
        <v>28</v>
      </c>
      <c r="AX7" s="34" t="n">
        <v>2.5</v>
      </c>
      <c r="AY7" s="34" t="n">
        <v>1.5</v>
      </c>
      <c r="AZ7" s="35"/>
      <c r="BA7" s="36"/>
      <c r="BB7" s="37"/>
      <c r="BC7" s="32"/>
      <c r="BD7" s="4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</row>
    <row r="8" customFormat="false" ht="18.75" hidden="false" customHeight="true" outlineLevel="0" collapsed="false">
      <c r="A8" s="27" t="n">
        <v>3</v>
      </c>
      <c r="B8" s="41" t="s">
        <v>32</v>
      </c>
      <c r="C8" s="29" t="n">
        <f aca="false">SUM(H8:BC8)</f>
        <v>39</v>
      </c>
      <c r="D8" s="82" t="n">
        <f aca="false">E8/2.5</f>
        <v>6</v>
      </c>
      <c r="E8" s="90" t="n">
        <f aca="false">SUM(H8+N8+T8+Z8+AF8+AL8+AR8+AX8)</f>
        <v>15</v>
      </c>
      <c r="F8" s="81" t="n">
        <f aca="false">C8-E8-BC8</f>
        <v>24</v>
      </c>
      <c r="G8" s="33" t="s">
        <v>28</v>
      </c>
      <c r="H8" s="34"/>
      <c r="I8" s="34" t="n">
        <v>2</v>
      </c>
      <c r="J8" s="35"/>
      <c r="K8" s="36"/>
      <c r="L8" s="37"/>
      <c r="M8" s="33" t="s">
        <v>34</v>
      </c>
      <c r="N8" s="34" t="n">
        <v>2.5</v>
      </c>
      <c r="O8" s="34" t="n">
        <v>3</v>
      </c>
      <c r="P8" s="34"/>
      <c r="Q8" s="36"/>
      <c r="R8" s="45"/>
      <c r="S8" s="35" t="s">
        <v>28</v>
      </c>
      <c r="T8" s="34" t="n">
        <v>2.5</v>
      </c>
      <c r="U8" s="34" t="n">
        <v>3.5</v>
      </c>
      <c r="V8" s="35" t="s">
        <v>36</v>
      </c>
      <c r="W8" s="36"/>
      <c r="X8" s="37"/>
      <c r="Y8" s="35" t="s">
        <v>28</v>
      </c>
      <c r="Z8" s="34" t="n">
        <v>2.5</v>
      </c>
      <c r="AA8" s="34" t="n">
        <v>3.25</v>
      </c>
      <c r="AB8" s="35"/>
      <c r="AC8" s="36"/>
      <c r="AD8" s="37"/>
      <c r="AE8" s="35" t="s">
        <v>28</v>
      </c>
      <c r="AF8" s="34" t="n">
        <v>2.5</v>
      </c>
      <c r="AG8" s="34" t="n">
        <v>3.25</v>
      </c>
      <c r="AH8" s="35"/>
      <c r="AI8" s="36"/>
      <c r="AJ8" s="37"/>
      <c r="AK8" s="35" t="s">
        <v>28</v>
      </c>
      <c r="AL8" s="34" t="n">
        <v>2.5</v>
      </c>
      <c r="AM8" s="34" t="n">
        <v>2.5</v>
      </c>
      <c r="AN8" s="35"/>
      <c r="AO8" s="36"/>
      <c r="AP8" s="37"/>
      <c r="AQ8" s="35" t="s">
        <v>30</v>
      </c>
      <c r="AR8" s="34"/>
      <c r="AS8" s="34" t="n">
        <v>2.75</v>
      </c>
      <c r="AT8" s="35"/>
      <c r="AU8" s="36"/>
      <c r="AV8" s="37"/>
      <c r="AW8" s="35" t="s">
        <v>28</v>
      </c>
      <c r="AX8" s="34" t="n">
        <v>2.5</v>
      </c>
      <c r="AY8" s="34" t="n">
        <v>3.75</v>
      </c>
      <c r="AZ8" s="35"/>
      <c r="BA8" s="36"/>
      <c r="BB8" s="37"/>
      <c r="BC8" s="32"/>
      <c r="BD8" s="40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</row>
    <row r="9" customFormat="false" ht="18.75" hidden="false" customHeight="true" outlineLevel="0" collapsed="false">
      <c r="A9" s="27" t="n">
        <v>4</v>
      </c>
      <c r="B9" s="41" t="s">
        <v>38</v>
      </c>
      <c r="C9" s="29" t="n">
        <f aca="false">SUM(H9:BC9)</f>
        <v>33.5</v>
      </c>
      <c r="D9" s="82" t="n">
        <f aca="false">E9/2.5</f>
        <v>4</v>
      </c>
      <c r="E9" s="90" t="n">
        <f aca="false">SUM(H9+N9+T9+Z9+AF9+AL9+AR9+AX9)</f>
        <v>10</v>
      </c>
      <c r="F9" s="81" t="n">
        <f aca="false">C9-E9-BC9</f>
        <v>23.5</v>
      </c>
      <c r="G9" s="33" t="s">
        <v>34</v>
      </c>
      <c r="H9" s="34" t="n">
        <v>2.5</v>
      </c>
      <c r="I9" s="34" t="n">
        <v>3.75</v>
      </c>
      <c r="J9" s="35"/>
      <c r="K9" s="36"/>
      <c r="L9" s="37"/>
      <c r="M9" s="33" t="s">
        <v>28</v>
      </c>
      <c r="N9" s="34"/>
      <c r="O9" s="34" t="n">
        <v>2.5</v>
      </c>
      <c r="P9" s="34"/>
      <c r="Q9" s="36"/>
      <c r="R9" s="37" t="n">
        <v>0.5</v>
      </c>
      <c r="S9" s="35" t="s">
        <v>30</v>
      </c>
      <c r="T9" s="34" t="n">
        <v>2.5</v>
      </c>
      <c r="U9" s="34" t="n">
        <v>2.75</v>
      </c>
      <c r="V9" s="35"/>
      <c r="W9" s="36"/>
      <c r="X9" s="37"/>
      <c r="Y9" s="35" t="s">
        <v>28</v>
      </c>
      <c r="Z9" s="34" t="n">
        <v>2.5</v>
      </c>
      <c r="AA9" s="34" t="n">
        <v>3.25</v>
      </c>
      <c r="AB9" s="35"/>
      <c r="AC9" s="36"/>
      <c r="AD9" s="37"/>
      <c r="AE9" s="35" t="s">
        <v>31</v>
      </c>
      <c r="AF9" s="34"/>
      <c r="AG9" s="34" t="n">
        <v>3.5</v>
      </c>
      <c r="AH9" s="35" t="s">
        <v>33</v>
      </c>
      <c r="AI9" s="36"/>
      <c r="AJ9" s="37"/>
      <c r="AK9" s="35" t="s">
        <v>31</v>
      </c>
      <c r="AL9" s="34"/>
      <c r="AM9" s="34" t="n">
        <v>2.5</v>
      </c>
      <c r="AN9" s="35"/>
      <c r="AO9" s="36"/>
      <c r="AP9" s="37"/>
      <c r="AQ9" s="35" t="s">
        <v>28</v>
      </c>
      <c r="AR9" s="34"/>
      <c r="AS9" s="34" t="n">
        <v>1.25</v>
      </c>
      <c r="AT9" s="35"/>
      <c r="AU9" s="36"/>
      <c r="AV9" s="37"/>
      <c r="AW9" s="35" t="s">
        <v>28</v>
      </c>
      <c r="AX9" s="34" t="n">
        <v>2.5</v>
      </c>
      <c r="AY9" s="34" t="n">
        <v>3.5</v>
      </c>
      <c r="AZ9" s="35"/>
      <c r="BA9" s="36"/>
      <c r="BB9" s="37"/>
      <c r="BC9" s="32"/>
      <c r="BD9" s="40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</row>
    <row r="10" customFormat="false" ht="18.75" hidden="false" customHeight="true" outlineLevel="0" collapsed="false">
      <c r="A10" s="27" t="n">
        <v>5</v>
      </c>
      <c r="B10" s="41" t="s">
        <v>75</v>
      </c>
      <c r="C10" s="29" t="n">
        <f aca="false">SUM(H10:BC10)</f>
        <v>29.75</v>
      </c>
      <c r="D10" s="82" t="n">
        <f aca="false">E10/2.5</f>
        <v>4</v>
      </c>
      <c r="E10" s="90" t="n">
        <f aca="false">SUM(H10+N10+T10+Z10+AF10+AL10+AR10+AX10)</f>
        <v>10</v>
      </c>
      <c r="F10" s="81" t="n">
        <f aca="false">C10-E10-BC10</f>
        <v>19.75</v>
      </c>
      <c r="G10" s="33" t="s">
        <v>31</v>
      </c>
      <c r="H10" s="34" t="n">
        <v>2.5</v>
      </c>
      <c r="I10" s="34" t="n">
        <v>3</v>
      </c>
      <c r="J10" s="35"/>
      <c r="K10" s="36"/>
      <c r="L10" s="37"/>
      <c r="M10" s="33" t="s">
        <v>28</v>
      </c>
      <c r="N10" s="34"/>
      <c r="O10" s="34" t="n">
        <v>2.5</v>
      </c>
      <c r="P10" s="34"/>
      <c r="Q10" s="36"/>
      <c r="R10" s="37"/>
      <c r="S10" s="35" t="s">
        <v>28</v>
      </c>
      <c r="T10" s="34" t="n">
        <v>2.5</v>
      </c>
      <c r="U10" s="34" t="n">
        <v>2.5</v>
      </c>
      <c r="V10" s="35" t="s">
        <v>36</v>
      </c>
      <c r="W10" s="36"/>
      <c r="X10" s="37"/>
      <c r="Y10" s="35" t="s">
        <v>28</v>
      </c>
      <c r="Z10" s="34" t="n">
        <v>2.5</v>
      </c>
      <c r="AA10" s="34" t="n">
        <v>3.75</v>
      </c>
      <c r="AB10" s="35"/>
      <c r="AC10" s="36"/>
      <c r="AD10" s="37"/>
      <c r="AE10" s="35" t="s">
        <v>34</v>
      </c>
      <c r="AF10" s="34"/>
      <c r="AG10" s="34" t="n">
        <v>1.5</v>
      </c>
      <c r="AH10" s="35"/>
      <c r="AI10" s="36"/>
      <c r="AJ10" s="37"/>
      <c r="AK10" s="35" t="s">
        <v>34</v>
      </c>
      <c r="AL10" s="34"/>
      <c r="AM10" s="43" t="n">
        <v>1.5</v>
      </c>
      <c r="AN10" s="35"/>
      <c r="AO10" s="36"/>
      <c r="AP10" s="37"/>
      <c r="AQ10" s="35" t="s">
        <v>31</v>
      </c>
      <c r="AR10" s="34" t="n">
        <v>2.5</v>
      </c>
      <c r="AS10" s="34" t="n">
        <v>3.25</v>
      </c>
      <c r="AT10" s="35"/>
      <c r="AU10" s="36"/>
      <c r="AV10" s="37"/>
      <c r="AW10" s="35" t="s">
        <v>34</v>
      </c>
      <c r="AX10" s="34"/>
      <c r="AY10" s="34" t="n">
        <v>1.75</v>
      </c>
      <c r="AZ10" s="35"/>
      <c r="BA10" s="36"/>
      <c r="BB10" s="37"/>
      <c r="BC10" s="32"/>
      <c r="BD10" s="40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</row>
    <row r="11" customFormat="false" ht="18.75" hidden="false" customHeight="true" outlineLevel="0" collapsed="false">
      <c r="A11" s="27" t="n">
        <v>6</v>
      </c>
      <c r="B11" s="41" t="s">
        <v>37</v>
      </c>
      <c r="C11" s="29" t="n">
        <f aca="false">SUM(H11:BC11)</f>
        <v>35</v>
      </c>
      <c r="D11" s="82" t="n">
        <f aca="false">E11/2.5</f>
        <v>5</v>
      </c>
      <c r="E11" s="90" t="n">
        <f aca="false">SUM(H11+N11+T11+Z11+AF11+AL11+AR11+AX11)</f>
        <v>12.5</v>
      </c>
      <c r="F11" s="81" t="n">
        <f aca="false">C11-E11-BC11</f>
        <v>22.5</v>
      </c>
      <c r="G11" s="33" t="s">
        <v>28</v>
      </c>
      <c r="H11" s="34"/>
      <c r="I11" s="34" t="n">
        <v>3.25</v>
      </c>
      <c r="J11" s="35"/>
      <c r="K11" s="36"/>
      <c r="L11" s="37"/>
      <c r="M11" s="33" t="s">
        <v>28</v>
      </c>
      <c r="N11" s="34"/>
      <c r="O11" s="34" t="n">
        <v>2</v>
      </c>
      <c r="P11" s="34"/>
      <c r="Q11" s="36"/>
      <c r="R11" s="37"/>
      <c r="S11" s="35" t="s">
        <v>28</v>
      </c>
      <c r="T11" s="34" t="n">
        <v>2.5</v>
      </c>
      <c r="U11" s="34" t="n">
        <v>3.25</v>
      </c>
      <c r="V11" s="35" t="s">
        <v>36</v>
      </c>
      <c r="W11" s="36"/>
      <c r="X11" s="45"/>
      <c r="Y11" s="35" t="s">
        <v>28</v>
      </c>
      <c r="Z11" s="34" t="n">
        <v>2.5</v>
      </c>
      <c r="AA11" s="34" t="n">
        <v>4.5</v>
      </c>
      <c r="AB11" s="35"/>
      <c r="AC11" s="36"/>
      <c r="AD11" s="37"/>
      <c r="AE11" s="35" t="s">
        <v>30</v>
      </c>
      <c r="AF11" s="34" t="n">
        <v>2.5</v>
      </c>
      <c r="AG11" s="34" t="n">
        <v>2</v>
      </c>
      <c r="AH11" s="35"/>
      <c r="AI11" s="36"/>
      <c r="AJ11" s="37"/>
      <c r="AK11" s="35" t="s">
        <v>28</v>
      </c>
      <c r="AL11" s="34" t="n">
        <v>2.5</v>
      </c>
      <c r="AM11" s="34" t="n">
        <v>2.25</v>
      </c>
      <c r="AN11" s="35"/>
      <c r="AO11" s="36"/>
      <c r="AP11" s="37"/>
      <c r="AQ11" s="35" t="s">
        <v>28</v>
      </c>
      <c r="AR11" s="34"/>
      <c r="AS11" s="34" t="n">
        <v>1.5</v>
      </c>
      <c r="AT11" s="35"/>
      <c r="AU11" s="36"/>
      <c r="AV11" s="37"/>
      <c r="AW11" s="35" t="s">
        <v>28</v>
      </c>
      <c r="AX11" s="34" t="n">
        <v>2.5</v>
      </c>
      <c r="AY11" s="34" t="n">
        <v>3.75</v>
      </c>
      <c r="AZ11" s="91"/>
      <c r="BA11" s="36"/>
      <c r="BB11" s="37"/>
      <c r="BC11" s="32"/>
      <c r="BD11" s="40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</row>
    <row r="12" customFormat="false" ht="18.75" hidden="false" customHeight="true" outlineLevel="0" collapsed="false">
      <c r="A12" s="27" t="n">
        <v>7</v>
      </c>
      <c r="B12" s="41" t="s">
        <v>76</v>
      </c>
      <c r="C12" s="29" t="n">
        <f aca="false">SUM(H12:BC12)</f>
        <v>29.75</v>
      </c>
      <c r="D12" s="82" t="n">
        <f aca="false">E12/2.5</f>
        <v>3</v>
      </c>
      <c r="E12" s="90" t="n">
        <f aca="false">SUM(H12+N12+T12+Z12+AF12+AL12+AR12+AX12)</f>
        <v>7.5</v>
      </c>
      <c r="F12" s="81" t="n">
        <f aca="false">C12-E12-BC12</f>
        <v>22.25</v>
      </c>
      <c r="G12" s="33" t="s">
        <v>28</v>
      </c>
      <c r="H12" s="34"/>
      <c r="I12" s="34" t="n">
        <v>3</v>
      </c>
      <c r="J12" s="35" t="s">
        <v>29</v>
      </c>
      <c r="K12" s="36"/>
      <c r="L12" s="37" t="n">
        <v>0.5</v>
      </c>
      <c r="M12" s="33" t="s">
        <v>28</v>
      </c>
      <c r="N12" s="34"/>
      <c r="O12" s="34" t="n">
        <v>2.5</v>
      </c>
      <c r="P12" s="34"/>
      <c r="Q12" s="36"/>
      <c r="R12" s="37"/>
      <c r="S12" s="35" t="s">
        <v>28</v>
      </c>
      <c r="T12" s="34" t="n">
        <v>2.5</v>
      </c>
      <c r="U12" s="34" t="n">
        <v>3</v>
      </c>
      <c r="V12" s="35" t="s">
        <v>29</v>
      </c>
      <c r="W12" s="36" t="n">
        <v>0.5</v>
      </c>
      <c r="X12" s="37" t="n">
        <v>1</v>
      </c>
      <c r="Y12" s="35" t="s">
        <v>34</v>
      </c>
      <c r="Z12" s="34"/>
      <c r="AA12" s="34" t="n">
        <v>1</v>
      </c>
      <c r="AB12" s="35"/>
      <c r="AC12" s="36"/>
      <c r="AD12" s="37"/>
      <c r="AE12" s="35" t="s">
        <v>28</v>
      </c>
      <c r="AF12" s="34" t="n">
        <v>2.5</v>
      </c>
      <c r="AG12" s="34" t="n">
        <v>3</v>
      </c>
      <c r="AH12" s="35"/>
      <c r="AI12" s="36"/>
      <c r="AJ12" s="37"/>
      <c r="AK12" s="35" t="s">
        <v>28</v>
      </c>
      <c r="AL12" s="34" t="n">
        <v>2.5</v>
      </c>
      <c r="AM12" s="34" t="n">
        <v>2</v>
      </c>
      <c r="AN12" s="35"/>
      <c r="AO12" s="36"/>
      <c r="AP12" s="37"/>
      <c r="AQ12" s="4" t="s">
        <v>28</v>
      </c>
      <c r="AR12" s="34"/>
      <c r="AS12" s="34" t="n">
        <v>3.25</v>
      </c>
      <c r="AT12" s="35"/>
      <c r="AU12" s="36"/>
      <c r="AV12" s="37"/>
      <c r="AW12" s="35" t="s">
        <v>31</v>
      </c>
      <c r="AX12" s="34"/>
      <c r="AY12" s="34" t="n">
        <v>2.5</v>
      </c>
      <c r="AZ12" s="35"/>
      <c r="BA12" s="36"/>
      <c r="BB12" s="37"/>
      <c r="BC12" s="32"/>
      <c r="BD12" s="40"/>
      <c r="BE12" s="36" t="s">
        <v>77</v>
      </c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</row>
    <row r="13" customFormat="false" ht="18.75" hidden="false" customHeight="true" outlineLevel="0" collapsed="false">
      <c r="A13" s="27" t="n">
        <v>8</v>
      </c>
      <c r="B13" s="41" t="s">
        <v>78</v>
      </c>
      <c r="C13" s="29" t="n">
        <f aca="false">SUM(H13:BC13)</f>
        <v>30.25</v>
      </c>
      <c r="D13" s="82" t="n">
        <f aca="false">E13/2.5</f>
        <v>4</v>
      </c>
      <c r="E13" s="90" t="n">
        <f aca="false">SUM(H13+N13+T13+Z13+AF13+AL13+AR13+AX13)</f>
        <v>10</v>
      </c>
      <c r="F13" s="81" t="n">
        <f aca="false">C13-E13-BC13</f>
        <v>20.25</v>
      </c>
      <c r="G13" s="33" t="s">
        <v>31</v>
      </c>
      <c r="H13" s="34" t="n">
        <v>2.5</v>
      </c>
      <c r="I13" s="34" t="n">
        <v>3.5</v>
      </c>
      <c r="J13" s="35"/>
      <c r="K13" s="36"/>
      <c r="L13" s="37"/>
      <c r="M13" s="33" t="s">
        <v>28</v>
      </c>
      <c r="N13" s="34"/>
      <c r="O13" s="34" t="n">
        <v>2.5</v>
      </c>
      <c r="P13" s="34"/>
      <c r="Q13" s="36"/>
      <c r="R13" s="37"/>
      <c r="S13" s="35" t="s">
        <v>34</v>
      </c>
      <c r="T13" s="34"/>
      <c r="U13" s="34" t="n">
        <v>1.25</v>
      </c>
      <c r="V13" s="35" t="s">
        <v>33</v>
      </c>
      <c r="W13" s="36"/>
      <c r="X13" s="37"/>
      <c r="Y13" s="35" t="s">
        <v>31</v>
      </c>
      <c r="Z13" s="34"/>
      <c r="AA13" s="34" t="n">
        <v>2</v>
      </c>
      <c r="AB13" s="35"/>
      <c r="AC13" s="36"/>
      <c r="AD13" s="37"/>
      <c r="AE13" s="35" t="s">
        <v>28</v>
      </c>
      <c r="AF13" s="34" t="n">
        <v>2.5</v>
      </c>
      <c r="AG13" s="34" t="n">
        <v>2.25</v>
      </c>
      <c r="AH13" s="35" t="s">
        <v>36</v>
      </c>
      <c r="AI13" s="36"/>
      <c r="AJ13" s="37"/>
      <c r="AK13" s="35" t="s">
        <v>28</v>
      </c>
      <c r="AL13" s="34" t="n">
        <v>2.5</v>
      </c>
      <c r="AM13" s="34" t="n">
        <v>3</v>
      </c>
      <c r="AN13" s="35"/>
      <c r="AO13" s="36"/>
      <c r="AP13" s="37"/>
      <c r="AQ13" s="35" t="s">
        <v>34</v>
      </c>
      <c r="AR13" s="34" t="n">
        <v>2.5</v>
      </c>
      <c r="AS13" s="34" t="n">
        <v>4</v>
      </c>
      <c r="AT13" s="35"/>
      <c r="AU13" s="36"/>
      <c r="AV13" s="37"/>
      <c r="AW13" s="35" t="s">
        <v>31</v>
      </c>
      <c r="AX13" s="34"/>
      <c r="AY13" s="34" t="n">
        <v>1.75</v>
      </c>
      <c r="AZ13" s="35"/>
      <c r="BA13" s="36"/>
      <c r="BB13" s="37"/>
      <c r="BC13" s="32"/>
      <c r="BD13" s="40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</row>
    <row r="14" customFormat="false" ht="18.75" hidden="false" customHeight="true" outlineLevel="0" collapsed="false">
      <c r="A14" s="27" t="n">
        <v>9</v>
      </c>
      <c r="B14" s="41" t="s">
        <v>27</v>
      </c>
      <c r="C14" s="29" t="n">
        <f aca="false">SUM(H14:BC14)</f>
        <v>41.5</v>
      </c>
      <c r="D14" s="82" t="n">
        <f aca="false">E14/2.5</f>
        <v>6</v>
      </c>
      <c r="E14" s="90" t="n">
        <f aca="false">SUM(H14+N14+T14+Z14+AF14+AL14+AR14+AX14)</f>
        <v>15</v>
      </c>
      <c r="F14" s="81" t="n">
        <f aca="false">C14-E14-BC14</f>
        <v>26.5</v>
      </c>
      <c r="G14" s="33" t="s">
        <v>30</v>
      </c>
      <c r="H14" s="34"/>
      <c r="I14" s="34" t="n">
        <v>1.75</v>
      </c>
      <c r="J14" s="35"/>
      <c r="K14" s="36"/>
      <c r="L14" s="37"/>
      <c r="M14" s="33" t="s">
        <v>31</v>
      </c>
      <c r="N14" s="34" t="n">
        <v>2.5</v>
      </c>
      <c r="O14" s="34" t="n">
        <v>3.5</v>
      </c>
      <c r="P14" s="34"/>
      <c r="Q14" s="36"/>
      <c r="R14" s="37"/>
      <c r="S14" s="35" t="s">
        <v>28</v>
      </c>
      <c r="T14" s="34" t="n">
        <v>2.5</v>
      </c>
      <c r="U14" s="34" t="n">
        <v>2.75</v>
      </c>
      <c r="V14" s="35"/>
      <c r="W14" s="36"/>
      <c r="X14" s="37"/>
      <c r="Y14" s="35" t="s">
        <v>28</v>
      </c>
      <c r="Z14" s="34" t="n">
        <v>2.5</v>
      </c>
      <c r="AA14" s="34" t="n">
        <v>2.5</v>
      </c>
      <c r="AB14" s="35" t="s">
        <v>29</v>
      </c>
      <c r="AC14" s="36"/>
      <c r="AD14" s="37" t="n">
        <v>0.5</v>
      </c>
      <c r="AE14" s="35" t="s">
        <v>28</v>
      </c>
      <c r="AF14" s="34" t="n">
        <v>2.5</v>
      </c>
      <c r="AG14" s="34" t="n">
        <v>2.5</v>
      </c>
      <c r="AH14" s="35" t="s">
        <v>29</v>
      </c>
      <c r="AI14" s="36"/>
      <c r="AJ14" s="37" t="n">
        <v>1</v>
      </c>
      <c r="AK14" s="35" t="s">
        <v>30</v>
      </c>
      <c r="AL14" s="34" t="n">
        <v>2.5</v>
      </c>
      <c r="AM14" s="34" t="n">
        <v>5</v>
      </c>
      <c r="AN14" s="35"/>
      <c r="AO14" s="36"/>
      <c r="AP14" s="37"/>
      <c r="AQ14" s="35" t="s">
        <v>28</v>
      </c>
      <c r="AR14" s="34"/>
      <c r="AS14" s="34" t="n">
        <v>1.5</v>
      </c>
      <c r="AT14" s="35" t="s">
        <v>29</v>
      </c>
      <c r="AU14" s="36"/>
      <c r="AV14" s="37" t="n">
        <v>1.5</v>
      </c>
      <c r="AW14" s="35" t="s">
        <v>28</v>
      </c>
      <c r="AX14" s="34" t="n">
        <v>2.5</v>
      </c>
      <c r="AY14" s="34" t="n">
        <v>4</v>
      </c>
      <c r="AZ14" s="35"/>
      <c r="BA14" s="36"/>
      <c r="BB14" s="37"/>
      <c r="BC14" s="32"/>
      <c r="BD14" s="40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</row>
    <row r="15" customFormat="false" ht="18.75" hidden="false" customHeight="true" outlineLevel="0" collapsed="false">
      <c r="A15" s="46" t="n">
        <v>10</v>
      </c>
      <c r="B15" s="83" t="s">
        <v>79</v>
      </c>
      <c r="C15" s="84" t="n">
        <f aca="false">SUM(H15:BC15)</f>
        <v>32</v>
      </c>
      <c r="D15" s="85" t="n">
        <f aca="false">E15/2.5</f>
        <v>4</v>
      </c>
      <c r="E15" s="92" t="n">
        <f aca="false">SUM(H15+N15+T15+Z15+AF15+AL15+AR15+AX15)</f>
        <v>10</v>
      </c>
      <c r="F15" s="86" t="n">
        <f aca="false">C15-E15-BC15</f>
        <v>22</v>
      </c>
      <c r="G15" s="49" t="s">
        <v>28</v>
      </c>
      <c r="H15" s="50"/>
      <c r="I15" s="50" t="n">
        <v>1.75</v>
      </c>
      <c r="J15" s="51"/>
      <c r="K15" s="52"/>
      <c r="L15" s="53"/>
      <c r="M15" s="49" t="s">
        <v>31</v>
      </c>
      <c r="N15" s="50" t="n">
        <v>2.5</v>
      </c>
      <c r="O15" s="50" t="n">
        <v>3.75</v>
      </c>
      <c r="P15" s="50"/>
      <c r="Q15" s="52"/>
      <c r="R15" s="53"/>
      <c r="S15" s="51" t="s">
        <v>28</v>
      </c>
      <c r="T15" s="50" t="n">
        <v>2.5</v>
      </c>
      <c r="U15" s="93" t="n">
        <v>3.25</v>
      </c>
      <c r="V15" s="51"/>
      <c r="W15" s="52"/>
      <c r="X15" s="53"/>
      <c r="Y15" s="51" t="s">
        <v>28</v>
      </c>
      <c r="Z15" s="50" t="n">
        <v>2.5</v>
      </c>
      <c r="AA15" s="50" t="n">
        <v>3.25</v>
      </c>
      <c r="AB15" s="51"/>
      <c r="AC15" s="50"/>
      <c r="AD15" s="94"/>
      <c r="AE15" s="51" t="s">
        <v>31</v>
      </c>
      <c r="AF15" s="50"/>
      <c r="AG15" s="50" t="n">
        <v>1.75</v>
      </c>
      <c r="AH15" s="51"/>
      <c r="AI15" s="52"/>
      <c r="AJ15" s="94"/>
      <c r="AK15" s="51" t="s">
        <v>31</v>
      </c>
      <c r="AL15" s="50"/>
      <c r="AM15" s="50" t="n">
        <v>2.5</v>
      </c>
      <c r="AN15" s="51"/>
      <c r="AO15" s="50"/>
      <c r="AP15" s="94"/>
      <c r="AQ15" s="51" t="s">
        <v>28</v>
      </c>
      <c r="AR15" s="50"/>
      <c r="AS15" s="50" t="n">
        <v>2</v>
      </c>
      <c r="AT15" s="51"/>
      <c r="AU15" s="52"/>
      <c r="AV15" s="94"/>
      <c r="AW15" s="51" t="s">
        <v>28</v>
      </c>
      <c r="AX15" s="50" t="n">
        <v>2.5</v>
      </c>
      <c r="AY15" s="50" t="n">
        <v>3.75</v>
      </c>
      <c r="AZ15" s="51"/>
      <c r="BA15" s="52"/>
      <c r="BB15" s="94"/>
      <c r="BC15" s="55"/>
      <c r="BD15" s="40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</row>
    <row r="16" customFormat="false" ht="13.8" hidden="false" customHeight="true" outlineLevel="0" collapsed="false">
      <c r="A16" s="56" t="s">
        <v>44</v>
      </c>
      <c r="B16" s="1"/>
      <c r="C16" s="2"/>
      <c r="D16" s="2"/>
      <c r="E16" s="2"/>
      <c r="F16" s="3"/>
      <c r="G16" s="87" t="s">
        <v>80</v>
      </c>
      <c r="H16" s="87"/>
      <c r="I16" s="87"/>
      <c r="J16" s="87"/>
      <c r="K16" s="87"/>
      <c r="L16" s="87"/>
      <c r="M16" s="88" t="s">
        <v>81</v>
      </c>
      <c r="N16" s="88"/>
      <c r="O16" s="88"/>
      <c r="P16" s="88"/>
      <c r="Q16" s="88"/>
      <c r="R16" s="88"/>
      <c r="S16" s="88" t="s">
        <v>82</v>
      </c>
      <c r="T16" s="88"/>
      <c r="U16" s="88"/>
      <c r="V16" s="88"/>
      <c r="W16" s="88"/>
      <c r="X16" s="88"/>
      <c r="Y16" s="88" t="s">
        <v>83</v>
      </c>
      <c r="Z16" s="88"/>
      <c r="AA16" s="88"/>
      <c r="AB16" s="88"/>
      <c r="AC16" s="88"/>
      <c r="AD16" s="88"/>
      <c r="AE16" s="88" t="s">
        <v>84</v>
      </c>
      <c r="AF16" s="88"/>
      <c r="AG16" s="88"/>
      <c r="AH16" s="88"/>
      <c r="AI16" s="88"/>
      <c r="AJ16" s="88"/>
      <c r="AK16" s="88" t="s">
        <v>85</v>
      </c>
      <c r="AL16" s="88"/>
      <c r="AM16" s="88"/>
      <c r="AN16" s="88"/>
      <c r="AO16" s="88"/>
      <c r="AP16" s="88"/>
      <c r="AQ16" s="88" t="s">
        <v>86</v>
      </c>
      <c r="AR16" s="88"/>
      <c r="AS16" s="88"/>
      <c r="AT16" s="88"/>
      <c r="AU16" s="88"/>
      <c r="AV16" s="88"/>
      <c r="AW16" s="88" t="s">
        <v>87</v>
      </c>
      <c r="AX16" s="88"/>
      <c r="AY16" s="88"/>
      <c r="AZ16" s="88"/>
      <c r="BA16" s="88"/>
      <c r="BB16" s="88"/>
      <c r="BC16" s="7"/>
      <c r="BD16" s="60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</row>
    <row r="17" customFormat="false" ht="13.8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87"/>
      <c r="H17" s="87"/>
      <c r="I17" s="87"/>
      <c r="J17" s="87"/>
      <c r="K17" s="87"/>
      <c r="L17" s="87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7"/>
      <c r="BD17" s="60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54</v>
      </c>
      <c r="H18" s="65"/>
      <c r="I18" s="65"/>
      <c r="J18" s="65"/>
      <c r="K18" s="65"/>
      <c r="L18" s="65"/>
      <c r="M18" s="66" t="s">
        <v>51</v>
      </c>
      <c r="N18" s="66"/>
      <c r="O18" s="66"/>
      <c r="P18" s="66"/>
      <c r="Q18" s="66"/>
      <c r="R18" s="66"/>
      <c r="S18" s="66" t="s">
        <v>88</v>
      </c>
      <c r="T18" s="66"/>
      <c r="U18" s="66"/>
      <c r="V18" s="66"/>
      <c r="W18" s="66"/>
      <c r="X18" s="66"/>
      <c r="Y18" s="66" t="s">
        <v>55</v>
      </c>
      <c r="Z18" s="66"/>
      <c r="AA18" s="66"/>
      <c r="AB18" s="66"/>
      <c r="AC18" s="66"/>
      <c r="AD18" s="66"/>
      <c r="AE18" s="66" t="s">
        <v>50</v>
      </c>
      <c r="AF18" s="66"/>
      <c r="AG18" s="66"/>
      <c r="AH18" s="66"/>
      <c r="AI18" s="66"/>
      <c r="AJ18" s="66"/>
      <c r="AK18" s="66" t="s">
        <v>89</v>
      </c>
      <c r="AL18" s="66"/>
      <c r="AM18" s="66"/>
      <c r="AN18" s="66"/>
      <c r="AO18" s="66"/>
      <c r="AP18" s="66"/>
      <c r="AQ18" s="66" t="s">
        <v>52</v>
      </c>
      <c r="AR18" s="66"/>
      <c r="AS18" s="66"/>
      <c r="AT18" s="66"/>
      <c r="AU18" s="66"/>
      <c r="AV18" s="66"/>
      <c r="AW18" s="66" t="s">
        <v>53</v>
      </c>
      <c r="AX18" s="66"/>
      <c r="AY18" s="66"/>
      <c r="AZ18" s="66"/>
      <c r="BA18" s="66"/>
      <c r="BB18" s="66"/>
      <c r="BC18" s="7"/>
      <c r="BD18" s="67"/>
    </row>
    <row r="19" customFormat="false" ht="13.8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7"/>
      <c r="BD19" s="7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</row>
    <row r="20" customFormat="false" ht="13.8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7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 customFormat="false" ht="13.8" hidden="false" customHeight="false" outlineLevel="0" collapsed="false">
      <c r="A21" s="70" t="s">
        <v>56</v>
      </c>
      <c r="B21" s="71" t="s">
        <v>57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7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 customFormat="false" ht="13.8" hidden="false" customHeight="false" outlineLevel="0" collapsed="false">
      <c r="A22" s="70" t="s">
        <v>58</v>
      </c>
      <c r="B22" s="71" t="s">
        <v>72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7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 customFormat="false" ht="13.8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4"/>
    </row>
    <row r="24" customFormat="false" ht="12.8" hidden="false" customHeight="true" outlineLevel="0" collapsed="false">
      <c r="A24" s="75" t="s">
        <v>60</v>
      </c>
      <c r="B24" s="75" t="s">
        <v>61</v>
      </c>
      <c r="C24" s="75" t="s">
        <v>62</v>
      </c>
      <c r="D24" s="75" t="s">
        <v>63</v>
      </c>
    </row>
    <row r="25" customFormat="false" ht="12.8" hidden="false" customHeight="false" outlineLevel="0" collapsed="false">
      <c r="A25" s="75"/>
      <c r="B25" s="75"/>
      <c r="C25" s="75"/>
      <c r="D25" s="75"/>
    </row>
    <row r="26" customFormat="false" ht="13.8" hidden="false" customHeight="false" outlineLevel="0" collapsed="false">
      <c r="A26" s="76" t="n">
        <v>3</v>
      </c>
      <c r="B26" s="4" t="s">
        <v>35</v>
      </c>
      <c r="C26" s="4" t="s">
        <v>65</v>
      </c>
      <c r="D26" s="4" t="n">
        <v>0</v>
      </c>
    </row>
    <row r="27" customFormat="false" ht="13.8" hidden="false" customHeight="false" outlineLevel="0" collapsed="false">
      <c r="A27" s="76" t="n">
        <v>3</v>
      </c>
      <c r="B27" s="4" t="s">
        <v>79</v>
      </c>
      <c r="C27" s="4" t="s">
        <v>65</v>
      </c>
      <c r="D27" s="4" t="n">
        <v>0</v>
      </c>
      <c r="E27" s="78" t="e">
        <f aca="false" t="array" ref="E27:F36">sort(B6:C15,2,FALSE())</f>
        <v>#NAME?</v>
      </c>
      <c r="F27" s="78" t="e">
        <v>#NAME?</v>
      </c>
    </row>
    <row r="28" customFormat="false" ht="13.8" hidden="false" customHeight="false" outlineLevel="0" collapsed="false">
      <c r="A28" s="76" t="n">
        <v>6</v>
      </c>
      <c r="B28" s="4" t="s">
        <v>75</v>
      </c>
      <c r="C28" s="4" t="s">
        <v>65</v>
      </c>
      <c r="D28" s="4" t="n">
        <v>0</v>
      </c>
      <c r="E28" s="78" t="e">
        <v>#NAME?</v>
      </c>
      <c r="F28" s="78" t="e">
        <v>#NAME?</v>
      </c>
    </row>
    <row r="29" customFormat="false" ht="13.8" hidden="false" customHeight="false" outlineLevel="0" collapsed="false">
      <c r="A29" s="4"/>
      <c r="B29" s="4"/>
      <c r="C29" s="4"/>
      <c r="E29" s="78" t="e">
        <v>#NAME?</v>
      </c>
      <c r="F29" s="78" t="e">
        <v>#NAME?</v>
      </c>
    </row>
    <row r="30" customFormat="false" ht="13.8" hidden="false" customHeight="false" outlineLevel="0" collapsed="false">
      <c r="A30" s="4"/>
      <c r="B30" s="4"/>
      <c r="C30" s="4"/>
      <c r="E30" s="78" t="e">
        <v>#NAME?</v>
      </c>
      <c r="F30" s="78" t="e">
        <v>#NAME?</v>
      </c>
    </row>
    <row r="31" customFormat="false" ht="13.8" hidden="false" customHeight="false" outlineLevel="0" collapsed="false">
      <c r="A31" s="4"/>
      <c r="B31" s="4"/>
      <c r="C31" s="4"/>
      <c r="E31" s="78" t="e">
        <v>#NAME?</v>
      </c>
      <c r="F31" s="78" t="e">
        <v>#NAME?</v>
      </c>
    </row>
    <row r="32" customFormat="false" ht="13.8" hidden="false" customHeight="false" outlineLevel="0" collapsed="false">
      <c r="A32" s="4"/>
      <c r="B32" s="4"/>
      <c r="C32" s="4"/>
      <c r="E32" s="78" t="e">
        <v>#NAME?</v>
      </c>
      <c r="F32" s="78" t="e">
        <v>#NAME?</v>
      </c>
    </row>
    <row r="33" customFormat="false" ht="13.8" hidden="false" customHeight="false" outlineLevel="0" collapsed="false">
      <c r="A33" s="4"/>
      <c r="B33" s="4"/>
      <c r="C33" s="4"/>
      <c r="E33" s="78" t="e">
        <v>#NAME?</v>
      </c>
      <c r="F33" s="78" t="e">
        <v>#NAME?</v>
      </c>
    </row>
    <row r="34" customFormat="false" ht="13.8" hidden="false" customHeight="false" outlineLevel="0" collapsed="false">
      <c r="A34" s="4"/>
      <c r="B34" s="4"/>
      <c r="C34" s="4"/>
      <c r="E34" s="78" t="e">
        <v>#NAME?</v>
      </c>
      <c r="F34" s="78" t="e">
        <v>#NAME?</v>
      </c>
    </row>
    <row r="35" customFormat="false" ht="13.8" hidden="false" customHeight="false" outlineLevel="0" collapsed="false">
      <c r="A35" s="4"/>
      <c r="B35" s="4"/>
      <c r="C35" s="4"/>
      <c r="E35" s="78" t="e">
        <v>#NAME?</v>
      </c>
      <c r="F35" s="78" t="e">
        <v>#NAME?</v>
      </c>
    </row>
    <row r="36" customFormat="false" ht="13.8" hidden="false" customHeight="false" outlineLevel="0" collapsed="false">
      <c r="A36" s="4"/>
      <c r="B36" s="4"/>
      <c r="C36" s="4"/>
      <c r="E36" s="78" t="e">
        <v>#NAME?</v>
      </c>
      <c r="F36" s="78" t="e">
        <v>#NAME?</v>
      </c>
    </row>
    <row r="37" customFormat="false" ht="13.8" hidden="false" customHeight="false" outlineLevel="0" collapsed="false">
      <c r="A37" s="4"/>
      <c r="B37" s="4"/>
      <c r="C37" s="4"/>
    </row>
    <row r="38" customFormat="false" ht="13.8" hidden="false" customHeight="false" outlineLevel="0" collapsed="false">
      <c r="A38" s="4"/>
      <c r="B38" s="4"/>
      <c r="C38" s="4"/>
    </row>
    <row r="39" customFormat="false" ht="13.8" hidden="false" customHeight="false" outlineLevel="0" collapsed="false">
      <c r="A39" s="4"/>
      <c r="B39" s="4"/>
      <c r="C39" s="4"/>
    </row>
    <row r="40" customFormat="false" ht="13.8" hidden="false" customHeight="false" outlineLevel="0" collapsed="false">
      <c r="A40" s="4"/>
      <c r="B40" s="4"/>
      <c r="C40" s="4"/>
    </row>
    <row r="41" customFormat="false" ht="13.8" hidden="false" customHeight="false" outlineLevel="0" collapsed="false">
      <c r="A41" s="4"/>
      <c r="B41" s="4"/>
      <c r="C41" s="4"/>
      <c r="D41" s="4"/>
    </row>
  </sheetData>
  <mergeCells count="35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BB4"/>
    <mergeCell ref="BC4:BC5"/>
    <mergeCell ref="G16:L17"/>
    <mergeCell ref="M16:R17"/>
    <mergeCell ref="S16:X17"/>
    <mergeCell ref="Y16:AD17"/>
    <mergeCell ref="AE16:AJ17"/>
    <mergeCell ref="AK16:AP17"/>
    <mergeCell ref="AQ16:AV17"/>
    <mergeCell ref="AW16:BB17"/>
    <mergeCell ref="G18:L18"/>
    <mergeCell ref="M18:R18"/>
    <mergeCell ref="S18:X18"/>
    <mergeCell ref="Y18:AD18"/>
    <mergeCell ref="AE18:AJ18"/>
    <mergeCell ref="AK18:AP18"/>
    <mergeCell ref="AQ18:AV18"/>
    <mergeCell ref="AW18:BB18"/>
    <mergeCell ref="A24:A25"/>
    <mergeCell ref="B24:B25"/>
    <mergeCell ref="C24:C25"/>
    <mergeCell ref="D24:D25"/>
  </mergeCells>
  <dataValidations count="8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M18 S18 Y18 AE18 AK18 AQ18 AW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B21:B22" type="list">
      <formula1>"Yesterday,Shaok,Ася,Бамблби,Жнец,Пила,Mary Poppins,BonAqua,Грибочки,Самаритянка,-"</formula1>
      <formula2>0</formula2>
    </dataValidation>
    <dataValidation allowBlank="true" errorStyle="stop" operator="between" showDropDown="false" showErrorMessage="true" showInputMessage="false" sqref="H6:H15 N6:N15 T6:T15 Z6:Z15 AF6:AF15 AL6:AL15 AR6:AR15 AX6:AX15" type="list">
      <formula1>"2,50"</formula1>
      <formula2>0</formula2>
    </dataValidation>
    <dataValidation allowBlank="true" errorStyle="stop" operator="between" showDropDown="false" showErrorMessage="true" showInputMessage="false" sqref="J6:J15 V6:V15 AB6:AB15 AH6:AH15 AN6:AN15 AT6:AT15 AZ6:AZ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1 AW6:AW15 AQ13:AQ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'1 Полуфинал'!$B$6:$B$15</formula1>
      <formula2>0</formula2>
    </dataValidation>
    <dataValidation allowBlank="true" errorStyle="stop" operator="between" showDropDown="false" showErrorMessage="true" showInputMessage="false" sqref="G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города на круг при девятерых,Победа мафии 2в2,Победа мафии 1в1,Победа мафии "&amp;"1в1 (ППК),Победа мафии 2в2,Победа мафии 2в2 (ППК),Победа мафии 3в3,Победа мафии 3в3 (ППК),Победа мафии (ППК)"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6.88"/>
    <col collapsed="false" customWidth="true" hidden="false" outlineLevel="0" max="3" min="3" style="0" width="8.63"/>
    <col collapsed="false" customWidth="true" hidden="false" outlineLevel="0" max="4" min="4" style="0" width="8"/>
    <col collapsed="false" customWidth="true" hidden="false" outlineLevel="0" max="5" min="5" style="0" width="4.38"/>
    <col collapsed="false" customWidth="true" hidden="false" outlineLevel="0" max="6" min="6" style="0" width="7.88"/>
    <col collapsed="false" customWidth="true" hidden="false" outlineLevel="0" max="7" min="7" style="0" width="10.63"/>
    <col collapsed="false" customWidth="true" hidden="false" outlineLevel="0" max="8" min="8" style="0" width="11.5"/>
    <col collapsed="false" customWidth="true" hidden="false" outlineLevel="0" max="9" min="9" style="0" width="11.38"/>
    <col collapsed="false" customWidth="true" hidden="false" outlineLevel="0" max="10" min="10" style="0" width="10.75"/>
    <col collapsed="false" customWidth="true" hidden="false" outlineLevel="0" max="11" min="11" style="0" width="8"/>
    <col collapsed="false" customWidth="true" hidden="false" outlineLevel="0" max="13" min="13" style="0" width="7.38"/>
    <col collapsed="false" customWidth="true" hidden="false" outlineLevel="0" max="14" min="14" style="0" width="12.25"/>
    <col collapsed="false" customWidth="true" hidden="false" outlineLevel="0" max="15" min="15" style="0" width="8.25"/>
    <col collapsed="false" customWidth="true" hidden="false" outlineLevel="0" max="16" min="16" style="0" width="12.5"/>
    <col collapsed="false" customWidth="true" hidden="false" outlineLevel="0" max="17" min="17" style="0" width="8.5"/>
    <col collapsed="false" customWidth="true" hidden="false" outlineLevel="0" max="18" min="18" style="0" width="12.75"/>
    <col collapsed="false" customWidth="true" hidden="false" outlineLevel="0" max="19" min="19" style="0" width="10.13"/>
    <col collapsed="false" customWidth="true" hidden="false" outlineLevel="0" max="20" min="20" style="0" width="12.25"/>
    <col collapsed="false" customWidth="true" hidden="false" outlineLevel="0" max="21" min="21" style="0" width="11.75"/>
    <col collapsed="false" customWidth="true" hidden="false" outlineLevel="0" max="22" min="22" style="0" width="8.88"/>
    <col collapsed="false" customWidth="true" hidden="false" outlineLevel="0" max="23" min="23" style="0" width="8.38"/>
    <col collapsed="false" customWidth="true" hidden="false" outlineLevel="0" max="24" min="24" style="0" width="8.63"/>
    <col collapsed="false" customWidth="true" hidden="false" outlineLevel="0" max="25" min="25" style="0" width="9.75"/>
    <col collapsed="false" customWidth="true" hidden="false" outlineLevel="0" max="26" min="26" style="0" width="7.75"/>
    <col collapsed="false" customWidth="true" hidden="false" outlineLevel="0" max="27" min="27" style="0" width="9"/>
    <col collapsed="false" customWidth="true" hidden="false" outlineLevel="0" max="28" min="28" style="0" width="8.75"/>
    <col collapsed="false" customWidth="true" hidden="false" outlineLevel="0" max="29" min="29" style="0" width="8.88"/>
    <col collapsed="false" customWidth="true" hidden="false" outlineLevel="0" max="30" min="30" style="0" width="9.38"/>
    <col collapsed="false" customWidth="true" hidden="false" outlineLevel="0" max="31" min="31" style="0" width="9.88"/>
    <col collapsed="false" customWidth="true" hidden="false" outlineLevel="0" max="32" min="32" style="0" width="8.75"/>
    <col collapsed="false" customWidth="true" hidden="false" outlineLevel="0" max="33" min="33" style="0" width="10.25"/>
    <col collapsed="false" customWidth="true" hidden="false" outlineLevel="0" max="34" min="34" style="0" width="8.63"/>
    <col collapsed="false" customWidth="true" hidden="false" outlineLevel="0" max="35" min="35" style="0" width="11.25"/>
  </cols>
  <sheetData>
    <row r="1" customFormat="false" ht="15.75" hidden="false" customHeight="true" outlineLevel="0" collapsed="false">
      <c r="A1" s="95"/>
      <c r="B1" s="95"/>
      <c r="C1" s="96"/>
      <c r="D1" s="96"/>
      <c r="E1" s="96"/>
      <c r="F1" s="96"/>
      <c r="G1" s="96"/>
      <c r="H1" s="96"/>
      <c r="I1" s="97" t="s">
        <v>90</v>
      </c>
      <c r="J1" s="97"/>
      <c r="K1" s="97"/>
      <c r="L1" s="97"/>
      <c r="M1" s="97"/>
      <c r="N1" s="97"/>
      <c r="O1" s="97"/>
      <c r="P1" s="97"/>
      <c r="Q1" s="97"/>
      <c r="R1" s="97"/>
      <c r="S1" s="98" t="s">
        <v>91</v>
      </c>
      <c r="T1" s="98"/>
      <c r="U1" s="98"/>
      <c r="V1" s="98"/>
      <c r="W1" s="98"/>
      <c r="X1" s="98"/>
      <c r="Y1" s="98"/>
      <c r="Z1" s="99" t="s">
        <v>92</v>
      </c>
      <c r="AA1" s="99"/>
      <c r="AB1" s="99"/>
      <c r="AC1" s="99"/>
      <c r="AD1" s="99"/>
      <c r="AE1" s="100" t="s">
        <v>93</v>
      </c>
      <c r="AF1" s="100"/>
      <c r="AG1" s="100"/>
      <c r="AH1" s="100"/>
      <c r="AI1" s="100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customFormat="false" ht="15.75" hidden="false" customHeight="false" outlineLevel="0" collapsed="false">
      <c r="A2" s="101"/>
      <c r="B2" s="101"/>
      <c r="C2" s="96"/>
      <c r="D2" s="96"/>
      <c r="E2" s="96"/>
      <c r="F2" s="96"/>
      <c r="G2" s="96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  <c r="T2" s="98"/>
      <c r="U2" s="98"/>
      <c r="V2" s="98"/>
      <c r="W2" s="98"/>
      <c r="X2" s="98"/>
      <c r="Y2" s="98"/>
      <c r="Z2" s="99"/>
      <c r="AA2" s="99"/>
      <c r="AB2" s="99"/>
      <c r="AC2" s="99"/>
      <c r="AD2" s="99"/>
      <c r="AE2" s="100"/>
      <c r="AF2" s="100"/>
      <c r="AG2" s="100"/>
      <c r="AH2" s="100"/>
      <c r="AI2" s="100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customFormat="false" ht="15.75" hidden="false" customHeight="false" outlineLevel="0" collapsed="false">
      <c r="A3" s="102" t="s">
        <v>94</v>
      </c>
      <c r="B3" s="101"/>
      <c r="C3" s="96"/>
      <c r="D3" s="96"/>
      <c r="E3" s="96"/>
      <c r="F3" s="96"/>
      <c r="G3" s="96"/>
      <c r="H3" s="96"/>
      <c r="I3" s="97"/>
      <c r="J3" s="97"/>
      <c r="K3" s="97"/>
      <c r="L3" s="97"/>
      <c r="M3" s="97"/>
      <c r="N3" s="97"/>
      <c r="O3" s="97"/>
      <c r="P3" s="97"/>
      <c r="Q3" s="97"/>
      <c r="R3" s="97"/>
      <c r="S3" s="98"/>
      <c r="T3" s="98"/>
      <c r="U3" s="98"/>
      <c r="V3" s="98"/>
      <c r="W3" s="98"/>
      <c r="X3" s="98"/>
      <c r="Y3" s="98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customFormat="false" ht="15.75" hidden="false" customHeight="false" outlineLevel="0" collapsed="false">
      <c r="A4" s="103" t="s">
        <v>95</v>
      </c>
      <c r="B4" s="104" t="s">
        <v>96</v>
      </c>
      <c r="C4" s="105" t="s">
        <v>97</v>
      </c>
      <c r="D4" s="105" t="s">
        <v>98</v>
      </c>
      <c r="E4" s="105" t="s">
        <v>29</v>
      </c>
      <c r="F4" s="105" t="s">
        <v>99</v>
      </c>
      <c r="G4" s="106" t="s">
        <v>100</v>
      </c>
      <c r="H4" s="107" t="s">
        <v>101</v>
      </c>
      <c r="I4" s="108" t="s">
        <v>102</v>
      </c>
      <c r="J4" s="109" t="s">
        <v>103</v>
      </c>
      <c r="K4" s="110" t="s">
        <v>104</v>
      </c>
      <c r="L4" s="110" t="s">
        <v>105</v>
      </c>
      <c r="M4" s="111" t="s">
        <v>106</v>
      </c>
      <c r="N4" s="111" t="s">
        <v>107</v>
      </c>
      <c r="O4" s="109" t="s">
        <v>108</v>
      </c>
      <c r="P4" s="109" t="s">
        <v>109</v>
      </c>
      <c r="Q4" s="112" t="s">
        <v>110</v>
      </c>
      <c r="R4" s="112" t="s">
        <v>111</v>
      </c>
      <c r="S4" s="113" t="s">
        <v>112</v>
      </c>
      <c r="T4" s="113" t="s">
        <v>113</v>
      </c>
      <c r="U4" s="113" t="s">
        <v>114</v>
      </c>
      <c r="V4" s="110" t="s">
        <v>115</v>
      </c>
      <c r="W4" s="111" t="s">
        <v>116</v>
      </c>
      <c r="X4" s="109" t="s">
        <v>117</v>
      </c>
      <c r="Y4" s="112" t="s">
        <v>118</v>
      </c>
      <c r="Z4" s="113" t="s">
        <v>119</v>
      </c>
      <c r="AA4" s="114" t="s">
        <v>120</v>
      </c>
      <c r="AB4" s="115" t="s">
        <v>121</v>
      </c>
      <c r="AC4" s="116" t="s">
        <v>122</v>
      </c>
      <c r="AD4" s="117" t="s">
        <v>123</v>
      </c>
      <c r="AE4" s="113" t="s">
        <v>124</v>
      </c>
      <c r="AF4" s="114" t="s">
        <v>125</v>
      </c>
      <c r="AG4" s="111" t="s">
        <v>126</v>
      </c>
      <c r="AH4" s="116" t="s">
        <v>127</v>
      </c>
      <c r="AI4" s="118" t="s">
        <v>128</v>
      </c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</row>
    <row r="5" customFormat="false" ht="15.75" hidden="false" customHeight="false" outlineLevel="0" collapsed="false">
      <c r="A5" s="78" t="str">
        <f aca="false" t="array" ref="A5:A14">'1 Полуфинал'!B6:B15</f>
        <v>Coach</v>
      </c>
      <c r="B5" s="120" t="n">
        <f aca="false">SUM(I5:J5)</f>
        <v>5</v>
      </c>
      <c r="C5" s="4" t="str">
        <f aca="false">IF(COUNTIFS('Все игры'!AN$3:AN892,A5,'Все игры'!AS$3:AS892,"=1")=0, "", COUNTIFS('Все игры'!AN$3:AN892,A5,'Все игры'!AS$3:AS892,"=1"))</f>
        <v/>
      </c>
      <c r="D5" s="76" t="str">
        <f aca="false">IF(COUNTIFS('Все игры'!AN$3:AN892,A5,'Все игры'!AS$3:AS892,"=0,50")=0, "", COUNTIFS('Все игры'!AN$3:AN892,A5,'Все игры'!AS$3:AS892,"=0,50"))</f>
        <v/>
      </c>
      <c r="E5" s="76" t="str">
        <f aca="false">IF(COUNTIFS('Все игры'!AN$3:AN892,A5,'Все игры'!AR$3:AR892,"ПУ")=0, "", COUNTIFS('Все игры'!AN$3:AN892,A5,'Все игры'!AR$3:AR892,"ПУ"))</f>
        <v/>
      </c>
      <c r="F5" s="121" t="n">
        <f aca="false">IFERROR(E5/I5,0)</f>
        <v>0</v>
      </c>
      <c r="G5" s="76" t="str">
        <f aca="false">IF(COUNTIFS('Все игры'!AN$3:AN892,A5,'Все игры'!AR$3:AR892,"У/Победа")=0, "",COUNTIFS('Все игры'!AN$3:AN892,A5,'Все игры'!AR$3:AR892,"У/Победа") )</f>
        <v/>
      </c>
      <c r="H5" s="76" t="str">
        <f aca="false">IF(COUNTIFS('Все игры'!AN$3:AN892,A5,'Все игры'!AR$3:AR892,"У/Проигрыш")=0, "",COUNTIFS('Все игры'!AN$3:AN892,A5,'Все игры'!AR$3:AR892,"У/Проигрыш") )</f>
        <v/>
      </c>
      <c r="I5" s="120" t="n">
        <f aca="false">M5+N5+Q5+R5</f>
        <v>3</v>
      </c>
      <c r="J5" s="120" t="n">
        <f aca="false">K5+L5+O5+P5</f>
        <v>2</v>
      </c>
      <c r="K5" s="120" t="n">
        <f aca="false">COUNTIFS('Все игры'!AN$3:AN892,A5,'Все игры'!AP$3:AP892,"&gt;0",'Все игры'!AO$3:AO892,"Мафия")</f>
        <v>0</v>
      </c>
      <c r="L5" s="120" t="n">
        <f aca="false">IFERROR(__xludf.dummyfunction("COUNTBLANK(FILTER('Все игры'!AN$3:AP892,'Все игры'!AN$3:AN892=A5,'Все игры'!AP$3:AP892 &lt; 1,'Все игры'!AO$3:AO892=""Мафия""))"),2)</f>
        <v>2</v>
      </c>
      <c r="M5" s="120" t="n">
        <f aca="false">COUNTIFS('Все игры'!AN$3:AN892,A5,'Все игры'!AP$3:AP892,"&gt;0",'Все игры'!AO$3:AO892,"Шериф")</f>
        <v>0</v>
      </c>
      <c r="N5" s="120" t="n">
        <f aca="false">IFERROR(__xludf.dummyfunction("COUNTBLANK(FILTER('Все игры'!AN$3:AP892,'Все игры'!AN$3:AN892=A5,'Все игры'!AP$3:AP892 &lt; 1,'Все игры'!AO$3:AO892=""Шериф""))"),1)</f>
        <v>1</v>
      </c>
      <c r="O5" s="120" t="n">
        <f aca="false">COUNTIFS('Все игры'!AN$3:AN892,A5,'Все игры'!AP$3:AP892,"&gt;0",'Все игры'!AO$3:AO892,"Дон")</f>
        <v>0</v>
      </c>
      <c r="P5" s="122" t="n">
        <f aca="false">IFERROR(__xludf.dummyfunction("COUNTBLANK(FILTER('Все игры'!AN$3:AP892,'Все игры'!AN$3:AN892=A5,'Все игры'!AP$3:AP892 &lt; 1,'Все игры'!AO$3:AO892=""Дон""))"),0)</f>
        <v>0</v>
      </c>
      <c r="Q5" s="120" t="n">
        <f aca="false">COUNTIFS('Все игры'!AN$3:AN892,A5,'Все игры'!AP$3:AP892,"&gt;0",'Все игры'!AO$3:AO892,"Мирный")</f>
        <v>0</v>
      </c>
      <c r="R5" s="120" t="n">
        <f aca="false">IFERROR(__xludf.dummyfunction("COUNTBLANK(FILTER('Все игры'!AN$3:AP892,'Все игры'!AN$3:AN892=A5,'Все игры'!AP$3:AP892 &lt; 1,'Все игры'!AO$3:AO892=""Мирный""))"),2)</f>
        <v>2</v>
      </c>
      <c r="S5" s="123" t="n">
        <f aca="false">IFERROR((K5+M5+O5+Q5)/(I5+J5), )</f>
        <v>0</v>
      </c>
      <c r="T5" s="123" t="n">
        <f aca="false">IFERROR((M5+Q5)/I5, )</f>
        <v>0</v>
      </c>
      <c r="U5" s="123" t="n">
        <f aca="false">IFERROR((K5+O5)/J5, )</f>
        <v>0</v>
      </c>
      <c r="V5" s="123" t="n">
        <f aca="false">IFERROR(K5/(K5+L5), )</f>
        <v>0</v>
      </c>
      <c r="W5" s="123" t="n">
        <f aca="false">IFERROR(M5/(M5+N5), )</f>
        <v>0</v>
      </c>
      <c r="X5" s="123" t="n">
        <f aca="false">IFERROR(O5/(O5+P5), )</f>
        <v>0</v>
      </c>
      <c r="Y5" s="123" t="n">
        <f aca="false">IFERROR(Q5/(Q5+R5), )</f>
        <v>0</v>
      </c>
      <c r="Z5" s="124" t="n">
        <f aca="false">SUMIFS('Все игры'!AQ$3:AQ892,'Все игры'!AN$3:AN892,A5)</f>
        <v>0</v>
      </c>
      <c r="AA5" s="124" t="n">
        <f aca="false">SUMIFS('Все игры'!AQ$3:AQ892,'Все игры'!AN$3:AN892,A5,'Все игры'!AO$3:AO892,"Мафия")</f>
        <v>0</v>
      </c>
      <c r="AB5" s="124" t="n">
        <f aca="false">SUMIFS('Все игры'!AQ$3:AQ892,'Все игры'!AN$3:AN892,A5,'Все игры'!AO$3:AO892,"Шериф")</f>
        <v>0</v>
      </c>
      <c r="AC5" s="124" t="n">
        <f aca="false">SUMIFS('Все игры'!AQ$3:AQ892,'Все игры'!AN$3:AN892,A5,'Все игры'!AO$3:AO892,"Дон")</f>
        <v>0</v>
      </c>
      <c r="AD5" s="124" t="n">
        <f aca="false">SUMIFS('Все игры'!AQ$3:AQ892,'Все игры'!AN$3:AN892,A5,'Все игры'!AO$3:AO892,"Мирный")</f>
        <v>0</v>
      </c>
      <c r="AE5" s="124" t="n">
        <f aca="false">IFERROR(Z5/B5,0)</f>
        <v>0</v>
      </c>
      <c r="AF5" s="124" t="n">
        <f aca="false">IFERROR(AA5/(K5+L5),0)</f>
        <v>0</v>
      </c>
      <c r="AG5" s="124" t="n">
        <f aca="false">IFERROR(AB5/(M5+N5),0)</f>
        <v>0</v>
      </c>
      <c r="AH5" s="124" t="n">
        <f aca="false">IFERROR(AC5/(O5+P5),0)</f>
        <v>0</v>
      </c>
      <c r="AI5" s="124" t="n">
        <f aca="false">IFERROR(AD5/(Q5+R5),0)</f>
        <v>0</v>
      </c>
    </row>
    <row r="6" customFormat="false" ht="15.75" hidden="false" customHeight="false" outlineLevel="0" collapsed="false">
      <c r="A6" s="78" t="str">
        <v>Зверюга</v>
      </c>
      <c r="B6" s="120" t="n">
        <f aca="false">SUM(I6:J6)</f>
        <v>3</v>
      </c>
      <c r="C6" s="4" t="str">
        <f aca="false">IF(COUNTIFS('Все игры'!AN$3:AN892,A6,'Все игры'!AS$3:AS892,"=1")=0, "", COUNTIFS('Все игры'!AN$3:AN892,A6,'Все игры'!AS$3:AS892,"=1"))</f>
        <v/>
      </c>
      <c r="D6" s="76" t="str">
        <f aca="false">IF(COUNTIFS('Все игры'!AN$3:AN892,A6,'Все игры'!AS$3:AS892,"=0,50")=0, "", COUNTIFS('Все игры'!AN$3:AN892,A6,'Все игры'!AS$3:AS892,"=0,50"))</f>
        <v/>
      </c>
      <c r="E6" s="76" t="str">
        <f aca="false">IF(COUNTIFS('Все игры'!AN$3:AN892,A6,'Все игры'!AR$3:AR892,"ПУ")=0, "", COUNTIFS('Все игры'!AN$3:AN892,A6,'Все игры'!AR$3:AR892,"ПУ"))</f>
        <v/>
      </c>
      <c r="F6" s="121" t="n">
        <f aca="false">IFERROR(E6/I6,0)</f>
        <v>0</v>
      </c>
      <c r="G6" s="76" t="str">
        <f aca="false">IF(COUNTIFS('Все игры'!AN$3:AN892,A6,'Все игры'!AR$3:AR892,"У/Победа")=0, "",COUNTIFS('Все игры'!AN$3:AN892,A6,'Все игры'!AR$3:AR892,"У/Победа") )</f>
        <v/>
      </c>
      <c r="H6" s="76" t="str">
        <f aca="false">IF(COUNTIFS('Все игры'!AN$3:AN892,A6,'Все игры'!AR$3:AR892,"У/Проигрыш")=0, "",COUNTIFS('Все игры'!AN$3:AN892,A6,'Все игры'!AR$3:AR892,"У/Проигрыш") )</f>
        <v/>
      </c>
      <c r="I6" s="120" t="n">
        <f aca="false">M6+N6+Q6+R6</f>
        <v>2</v>
      </c>
      <c r="J6" s="120" t="n">
        <f aca="false">K6+L6+O6+P6</f>
        <v>1</v>
      </c>
      <c r="K6" s="120" t="n">
        <f aca="false">COUNTIFS('Все игры'!AN$3:AN892,A6,'Все игры'!AP$3:AP892,"&gt;0",'Все игры'!AO$3:AO892,"Мафия")</f>
        <v>0</v>
      </c>
      <c r="L6" s="120" t="n">
        <f aca="false">IFERROR(__xludf.dummyfunction("COUNTBLANK(FILTER('Все игры'!AN$3:AP892,'Все игры'!AN$3:AN892=A6,'Все игры'!AP$3:AP892 &lt; 1,'Все игры'!AO$3:AO892=""Мафия""))"),1)</f>
        <v>1</v>
      </c>
      <c r="M6" s="120" t="n">
        <f aca="false">COUNTIFS('Все игры'!AN$3:AN892,A6,'Все игры'!AP$3:AP892,"&gt;0",'Все игры'!AO$3:AO892,"Шериф")</f>
        <v>0</v>
      </c>
      <c r="N6" s="120" t="n">
        <f aca="false">IFERROR(__xludf.dummyfunction("COUNTBLANK(FILTER('Все игры'!AN$3:AP892,'Все игры'!AN$3:AN892=A6,'Все игры'!AP$3:AP892 &lt; 1,'Все игры'!AO$3:AO892=""Шериф""))"),0)</f>
        <v>0</v>
      </c>
      <c r="O6" s="120" t="n">
        <f aca="false">COUNTIFS('Все игры'!AN$3:AN892,A6,'Все игры'!AP$3:AP892,"&gt;0",'Все игры'!AO$3:AO892,"Дон")</f>
        <v>0</v>
      </c>
      <c r="P6" s="122" t="n">
        <f aca="false">IFERROR(__xludf.dummyfunction("COUNTBLANK(FILTER('Все игры'!AN$3:AP892,'Все игры'!AN$3:AN892=A6,'Все игры'!AP$3:AP892 &lt; 1,'Все игры'!AO$3:AO892=""Дон""))"),0)</f>
        <v>0</v>
      </c>
      <c r="Q6" s="120" t="n">
        <f aca="false">COUNTIFS('Все игры'!AN$3:AN892,A6,'Все игры'!AP$3:AP892,"&gt;0",'Все игры'!AO$3:AO892,"Мирный")</f>
        <v>0</v>
      </c>
      <c r="R6" s="120" t="n">
        <f aca="false">IFERROR(__xludf.dummyfunction("COUNTBLANK(FILTER('Все игры'!AN$3:AP892,'Все игры'!AN$3:AN892=A6,'Все игры'!AP$3:AP892 &lt; 1,'Все игры'!AO$3:AO892=""Мирный""))"),2)</f>
        <v>2</v>
      </c>
      <c r="S6" s="123" t="n">
        <f aca="false">IFERROR((K6+M6+O6+Q6)/(I6+J6), )</f>
        <v>0</v>
      </c>
      <c r="T6" s="123" t="n">
        <f aca="false">IFERROR((M6+Q6)/I6, )</f>
        <v>0</v>
      </c>
      <c r="U6" s="123" t="n">
        <f aca="false">IFERROR((K6+O6)/J6, )</f>
        <v>0</v>
      </c>
      <c r="V6" s="123" t="n">
        <f aca="false">IFERROR(K6/(K6+L6), )</f>
        <v>0</v>
      </c>
      <c r="W6" s="123" t="n">
        <f aca="false">IFERROR(M6/(M6+N6), )</f>
        <v>0</v>
      </c>
      <c r="X6" s="123" t="n">
        <f aca="false">IFERROR(O6/(O6+P6), )</f>
        <v>0</v>
      </c>
      <c r="Y6" s="123" t="n">
        <f aca="false">IFERROR(Q6/(Q6+R6), )</f>
        <v>0</v>
      </c>
      <c r="Z6" s="124" t="n">
        <f aca="false">SUMIFS('Все игры'!AQ$3:AQ892,'Все игры'!AN$3:AN892,A6)</f>
        <v>0</v>
      </c>
      <c r="AA6" s="124" t="n">
        <f aca="false">SUMIFS('Все игры'!AQ$3:AQ892,'Все игры'!AN$3:AN892,A6,'Все игры'!AO$3:AO892,"Мафия")</f>
        <v>0</v>
      </c>
      <c r="AB6" s="124" t="n">
        <f aca="false">SUMIFS('Все игры'!AQ$3:AQ892,'Все игры'!AN$3:AN892,A6,'Все игры'!AO$3:AO892,"Шериф")</f>
        <v>0</v>
      </c>
      <c r="AC6" s="124" t="n">
        <f aca="false">SUMIFS('Все игры'!AQ$3:AQ892,'Все игры'!AN$3:AN892,A6,'Все игры'!AO$3:AO892,"Дон")</f>
        <v>0</v>
      </c>
      <c r="AD6" s="124" t="n">
        <f aca="false">SUMIFS('Все игры'!AQ$3:AQ892,'Все игры'!AN$3:AN892,A6,'Все игры'!AO$3:AO892,"Мирный")</f>
        <v>0</v>
      </c>
      <c r="AE6" s="124" t="n">
        <f aca="false">IFERROR(Z6/B6,0)</f>
        <v>0</v>
      </c>
      <c r="AF6" s="124" t="n">
        <f aca="false">IFERROR(AA6/(K6+L6),0)</f>
        <v>0</v>
      </c>
      <c r="AG6" s="124" t="n">
        <f aca="false">IFERROR(AB6/(M6+N6),0)</f>
        <v>0</v>
      </c>
      <c r="AH6" s="124" t="n">
        <f aca="false">IFERROR(AC6/(O6+P6),0)</f>
        <v>0</v>
      </c>
      <c r="AI6" s="124" t="n">
        <f aca="false">IFERROR(AD6/(Q6+R6),0)</f>
        <v>0</v>
      </c>
    </row>
    <row r="7" customFormat="false" ht="15.75" hidden="false" customHeight="false" outlineLevel="0" collapsed="false">
      <c r="A7" s="78" t="str">
        <v>Чешир</v>
      </c>
      <c r="B7" s="120" t="n">
        <f aca="false">SUM(I7:J7)</f>
        <v>2</v>
      </c>
      <c r="C7" s="4" t="str">
        <f aca="false">IF(COUNTIFS('Все игры'!AN$3:AN892,A7,'Все игры'!AS$3:AS892,"=1")=0, "", COUNTIFS('Все игры'!AN$3:AN892,A7,'Все игры'!AS$3:AS892,"=1"))</f>
        <v/>
      </c>
      <c r="D7" s="76" t="str">
        <f aca="false">IF(COUNTIFS('Все игры'!AN$3:AN892,A7,'Все игры'!AS$3:AS892,"=0,50")=0, "", COUNTIFS('Все игры'!AN$3:AN892,A7,'Все игры'!AS$3:AS892,"=0,50"))</f>
        <v/>
      </c>
      <c r="E7" s="76" t="str">
        <f aca="false">IF(COUNTIFS('Все игры'!AN$3:AN892,A7,'Все игры'!AR$3:AR892,"ПУ")=0, "", COUNTIFS('Все игры'!AN$3:AN892,A7,'Все игры'!AR$3:AR892,"ПУ"))</f>
        <v/>
      </c>
      <c r="F7" s="121" t="n">
        <f aca="false">IFERROR(E7/I7,0)</f>
        <v>0</v>
      </c>
      <c r="G7" s="76" t="str">
        <f aca="false">IF(COUNTIFS('Все игры'!AN$3:AN892,A7,'Все игры'!AR$3:AR892,"У/Победа")=0, "",COUNTIFS('Все игры'!AN$3:AN892,A7,'Все игры'!AR$3:AR892,"У/Победа") )</f>
        <v/>
      </c>
      <c r="H7" s="76" t="str">
        <f aca="false">IF(COUNTIFS('Все игры'!AN$3:AN892,A7,'Все игры'!AR$3:AR892,"У/Проигрыш")=0, "",COUNTIFS('Все игры'!AN$3:AN892,A7,'Все игры'!AR$3:AR892,"У/Проигрыш") )</f>
        <v/>
      </c>
      <c r="I7" s="120" t="n">
        <f aca="false">M7+N7+Q7+R7</f>
        <v>2</v>
      </c>
      <c r="J7" s="120" t="n">
        <f aca="false">K7+L7+O7+P7</f>
        <v>0</v>
      </c>
      <c r="K7" s="120" t="n">
        <f aca="false">COUNTIFS('Все игры'!AN$3:AN892,A7,'Все игры'!AP$3:AP892,"&gt;0",'Все игры'!AO$3:AO892,"Мафия")</f>
        <v>0</v>
      </c>
      <c r="L7" s="120" t="n">
        <f aca="false">IFERROR(__xludf.dummyfunction("COUNTBLANK(FILTER('Все игры'!AN$3:AP892,'Все игры'!AN$3:AN892=A7,'Все игры'!AP$3:AP892 &lt; 1,'Все игры'!AO$3:AO892=""Мафия""))"),0)</f>
        <v>0</v>
      </c>
      <c r="M7" s="120" t="n">
        <f aca="false">COUNTIFS('Все игры'!AN$3:AN892,A7,'Все игры'!AP$3:AP892,"&gt;0",'Все игры'!AO$3:AO892,"Шериф")</f>
        <v>0</v>
      </c>
      <c r="N7" s="120" t="n">
        <f aca="false">IFERROR(__xludf.dummyfunction("COUNTBLANK(FILTER('Все игры'!AN$3:AP892,'Все игры'!AN$3:AN892=A7,'Все игры'!AP$3:AP892 &lt; 1,'Все игры'!AO$3:AO892=""Шериф""))"),1)</f>
        <v>1</v>
      </c>
      <c r="O7" s="120" t="n">
        <f aca="false">COUNTIFS('Все игры'!AN$3:AN892,A7,'Все игры'!AP$3:AP892,"&gt;0",'Все игры'!AO$3:AO892,"Дон")</f>
        <v>0</v>
      </c>
      <c r="P7" s="122" t="n">
        <f aca="false">IFERROR(__xludf.dummyfunction("COUNTBLANK(FILTER('Все игры'!AN$3:AP892,'Все игры'!AN$3:AN892=A7,'Все игры'!AP$3:AP892 &lt; 1,'Все игры'!AO$3:AO892=""Дон""))"),0)</f>
        <v>0</v>
      </c>
      <c r="Q7" s="120" t="n">
        <f aca="false">COUNTIFS('Все игры'!AN$3:AN892,A7,'Все игры'!AP$3:AP892,"&gt;0",'Все игры'!AO$3:AO892,"Мирный")</f>
        <v>0</v>
      </c>
      <c r="R7" s="120" t="n">
        <f aca="false">IFERROR(__xludf.dummyfunction("COUNTBLANK(FILTER('Все игры'!AN$3:AP892,'Все игры'!AN$3:AN892=A7,'Все игры'!AP$3:AP892 &lt; 1,'Все игры'!AO$3:AO892=""Мирный""))"),1)</f>
        <v>1</v>
      </c>
      <c r="S7" s="123" t="n">
        <f aca="false">IFERROR((K7+M7+O7+Q7)/(I7+J7), )</f>
        <v>0</v>
      </c>
      <c r="T7" s="123" t="n">
        <f aca="false">IFERROR((M7+Q7)/I7, )</f>
        <v>0</v>
      </c>
      <c r="U7" s="123" t="n">
        <f aca="false">IFERROR((K7+O7)/J7, )</f>
        <v>0</v>
      </c>
      <c r="V7" s="123" t="n">
        <f aca="false">IFERROR(K7/(K7+L7), )</f>
        <v>0</v>
      </c>
      <c r="W7" s="123" t="n">
        <f aca="false">IFERROR(M7/(M7+N7), )</f>
        <v>0</v>
      </c>
      <c r="X7" s="123" t="n">
        <f aca="false">IFERROR(O7/(O7+P7), )</f>
        <v>0</v>
      </c>
      <c r="Y7" s="123" t="n">
        <f aca="false">IFERROR(Q7/(Q7+R7), )</f>
        <v>0</v>
      </c>
      <c r="Z7" s="124" t="n">
        <f aca="false">SUMIFS('Все игры'!AQ$3:AQ892,'Все игры'!AN$3:AN892,A7)</f>
        <v>0</v>
      </c>
      <c r="AA7" s="124" t="n">
        <f aca="false">SUMIFS('Все игры'!AQ$3:AQ892,'Все игры'!AN$3:AN892,A7,'Все игры'!AO$3:AO892,"Мафия")</f>
        <v>0</v>
      </c>
      <c r="AB7" s="124" t="n">
        <f aca="false">SUMIFS('Все игры'!AQ$3:AQ892,'Все игры'!AN$3:AN892,A7,'Все игры'!AO$3:AO892,"Шериф")</f>
        <v>0</v>
      </c>
      <c r="AC7" s="124" t="n">
        <f aca="false">SUMIFS('Все игры'!AQ$3:AQ892,'Все игры'!AN$3:AN892,A7,'Все игры'!AO$3:AO892,"Дон")</f>
        <v>0</v>
      </c>
      <c r="AD7" s="124" t="n">
        <f aca="false">SUMIFS('Все игры'!AQ$3:AQ892,'Все игры'!AN$3:AN892,A7,'Все игры'!AO$3:AO892,"Мирный")</f>
        <v>0</v>
      </c>
      <c r="AE7" s="124" t="n">
        <f aca="false">IFERROR(Z7/B7,0)</f>
        <v>0</v>
      </c>
      <c r="AF7" s="124" t="n">
        <f aca="false">IFERROR(AA7/(K7+L7),0)</f>
        <v>0</v>
      </c>
      <c r="AG7" s="124" t="n">
        <f aca="false">IFERROR(AB7/(M7+N7),0)</f>
        <v>0</v>
      </c>
      <c r="AH7" s="124" t="n">
        <f aca="false">IFERROR(AC7/(O7+P7),0)</f>
        <v>0</v>
      </c>
      <c r="AI7" s="124" t="n">
        <f aca="false">IFERROR(AD7/(Q7+R7),0)</f>
        <v>0</v>
      </c>
    </row>
    <row r="8" customFormat="false" ht="15.75" hidden="false" customHeight="false" outlineLevel="0" collapsed="false">
      <c r="A8" s="78" t="str">
        <v>NME</v>
      </c>
      <c r="B8" s="120" t="n">
        <f aca="false">SUM(I8:J8)</f>
        <v>4</v>
      </c>
      <c r="C8" s="4" t="str">
        <f aca="false">IF(COUNTIFS('Все игры'!AN$3:AN892,A8,'Все игры'!AS$3:AS892,"=1")=0, "", COUNTIFS('Все игры'!AN$3:AN892,A8,'Все игры'!AS$3:AS892,"=1"))</f>
        <v/>
      </c>
      <c r="D8" s="76" t="str">
        <f aca="false">IF(COUNTIFS('Все игры'!AN$3:AN892,A8,'Все игры'!AS$3:AS892,"=0,50")=0, "", COUNTIFS('Все игры'!AN$3:AN892,A8,'Все игры'!AS$3:AS892,"=0,50"))</f>
        <v/>
      </c>
      <c r="E8" s="76" t="str">
        <f aca="false">IF(COUNTIFS('Все игры'!AN$3:AN892,A8,'Все игры'!AR$3:AR892,"ПУ")=0, "", COUNTIFS('Все игры'!AN$3:AN892,A8,'Все игры'!AR$3:AR892,"ПУ"))</f>
        <v/>
      </c>
      <c r="F8" s="121" t="n">
        <f aca="false">IFERROR(E8/I8,0)</f>
        <v>0</v>
      </c>
      <c r="G8" s="76" t="str">
        <f aca="false">IF(COUNTIFS('Все игры'!AN$3:AN892,A8,'Все игры'!AR$3:AR892,"У/Победа")=0, "",COUNTIFS('Все игры'!AN$3:AN892,A8,'Все игры'!AR$3:AR892,"У/Победа") )</f>
        <v/>
      </c>
      <c r="H8" s="76" t="str">
        <f aca="false">IF(COUNTIFS('Все игры'!AN$3:AN892,A8,'Все игры'!AR$3:AR892,"У/Проигрыш")=0, "",COUNTIFS('Все игры'!AN$3:AN892,A8,'Все игры'!AR$3:AR892,"У/Проигрыш") )</f>
        <v/>
      </c>
      <c r="I8" s="120" t="n">
        <f aca="false">M8+N8+Q8+R8</f>
        <v>2</v>
      </c>
      <c r="J8" s="120" t="n">
        <f aca="false">K8+L8+O8+P8</f>
        <v>2</v>
      </c>
      <c r="K8" s="120" t="n">
        <f aca="false">COUNTIFS('Все игры'!AN$3:AN892,A8,'Все игры'!AP$3:AP892,"&gt;0",'Все игры'!AO$3:AO892,"Мафия")</f>
        <v>0</v>
      </c>
      <c r="L8" s="120" t="n">
        <f aca="false">IFERROR(__xludf.dummyfunction("COUNTBLANK(FILTER('Все игры'!AN$3:AP892,'Все игры'!AN$3:AN892=A8,'Все игры'!AP$3:AP892 &lt; 1,'Все игры'!AO$3:AO892=""Мафия""))"),2)</f>
        <v>2</v>
      </c>
      <c r="M8" s="120" t="n">
        <f aca="false">COUNTIFS('Все игры'!AN$3:AN892,A8,'Все игры'!AP$3:AP892,"&gt;0",'Все игры'!AO$3:AO892,"Шериф")</f>
        <v>0</v>
      </c>
      <c r="N8" s="120" t="n">
        <f aca="false">IFERROR(__xludf.dummyfunction("COUNTBLANK(FILTER('Все игры'!AN$3:AP892,'Все игры'!AN$3:AN892=A8,'Все игры'!AP$3:AP892 &lt; 1,'Все игры'!AO$3:AO892=""Шериф""))"),0)</f>
        <v>0</v>
      </c>
      <c r="O8" s="120" t="n">
        <f aca="false">COUNTIFS('Все игры'!AN$3:AN892,A8,'Все игры'!AP$3:AP892,"&gt;0",'Все игры'!AO$3:AO892,"Дон")</f>
        <v>0</v>
      </c>
      <c r="P8" s="122" t="n">
        <f aca="false">IFERROR(__xludf.dummyfunction("COUNTBLANK(FILTER('Все игры'!AN$3:AP892,'Все игры'!AN$3:AN892=A8,'Все игры'!AP$3:AP892 &lt; 1,'Все игры'!AO$3:AO892=""Дон""))"),0)</f>
        <v>0</v>
      </c>
      <c r="Q8" s="120" t="n">
        <f aca="false">COUNTIFS('Все игры'!AN$3:AN892,A8,'Все игры'!AP$3:AP892,"&gt;0",'Все игры'!AO$3:AO892,"Мирный")</f>
        <v>0</v>
      </c>
      <c r="R8" s="120" t="n">
        <f aca="false">IFERROR(__xludf.dummyfunction("COUNTBLANK(FILTER('Все игры'!AN$3:AP892,'Все игры'!AN$3:AN892=A8,'Все игры'!AP$3:AP892 &lt; 1,'Все игры'!AO$3:AO892=""Мирный""))"),2)</f>
        <v>2</v>
      </c>
      <c r="S8" s="123" t="n">
        <f aca="false">IFERROR((K8+M8+O8+Q8)/(I8+J8), )</f>
        <v>0</v>
      </c>
      <c r="T8" s="123" t="n">
        <f aca="false">IFERROR((M8+Q8)/I8, )</f>
        <v>0</v>
      </c>
      <c r="U8" s="123" t="n">
        <f aca="false">IFERROR((K8+O8)/J8, )</f>
        <v>0</v>
      </c>
      <c r="V8" s="123" t="n">
        <f aca="false">IFERROR(K8/(K8+L8), )</f>
        <v>0</v>
      </c>
      <c r="W8" s="123" t="n">
        <f aca="false">IFERROR(M8/(M8+N8), )</f>
        <v>0</v>
      </c>
      <c r="X8" s="123" t="n">
        <f aca="false">IFERROR(O8/(O8+P8), )</f>
        <v>0</v>
      </c>
      <c r="Y8" s="123" t="n">
        <f aca="false">IFERROR(Q8/(Q8+R8), )</f>
        <v>0</v>
      </c>
      <c r="Z8" s="124" t="n">
        <f aca="false">SUMIFS('Все игры'!AQ$3:AQ892,'Все игры'!AN$3:AN892,A8)</f>
        <v>0</v>
      </c>
      <c r="AA8" s="124" t="n">
        <f aca="false">SUMIFS('Все игры'!AQ$3:AQ892,'Все игры'!AN$3:AN892,A8,'Все игры'!AO$3:AO892,"Мафия")</f>
        <v>0</v>
      </c>
      <c r="AB8" s="124" t="n">
        <f aca="false">SUMIFS('Все игры'!AQ$3:AQ892,'Все игры'!AN$3:AN892,A8,'Все игры'!AO$3:AO892,"Шериф")</f>
        <v>0</v>
      </c>
      <c r="AC8" s="124" t="n">
        <f aca="false">SUMIFS('Все игры'!AQ$3:AQ892,'Все игры'!AN$3:AN892,A8,'Все игры'!AO$3:AO892,"Дон")</f>
        <v>0</v>
      </c>
      <c r="AD8" s="124" t="n">
        <f aca="false">SUMIFS('Все игры'!AQ$3:AQ892,'Все игры'!AN$3:AN892,A8,'Все игры'!AO$3:AO892,"Мирный")</f>
        <v>0</v>
      </c>
      <c r="AE8" s="124" t="n">
        <f aca="false">IFERROR(Z8/B8,0)</f>
        <v>0</v>
      </c>
      <c r="AF8" s="124" t="n">
        <f aca="false">IFERROR(AA8/(K8+L8),0)</f>
        <v>0</v>
      </c>
      <c r="AG8" s="124" t="n">
        <f aca="false">IFERROR(AB8/(M8+N8),0)</f>
        <v>0</v>
      </c>
      <c r="AH8" s="124" t="n">
        <f aca="false">IFERROR(AC8/(O8+P8),0)</f>
        <v>0</v>
      </c>
      <c r="AI8" s="124" t="n">
        <f aca="false">IFERROR(AD8/(Q8+R8),0)</f>
        <v>0</v>
      </c>
    </row>
    <row r="9" customFormat="false" ht="15.75" hidden="false" customHeight="false" outlineLevel="0" collapsed="false">
      <c r="A9" s="78" t="str">
        <v>Still Rise</v>
      </c>
      <c r="B9" s="120" t="n">
        <f aca="false">SUM(I9:J9)</f>
        <v>4</v>
      </c>
      <c r="C9" s="4" t="str">
        <f aca="false">IF(COUNTIFS('Все игры'!AN$3:AN892,A9,'Все игры'!AS$3:AS892,"=1")=0, "", COUNTIFS('Все игры'!AN$3:AN892,A9,'Все игры'!AS$3:AS892,"=1"))</f>
        <v/>
      </c>
      <c r="D9" s="76" t="str">
        <f aca="false">IF(COUNTIFS('Все игры'!AN$3:AN892,A9,'Все игры'!AS$3:AS892,"=0,50")=0, "", COUNTIFS('Все игры'!AN$3:AN892,A9,'Все игры'!AS$3:AS892,"=0,50"))</f>
        <v/>
      </c>
      <c r="E9" s="76" t="str">
        <f aca="false">IF(COUNTIFS('Все игры'!AN$3:AN892,A9,'Все игры'!AR$3:AR892,"ПУ")=0, "", COUNTIFS('Все игры'!AN$3:AN892,A9,'Все игры'!AR$3:AR892,"ПУ"))</f>
        <v/>
      </c>
      <c r="F9" s="121" t="n">
        <f aca="false">IFERROR(E9/I9,0)</f>
        <v>0</v>
      </c>
      <c r="G9" s="76" t="str">
        <f aca="false">IF(COUNTIFS('Все игры'!AN$3:AN892,A9,'Все игры'!AR$3:AR892,"У/Победа")=0, "",COUNTIFS('Все игры'!AN$3:AN892,A9,'Все игры'!AR$3:AR892,"У/Победа") )</f>
        <v/>
      </c>
      <c r="H9" s="76" t="str">
        <f aca="false">IF(COUNTIFS('Все игры'!AN$3:AN892,A9,'Все игры'!AR$3:AR892,"У/Проигрыш")=0, "",COUNTIFS('Все игры'!AN$3:AN892,A9,'Все игры'!AR$3:AR892,"У/Проигрыш") )</f>
        <v/>
      </c>
      <c r="I9" s="120" t="n">
        <f aca="false">M9+N9+Q9+R9</f>
        <v>1</v>
      </c>
      <c r="J9" s="120" t="n">
        <f aca="false">K9+L9+O9+P9</f>
        <v>3</v>
      </c>
      <c r="K9" s="120" t="n">
        <f aca="false">COUNTIFS('Все игры'!AN$3:AN892,A9,'Все игры'!AP$3:AP892,"&gt;0",'Все игры'!AO$3:AO892,"Мафия")</f>
        <v>0</v>
      </c>
      <c r="L9" s="120" t="n">
        <f aca="false">IFERROR(__xludf.dummyfunction("COUNTBLANK(FILTER('Все игры'!AN$3:AP892,'Все игры'!AN$3:AN892=A9,'Все игры'!AP$3:AP892 &lt; 1,'Все игры'!AO$3:AO892=""Мафия""))"),0)</f>
        <v>0</v>
      </c>
      <c r="M9" s="120" t="n">
        <f aca="false">COUNTIFS('Все игры'!AN$3:AN892,A9,'Все игры'!AP$3:AP892,"&gt;0",'Все игры'!AO$3:AO892,"Шериф")</f>
        <v>0</v>
      </c>
      <c r="N9" s="120" t="n">
        <f aca="false">IFERROR(__xludf.dummyfunction("COUNTBLANK(FILTER('Все игры'!AN$3:AP892,'Все игры'!AN$3:AN892=A9,'Все игры'!AP$3:AP892 &lt; 1,'Все игры'!AO$3:AO892=""Шериф""))"),0)</f>
        <v>0</v>
      </c>
      <c r="O9" s="120" t="n">
        <f aca="false">COUNTIFS('Все игры'!AN$3:AN892,A9,'Все игры'!AP$3:AP892,"&gt;0",'Все игры'!AO$3:AO892,"Дон")</f>
        <v>0</v>
      </c>
      <c r="P9" s="122" t="n">
        <f aca="false">IFERROR(__xludf.dummyfunction("COUNTBLANK(FILTER('Все игры'!AN$3:AP892,'Все игры'!AN$3:AN892=A9,'Все игры'!AP$3:AP892 &lt; 1,'Все игры'!AO$3:AO892=""Дон""))"),3)</f>
        <v>3</v>
      </c>
      <c r="Q9" s="120" t="n">
        <f aca="false">COUNTIFS('Все игры'!AN$3:AN892,A9,'Все игры'!AP$3:AP892,"&gt;0",'Все игры'!AO$3:AO892,"Мирный")</f>
        <v>0</v>
      </c>
      <c r="R9" s="120" t="n">
        <f aca="false">IFERROR(__xludf.dummyfunction("COUNTBLANK(FILTER('Все игры'!AN$3:AP892,'Все игры'!AN$3:AN892=A9,'Все игры'!AP$3:AP892 &lt; 1,'Все игры'!AO$3:AO892=""Мирный""))"),1)</f>
        <v>1</v>
      </c>
      <c r="S9" s="123" t="n">
        <f aca="false">IFERROR((K9+M9+O9+Q9)/(I9+J9), )</f>
        <v>0</v>
      </c>
      <c r="T9" s="123" t="n">
        <f aca="false">IFERROR((M9+Q9)/I9, )</f>
        <v>0</v>
      </c>
      <c r="U9" s="123" t="n">
        <f aca="false">IFERROR((K9+O9)/J9, )</f>
        <v>0</v>
      </c>
      <c r="V9" s="123" t="n">
        <f aca="false">IFERROR(K9/(K9+L9), )</f>
        <v>0</v>
      </c>
      <c r="W9" s="123" t="n">
        <f aca="false">IFERROR(M9/(M9+N9), )</f>
        <v>0</v>
      </c>
      <c r="X9" s="123" t="n">
        <f aca="false">IFERROR(O9/(O9+P9), )</f>
        <v>0</v>
      </c>
      <c r="Y9" s="123" t="n">
        <f aca="false">IFERROR(Q9/(Q9+R9), )</f>
        <v>0</v>
      </c>
      <c r="Z9" s="124" t="n">
        <f aca="false">SUMIFS('Все игры'!AQ$3:AQ892,'Все игры'!AN$3:AN892,A9)</f>
        <v>0</v>
      </c>
      <c r="AA9" s="124" t="n">
        <f aca="false">SUMIFS('Все игры'!AQ$3:AQ892,'Все игры'!AN$3:AN892,A9,'Все игры'!AO$3:AO892,"Мафия")</f>
        <v>0</v>
      </c>
      <c r="AB9" s="124" t="n">
        <f aca="false">SUMIFS('Все игры'!AQ$3:AQ892,'Все игры'!AN$3:AN892,A9,'Все игры'!AO$3:AO892,"Шериф")</f>
        <v>0</v>
      </c>
      <c r="AC9" s="124" t="n">
        <f aca="false">SUMIFS('Все игры'!AQ$3:AQ892,'Все игры'!AN$3:AN892,A9,'Все игры'!AO$3:AO892,"Дон")</f>
        <v>0</v>
      </c>
      <c r="AD9" s="124" t="n">
        <f aca="false">SUMIFS('Все игры'!AQ$3:AQ892,'Все игры'!AN$3:AN892,A9,'Все игры'!AO$3:AO892,"Мирный")</f>
        <v>0</v>
      </c>
      <c r="AE9" s="124" t="n">
        <f aca="false">IFERROR(Z9/B9,0)</f>
        <v>0</v>
      </c>
      <c r="AF9" s="124" t="n">
        <f aca="false">IFERROR(AA9/(K9+L9),0)</f>
        <v>0</v>
      </c>
      <c r="AG9" s="124" t="n">
        <f aca="false">IFERROR(AB9/(M9+N9),0)</f>
        <v>0</v>
      </c>
      <c r="AH9" s="124" t="n">
        <f aca="false">IFERROR(AC9/(O9+P9),0)</f>
        <v>0</v>
      </c>
      <c r="AI9" s="124" t="n">
        <f aca="false">IFERROR(AD9/(Q9+R9),0)</f>
        <v>0</v>
      </c>
    </row>
    <row r="10" customFormat="false" ht="15.75" hidden="false" customHeight="false" outlineLevel="0" collapsed="false">
      <c r="A10" s="78" t="str">
        <v>Махинатор</v>
      </c>
      <c r="B10" s="120" t="n">
        <f aca="false">SUM(I10:J10)</f>
        <v>3</v>
      </c>
      <c r="C10" s="4" t="str">
        <f aca="false">IF(COUNTIFS('Все игры'!AN$3:AN892,A10,'Все игры'!AS$3:AS892,"=1")=0, "", COUNTIFS('Все игры'!AN$3:AN892,A10,'Все игры'!AS$3:AS892,"=1"))</f>
        <v/>
      </c>
      <c r="D10" s="76" t="str">
        <f aca="false">IF(COUNTIFS('Все игры'!AN$3:AN892,A10,'Все игры'!AS$3:AS892,"=0,50")=0, "", COUNTIFS('Все игры'!AN$3:AN892,A10,'Все игры'!AS$3:AS892,"=0,50"))</f>
        <v/>
      </c>
      <c r="E10" s="76" t="str">
        <f aca="false">IF(COUNTIFS('Все игры'!AN$3:AN892,A10,'Все игры'!AR$3:AR892,"ПУ")=0, "", COUNTIFS('Все игры'!AN$3:AN892,A10,'Все игры'!AR$3:AR892,"ПУ"))</f>
        <v/>
      </c>
      <c r="F10" s="121" t="n">
        <f aca="false">IFERROR(E10/I10,0)</f>
        <v>0</v>
      </c>
      <c r="G10" s="76" t="str">
        <f aca="false">IF(COUNTIFS('Все игры'!AN$3:AN892,A10,'Все игры'!AR$3:AR892,"У/Победа")=0, "",COUNTIFS('Все игры'!AN$3:AN892,A10,'Все игры'!AR$3:AR892,"У/Победа") )</f>
        <v/>
      </c>
      <c r="H10" s="76" t="str">
        <f aca="false">IF(COUNTIFS('Все игры'!AN$3:AN892,A10,'Все игры'!AR$3:AR892,"У/Проигрыш")=0, "",COUNTIFS('Все игры'!AN$3:AN892,A10,'Все игры'!AR$3:AR892,"У/Проигрыш") )</f>
        <v/>
      </c>
      <c r="I10" s="120" t="n">
        <f aca="false">M10+N10+Q10+R10</f>
        <v>3</v>
      </c>
      <c r="J10" s="120" t="n">
        <f aca="false">K10+L10+O10+P10</f>
        <v>0</v>
      </c>
      <c r="K10" s="120" t="n">
        <f aca="false">COUNTIFS('Все игры'!AN$3:AN892,A10,'Все игры'!AP$3:AP892,"&gt;0",'Все игры'!AO$3:AO892,"Мафия")</f>
        <v>0</v>
      </c>
      <c r="L10" s="120" t="n">
        <f aca="false">IFERROR(__xludf.dummyfunction("COUNTBLANK(FILTER('Все игры'!AN$3:AP892,'Все игры'!AN$3:AN892=A10,'Все игры'!AP$3:AP892 &lt; 1,'Все игры'!AO$3:AO892=""Мафия""))"),0)</f>
        <v>0</v>
      </c>
      <c r="M10" s="120" t="n">
        <f aca="false">COUNTIFS('Все игры'!AN$3:AN892,A10,'Все игры'!AP$3:AP892,"&gt;0",'Все игры'!AO$3:AO892,"Шериф")</f>
        <v>0</v>
      </c>
      <c r="N10" s="120" t="n">
        <f aca="false">IFERROR(__xludf.dummyfunction("COUNTBLANK(FILTER('Все игры'!AN$3:AP892,'Все игры'!AN$3:AN892=A10,'Все игры'!AP$3:AP892 &lt; 1,'Все игры'!AO$3:AO892=""Шериф""))"),0)</f>
        <v>0</v>
      </c>
      <c r="O10" s="120" t="n">
        <f aca="false">COUNTIFS('Все игры'!AN$3:AN892,A10,'Все игры'!AP$3:AP892,"&gt;0",'Все игры'!AO$3:AO892,"Дон")</f>
        <v>0</v>
      </c>
      <c r="P10" s="122" t="n">
        <f aca="false">IFERROR(__xludf.dummyfunction("COUNTBLANK(FILTER('Все игры'!AN$3:AP892,'Все игры'!AN$3:AN892=A10,'Все игры'!AP$3:AP892 &lt; 1,'Все игры'!AO$3:AO892=""Дон""))"),0)</f>
        <v>0</v>
      </c>
      <c r="Q10" s="120" t="n">
        <f aca="false">COUNTIFS('Все игры'!AN$3:AN892,A10,'Все игры'!AP$3:AP892,"&gt;0",'Все игры'!AO$3:AO892,"Мирный")</f>
        <v>0</v>
      </c>
      <c r="R10" s="120" t="n">
        <f aca="false">IFERROR(__xludf.dummyfunction("COUNTBLANK(FILTER('Все игры'!AN$3:AP892,'Все игры'!AN$3:AN892=A10,'Все игры'!AP$3:AP892 &lt; 1,'Все игры'!AO$3:AO892=""Мирный""))"),3)</f>
        <v>3</v>
      </c>
      <c r="S10" s="123" t="n">
        <f aca="false">IFERROR((K10+M10+O10+Q10)/(I10+J10), )</f>
        <v>0</v>
      </c>
      <c r="T10" s="123" t="n">
        <f aca="false">IFERROR((M10+Q10)/I10, )</f>
        <v>0</v>
      </c>
      <c r="U10" s="123" t="n">
        <f aca="false">IFERROR((K10+O10)/J10, )</f>
        <v>0</v>
      </c>
      <c r="V10" s="123" t="n">
        <f aca="false">IFERROR(K10/(K10+L10), )</f>
        <v>0</v>
      </c>
      <c r="W10" s="123" t="n">
        <f aca="false">IFERROR(M10/(M10+N10), )</f>
        <v>0</v>
      </c>
      <c r="X10" s="123" t="n">
        <f aca="false">IFERROR(O10/(O10+P10), )</f>
        <v>0</v>
      </c>
      <c r="Y10" s="123" t="n">
        <f aca="false">IFERROR(Q10/(Q10+R10), )</f>
        <v>0</v>
      </c>
      <c r="Z10" s="124" t="n">
        <f aca="false">SUMIFS('Все игры'!AQ$3:AQ892,'Все игры'!AN$3:AN892,A10)</f>
        <v>0</v>
      </c>
      <c r="AA10" s="124" t="n">
        <f aca="false">SUMIFS('Все игры'!AQ$3:AQ892,'Все игры'!AN$3:AN892,A10,'Все игры'!AO$3:AO892,"Мафия")</f>
        <v>0</v>
      </c>
      <c r="AB10" s="124" t="n">
        <f aca="false">SUMIFS('Все игры'!AQ$3:AQ892,'Все игры'!AN$3:AN892,A10,'Все игры'!AO$3:AO892,"Шериф")</f>
        <v>0</v>
      </c>
      <c r="AC10" s="124" t="n">
        <f aca="false">SUMIFS('Все игры'!AQ$3:AQ892,'Все игры'!AN$3:AN892,A10,'Все игры'!AO$3:AO892,"Дон")</f>
        <v>0</v>
      </c>
      <c r="AD10" s="124" t="n">
        <f aca="false">SUMIFS('Все игры'!AQ$3:AQ892,'Все игры'!AN$3:AN892,A10,'Все игры'!AO$3:AO892,"Мирный")</f>
        <v>0</v>
      </c>
      <c r="AE10" s="124" t="n">
        <f aca="false">IFERROR(Z10/B10,0)</f>
        <v>0</v>
      </c>
      <c r="AF10" s="124" t="n">
        <f aca="false">IFERROR(AA10/(K10+L10),0)</f>
        <v>0</v>
      </c>
      <c r="AG10" s="124" t="n">
        <f aca="false">IFERROR(AB10/(M10+N10),0)</f>
        <v>0</v>
      </c>
      <c r="AH10" s="124" t="n">
        <f aca="false">IFERROR(AC10/(O10+P10),0)</f>
        <v>0</v>
      </c>
      <c r="AI10" s="124" t="n">
        <f aca="false">IFERROR(AD10/(Q10+R10),0)</f>
        <v>0</v>
      </c>
    </row>
    <row r="11" customFormat="false" ht="15.75" hidden="false" customHeight="false" outlineLevel="0" collapsed="false">
      <c r="A11" s="78" t="str">
        <v>Cristo</v>
      </c>
      <c r="B11" s="120" t="n">
        <f aca="false">SUM(I11:J11)</f>
        <v>5</v>
      </c>
      <c r="C11" s="4" t="str">
        <f aca="false">IF(COUNTIFS('Все игры'!AN$3:AN892,A11,'Все игры'!AS$3:AS892,"=1")=0, "", COUNTIFS('Все игры'!AN$3:AN892,A11,'Все игры'!AS$3:AS892,"=1"))</f>
        <v/>
      </c>
      <c r="D11" s="76" t="str">
        <f aca="false">IF(COUNTIFS('Все игры'!AN$3:AN892,A11,'Все игры'!AS$3:AS892,"=0,50")=0, "", COUNTIFS('Все игры'!AN$3:AN892,A11,'Все игры'!AS$3:AS892,"=0,50"))</f>
        <v/>
      </c>
      <c r="E11" s="76" t="str">
        <f aca="false">IF(COUNTIFS('Все игры'!AN$3:AN892,A11,'Все игры'!AR$3:AR892,"ПУ")=0, "", COUNTIFS('Все игры'!AN$3:AN892,A11,'Все игры'!AR$3:AR892,"ПУ"))</f>
        <v/>
      </c>
      <c r="F11" s="121" t="n">
        <f aca="false">IFERROR(E11/I11,0)</f>
        <v>0</v>
      </c>
      <c r="G11" s="76" t="str">
        <f aca="false">IF(COUNTIFS('Все игры'!AN$3:AN892,A11,'Все игры'!AR$3:AR892,"У/Победа")=0, "",COUNTIFS('Все игры'!AN$3:AN892,A11,'Все игры'!AR$3:AR892,"У/Победа") )</f>
        <v/>
      </c>
      <c r="H11" s="76" t="str">
        <f aca="false">IF(COUNTIFS('Все игры'!AN$3:AN892,A11,'Все игры'!AR$3:AR892,"У/Проигрыш")=0, "",COUNTIFS('Все игры'!AN$3:AN892,A11,'Все игры'!AR$3:AR892,"У/Проигрыш") )</f>
        <v/>
      </c>
      <c r="I11" s="120" t="n">
        <f aca="false">M11+N11+Q11+R11</f>
        <v>3</v>
      </c>
      <c r="J11" s="120" t="n">
        <f aca="false">K11+L11+O11+P11</f>
        <v>2</v>
      </c>
      <c r="K11" s="120" t="n">
        <f aca="false">COUNTIFS('Все игры'!AN$3:AN892,A11,'Все игры'!AP$3:AP892,"&gt;0",'Все игры'!AO$3:AO892,"Мафия")</f>
        <v>0</v>
      </c>
      <c r="L11" s="120" t="n">
        <f aca="false">IFERROR(__xludf.dummyfunction("COUNTBLANK(FILTER('Все игры'!AN$3:AP892,'Все игры'!AN$3:AN892=A11,'Все игры'!AP$3:AP892 &lt; 1,'Все игры'!AO$3:AO892=""Мафия""))"),1)</f>
        <v>1</v>
      </c>
      <c r="M11" s="120" t="n">
        <f aca="false">COUNTIFS('Все игры'!AN$3:AN892,A11,'Все игры'!AP$3:AP892,"&gt;0",'Все игры'!AO$3:AO892,"Шериф")</f>
        <v>0</v>
      </c>
      <c r="N11" s="120" t="n">
        <f aca="false">IFERROR(__xludf.dummyfunction("COUNTBLANK(FILTER('Все игры'!AN$3:AP892,'Все игры'!AN$3:AN892=A11,'Все игры'!AP$3:AP892 &lt; 1,'Все игры'!AO$3:AO892=""Шериф""))"),0)</f>
        <v>0</v>
      </c>
      <c r="O11" s="120" t="n">
        <f aca="false">COUNTIFS('Все игры'!AN$3:AN892,A11,'Все игры'!AP$3:AP892,"&gt;0",'Все игры'!AO$3:AO892,"Дон")</f>
        <v>0</v>
      </c>
      <c r="P11" s="122" t="n">
        <f aca="false">IFERROR(__xludf.dummyfunction("COUNTBLANK(FILTER('Все игры'!AN$3:AP892,'Все игры'!AN$3:AN892=A11,'Все игры'!AP$3:AP892 &lt; 1,'Все игры'!AO$3:AO892=""Дон""))"),1)</f>
        <v>1</v>
      </c>
      <c r="Q11" s="120" t="n">
        <f aca="false">COUNTIFS('Все игры'!AN$3:AN892,A11,'Все игры'!AP$3:AP892,"&gt;0",'Все игры'!AO$3:AO892,"Мирный")</f>
        <v>0</v>
      </c>
      <c r="R11" s="120" t="n">
        <f aca="false">IFERROR(__xludf.dummyfunction("COUNTBLANK(FILTER('Все игры'!AN$3:AP892,'Все игры'!AN$3:AN892=A11,'Все игры'!AP$3:AP892 &lt; 1,'Все игры'!AO$3:AO892=""Мирный""))"),3)</f>
        <v>3</v>
      </c>
      <c r="S11" s="123" t="n">
        <f aca="false">IFERROR((K11+M11+O11+Q11)/(I11+J11), )</f>
        <v>0</v>
      </c>
      <c r="T11" s="123" t="n">
        <f aca="false">IFERROR((M11+Q11)/I11, )</f>
        <v>0</v>
      </c>
      <c r="U11" s="123" t="n">
        <f aca="false">IFERROR((K11+O11)/J11, )</f>
        <v>0</v>
      </c>
      <c r="V11" s="123" t="n">
        <f aca="false">IFERROR(K11/(K11+L11), )</f>
        <v>0</v>
      </c>
      <c r="W11" s="123" t="n">
        <f aca="false">IFERROR(M11/(M11+N11), )</f>
        <v>0</v>
      </c>
      <c r="X11" s="123" t="n">
        <f aca="false">IFERROR(O11/(O11+P11), )</f>
        <v>0</v>
      </c>
      <c r="Y11" s="123" t="n">
        <f aca="false">IFERROR(Q11/(Q11+R11), )</f>
        <v>0</v>
      </c>
      <c r="Z11" s="124" t="n">
        <f aca="false">SUMIFS('Все игры'!AQ$3:AQ892,'Все игры'!AN$3:AN892,A11)</f>
        <v>0</v>
      </c>
      <c r="AA11" s="124" t="n">
        <f aca="false">SUMIFS('Все игры'!AQ$3:AQ892,'Все игры'!AN$3:AN892,A11,'Все игры'!AO$3:AO892,"Мафия")</f>
        <v>0</v>
      </c>
      <c r="AB11" s="124" t="n">
        <f aca="false">SUMIFS('Все игры'!AQ$3:AQ892,'Все игры'!AN$3:AN892,A11,'Все игры'!AO$3:AO892,"Шериф")</f>
        <v>0</v>
      </c>
      <c r="AC11" s="124" t="n">
        <f aca="false">SUMIFS('Все игры'!AQ$3:AQ892,'Все игры'!AN$3:AN892,A11,'Все игры'!AO$3:AO892,"Дон")</f>
        <v>0</v>
      </c>
      <c r="AD11" s="124" t="n">
        <f aca="false">SUMIFS('Все игры'!AQ$3:AQ892,'Все игры'!AN$3:AN892,A11,'Все игры'!AO$3:AO892,"Мирный")</f>
        <v>0</v>
      </c>
      <c r="AE11" s="124" t="n">
        <f aca="false">IFERROR(Z11/B11,0)</f>
        <v>0</v>
      </c>
      <c r="AF11" s="124" t="n">
        <f aca="false">IFERROR(AA11/(K11+L11),0)</f>
        <v>0</v>
      </c>
      <c r="AG11" s="124" t="n">
        <f aca="false">IFERROR(AB11/(M11+N11),0)</f>
        <v>0</v>
      </c>
      <c r="AH11" s="124" t="n">
        <f aca="false">IFERROR(AC11/(O11+P11),0)</f>
        <v>0</v>
      </c>
      <c r="AI11" s="124" t="n">
        <f aca="false">IFERROR(AD11/(Q11+R11),0)</f>
        <v>0</v>
      </c>
    </row>
    <row r="12" customFormat="false" ht="15.75" hidden="false" customHeight="false" outlineLevel="0" collapsed="false">
      <c r="A12" s="78" t="str">
        <v>Арс</v>
      </c>
      <c r="B12" s="120" t="n">
        <f aca="false">SUM(I12:J12)</f>
        <v>4</v>
      </c>
      <c r="C12" s="4" t="str">
        <f aca="false">IF(COUNTIFS('Все игры'!AN$3:AN892,A12,'Все игры'!AS$3:AS892,"=1")=0, "", COUNTIFS('Все игры'!AN$3:AN892,A12,'Все игры'!AS$3:AS892,"=1"))</f>
        <v/>
      </c>
      <c r="D12" s="76" t="str">
        <f aca="false">IF(COUNTIFS('Все игры'!AN$3:AN892,A12,'Все игры'!AS$3:AS892,"=0,50")=0, "", COUNTIFS('Все игры'!AN$3:AN892,A12,'Все игры'!AS$3:AS892,"=0,50"))</f>
        <v/>
      </c>
      <c r="E12" s="76" t="str">
        <f aca="false">IF(COUNTIFS('Все игры'!AN$3:AN892,A12,'Все игры'!AR$3:AR892,"ПУ")=0, "", COUNTIFS('Все игры'!AN$3:AN892,A12,'Все игры'!AR$3:AR892,"ПУ"))</f>
        <v/>
      </c>
      <c r="F12" s="121" t="n">
        <f aca="false">IFERROR(E12/I12,0)</f>
        <v>0</v>
      </c>
      <c r="G12" s="76" t="str">
        <f aca="false">IF(COUNTIFS('Все игры'!AN$3:AN892,A12,'Все игры'!AR$3:AR892,"У/Победа")=0, "",COUNTIFS('Все игры'!AN$3:AN892,A12,'Все игры'!AR$3:AR892,"У/Победа") )</f>
        <v/>
      </c>
      <c r="H12" s="76" t="str">
        <f aca="false">IF(COUNTIFS('Все игры'!AN$3:AN892,A12,'Все игры'!AR$3:AR892,"У/Проигрыш")=0, "",COUNTIFS('Все игры'!AN$3:AN892,A12,'Все игры'!AR$3:AR892,"У/Проигрыш") )</f>
        <v/>
      </c>
      <c r="I12" s="120" t="n">
        <f aca="false">M12+N12+Q12+R12</f>
        <v>1</v>
      </c>
      <c r="J12" s="120" t="n">
        <f aca="false">K12+L12+O12+P12</f>
        <v>3</v>
      </c>
      <c r="K12" s="120" t="n">
        <f aca="false">COUNTIFS('Все игры'!AN$3:AN892,A12,'Все игры'!AP$3:AP892,"&gt;0",'Все игры'!AO$3:AO892,"Мафия")</f>
        <v>0</v>
      </c>
      <c r="L12" s="120" t="n">
        <f aca="false">IFERROR(__xludf.dummyfunction("COUNTBLANK(FILTER('Все игры'!AN$3:AP892,'Все игры'!AN$3:AN892=A12,'Все игры'!AP$3:AP892 &lt; 1,'Все игры'!AO$3:AO892=""Мафия""))"),2)</f>
        <v>2</v>
      </c>
      <c r="M12" s="120" t="n">
        <f aca="false">COUNTIFS('Все игры'!AN$3:AN892,A12,'Все игры'!AP$3:AP892,"&gt;0",'Все игры'!AO$3:AO892,"Шериф")</f>
        <v>0</v>
      </c>
      <c r="N12" s="120" t="n">
        <f aca="false">IFERROR(__xludf.dummyfunction("COUNTBLANK(FILTER('Все игры'!AN$3:AP892,'Все игры'!AN$3:AN892=A12,'Все игры'!AP$3:AP892 &lt; 1,'Все игры'!AO$3:AO892=""Шериф""))"),0)</f>
        <v>0</v>
      </c>
      <c r="O12" s="120" t="n">
        <f aca="false">COUNTIFS('Все игры'!AN$3:AN892,A12,'Все игры'!AP$3:AP892,"&gt;0",'Все игры'!AO$3:AO892,"Дон")</f>
        <v>0</v>
      </c>
      <c r="P12" s="122" t="n">
        <f aca="false">IFERROR(__xludf.dummyfunction("COUNTBLANK(FILTER('Все игры'!AN$3:AP892,'Все игры'!AN$3:AN892=A12,'Все игры'!AP$3:AP892 &lt; 1,'Все игры'!AO$3:AO892=""Дон""))"),1)</f>
        <v>1</v>
      </c>
      <c r="Q12" s="120" t="n">
        <f aca="false">COUNTIFS('Все игры'!AN$3:AN892,A12,'Все игры'!AP$3:AP892,"&gt;0",'Все игры'!AO$3:AO892,"Мирный")</f>
        <v>0</v>
      </c>
      <c r="R12" s="120" t="n">
        <f aca="false">IFERROR(__xludf.dummyfunction("COUNTBLANK(FILTER('Все игры'!AN$3:AP892,'Все игры'!AN$3:AN892=A12,'Все игры'!AP$3:AP892 &lt; 1,'Все игры'!AO$3:AO892=""Мирный""))"),1)</f>
        <v>1</v>
      </c>
      <c r="S12" s="123" t="n">
        <f aca="false">IFERROR((K12+M12+O12+Q12)/(I12+J12), )</f>
        <v>0</v>
      </c>
      <c r="T12" s="123" t="n">
        <f aca="false">IFERROR((M12+Q12)/I12, )</f>
        <v>0</v>
      </c>
      <c r="U12" s="123" t="n">
        <f aca="false">IFERROR((K12+O12)/J12, )</f>
        <v>0</v>
      </c>
      <c r="V12" s="123" t="n">
        <f aca="false">IFERROR(K12/(K12+L12), )</f>
        <v>0</v>
      </c>
      <c r="W12" s="123" t="n">
        <f aca="false">IFERROR(M12/(M12+N12), )</f>
        <v>0</v>
      </c>
      <c r="X12" s="123" t="n">
        <f aca="false">IFERROR(O12/(O12+P12), )</f>
        <v>0</v>
      </c>
      <c r="Y12" s="123" t="n">
        <f aca="false">IFERROR(Q12/(Q12+R12), )</f>
        <v>0</v>
      </c>
      <c r="Z12" s="124" t="n">
        <f aca="false">SUMIFS('Все игры'!AQ$3:AQ892,'Все игры'!AN$3:AN892,A12)</f>
        <v>0</v>
      </c>
      <c r="AA12" s="124" t="n">
        <f aca="false">SUMIFS('Все игры'!AQ$3:AQ892,'Все игры'!AN$3:AN892,A12,'Все игры'!AO$3:AO892,"Мафия")</f>
        <v>0</v>
      </c>
      <c r="AB12" s="124" t="n">
        <f aca="false">SUMIFS('Все игры'!AQ$3:AQ892,'Все игры'!AN$3:AN892,A12,'Все игры'!AO$3:AO892,"Шериф")</f>
        <v>0</v>
      </c>
      <c r="AC12" s="124" t="n">
        <f aca="false">SUMIFS('Все игры'!AQ$3:AQ892,'Все игры'!AN$3:AN892,A12,'Все игры'!AO$3:AO892,"Дон")</f>
        <v>0</v>
      </c>
      <c r="AD12" s="124" t="n">
        <f aca="false">SUMIFS('Все игры'!AQ$3:AQ892,'Все игры'!AN$3:AN892,A12,'Все игры'!AO$3:AO892,"Мирный")</f>
        <v>0</v>
      </c>
      <c r="AE12" s="124" t="n">
        <f aca="false">IFERROR(Z12/B12,0)</f>
        <v>0</v>
      </c>
      <c r="AF12" s="124" t="n">
        <f aca="false">IFERROR(AA12/(K12+L12),0)</f>
        <v>0</v>
      </c>
      <c r="AG12" s="124" t="n">
        <f aca="false">IFERROR(AB12/(M12+N12),0)</f>
        <v>0</v>
      </c>
      <c r="AH12" s="124" t="n">
        <f aca="false">IFERROR(AC12/(O12+P12),0)</f>
        <v>0</v>
      </c>
      <c r="AI12" s="124" t="n">
        <f aca="false">IFERROR(AD12/(Q12+R12),0)</f>
        <v>0</v>
      </c>
    </row>
    <row r="13" customFormat="false" ht="15.75" hidden="false" customHeight="false" outlineLevel="0" collapsed="false">
      <c r="A13" s="78" t="str">
        <v>Тихий Закат</v>
      </c>
      <c r="B13" s="120" t="n">
        <f aca="false">SUM(I13:J13)</f>
        <v>2</v>
      </c>
      <c r="C13" s="4" t="str">
        <f aca="false">IF(COUNTIFS('Все игры'!AN$3:AN892,A13,'Все игры'!AS$3:AS892,"=1")=0, "", COUNTIFS('Все игры'!AN$3:AN892,A13,'Все игры'!AS$3:AS892,"=1"))</f>
        <v/>
      </c>
      <c r="D13" s="76" t="str">
        <f aca="false">IF(COUNTIFS('Все игры'!AN$3:AN892,A13,'Все игры'!AS$3:AS892,"=0,50")=0, "", COUNTIFS('Все игры'!AN$3:AN892,A13,'Все игры'!AS$3:AS892,"=0,50"))</f>
        <v/>
      </c>
      <c r="E13" s="76" t="str">
        <f aca="false">IF(COUNTIFS('Все игры'!AN$3:AN892,A13,'Все игры'!AR$3:AR892,"ПУ")=0, "", COUNTIFS('Все игры'!AN$3:AN892,A13,'Все игры'!AR$3:AR892,"ПУ"))</f>
        <v/>
      </c>
      <c r="F13" s="121" t="n">
        <f aca="false">IFERROR(E13/I13,0)</f>
        <v>0</v>
      </c>
      <c r="G13" s="76" t="str">
        <f aca="false">IF(COUNTIFS('Все игры'!AN$3:AN892,A13,'Все игры'!AR$3:AR892,"У/Победа")=0, "",COUNTIFS('Все игры'!AN$3:AN892,A13,'Все игры'!AR$3:AR892,"У/Победа") )</f>
        <v/>
      </c>
      <c r="H13" s="76" t="str">
        <f aca="false">IF(COUNTIFS('Все игры'!AN$3:AN892,A13,'Все игры'!AR$3:AR892,"У/Проигрыш")=0, "",COUNTIFS('Все игры'!AN$3:AN892,A13,'Все игры'!AR$3:AR892,"У/Проигрыш") )</f>
        <v/>
      </c>
      <c r="I13" s="120" t="n">
        <f aca="false">M13+N13+Q13+R13</f>
        <v>2</v>
      </c>
      <c r="J13" s="120" t="n">
        <f aca="false">K13+L13+O13+P13</f>
        <v>0</v>
      </c>
      <c r="K13" s="120" t="n">
        <f aca="false">COUNTIFS('Все игры'!AN$3:AN892,A13,'Все игры'!AP$3:AP892,"&gt;0",'Все игры'!AO$3:AO892,"Мафия")</f>
        <v>0</v>
      </c>
      <c r="L13" s="120" t="n">
        <f aca="false">IFERROR(__xludf.dummyfunction("COUNTBLANK(FILTER('Все игры'!AN$3:AP892,'Все игры'!AN$3:AN892=A13,'Все игры'!AP$3:AP892 &lt; 1,'Все игры'!AO$3:AO892=""Мафия""))"),0)</f>
        <v>0</v>
      </c>
      <c r="M13" s="120" t="n">
        <f aca="false">COUNTIFS('Все игры'!AN$3:AN892,A13,'Все игры'!AP$3:AP892,"&gt;0",'Все игры'!AO$3:AO892,"Шериф")</f>
        <v>0</v>
      </c>
      <c r="N13" s="120" t="n">
        <f aca="false">IFERROR(__xludf.dummyfunction("COUNTBLANK(FILTER('Все игры'!AN$3:AP892,'Все игры'!AN$3:AN892=A13,'Все игры'!AP$3:AP892 &lt; 1,'Все игры'!AO$3:AO892=""Шериф""))"),1)</f>
        <v>1</v>
      </c>
      <c r="O13" s="120" t="n">
        <f aca="false">COUNTIFS('Все игры'!AN$3:AN892,A13,'Все игры'!AP$3:AP892,"&gt;0",'Все игры'!AO$3:AO892,"Дон")</f>
        <v>0</v>
      </c>
      <c r="P13" s="122" t="n">
        <f aca="false">IFERROR(__xludf.dummyfunction("COUNTBLANK(FILTER('Все игры'!AN$3:AP892,'Все игры'!AN$3:AN892=A13,'Все игры'!AP$3:AP892 &lt; 1,'Все игры'!AO$3:AO892=""Дон""))"),0)</f>
        <v>0</v>
      </c>
      <c r="Q13" s="120" t="n">
        <f aca="false">COUNTIFS('Все игры'!AN$3:AN892,A13,'Все игры'!AP$3:AP892,"&gt;0",'Все игры'!AO$3:AO892,"Мирный")</f>
        <v>0</v>
      </c>
      <c r="R13" s="120" t="n">
        <f aca="false">IFERROR(__xludf.dummyfunction("COUNTBLANK(FILTER('Все игры'!AN$3:AP892,'Все игры'!AN$3:AN892=A13,'Все игры'!AP$3:AP892 &lt; 1,'Все игры'!AO$3:AO892=""Мирный""))"),1)</f>
        <v>1</v>
      </c>
      <c r="S13" s="123" t="n">
        <f aca="false">IFERROR((K13+M13+O13+Q13)/(I13+J13), )</f>
        <v>0</v>
      </c>
      <c r="T13" s="123" t="n">
        <f aca="false">IFERROR((M13+Q13)/I13, )</f>
        <v>0</v>
      </c>
      <c r="U13" s="123" t="n">
        <f aca="false">IFERROR((K13+O13)/J13, )</f>
        <v>0</v>
      </c>
      <c r="V13" s="123" t="n">
        <f aca="false">IFERROR(K13/(K13+L13), )</f>
        <v>0</v>
      </c>
      <c r="W13" s="123" t="n">
        <f aca="false">IFERROR(M13/(M13+N13), )</f>
        <v>0</v>
      </c>
      <c r="X13" s="123" t="n">
        <f aca="false">IFERROR(O13/(O13+P13), )</f>
        <v>0</v>
      </c>
      <c r="Y13" s="123" t="n">
        <f aca="false">IFERROR(Q13/(Q13+R13), )</f>
        <v>0</v>
      </c>
      <c r="Z13" s="124" t="n">
        <f aca="false">SUMIFS('Все игры'!AQ$3:AQ892,'Все игры'!AN$3:AN892,A13)</f>
        <v>0</v>
      </c>
      <c r="AA13" s="124" t="n">
        <f aca="false">SUMIFS('Все игры'!AQ$3:AQ892,'Все игры'!AN$3:AN892,A13,'Все игры'!AO$3:AO892,"Мафия")</f>
        <v>0</v>
      </c>
      <c r="AB13" s="124" t="n">
        <f aca="false">SUMIFS('Все игры'!AQ$3:AQ892,'Все игры'!AN$3:AN892,A13,'Все игры'!AO$3:AO892,"Шериф")</f>
        <v>0</v>
      </c>
      <c r="AC13" s="124" t="n">
        <f aca="false">SUMIFS('Все игры'!AQ$3:AQ892,'Все игры'!AN$3:AN892,A13,'Все игры'!AO$3:AO892,"Дон")</f>
        <v>0</v>
      </c>
      <c r="AD13" s="124" t="n">
        <f aca="false">SUMIFS('Все игры'!AQ$3:AQ892,'Все игры'!AN$3:AN892,A13,'Все игры'!AO$3:AO892,"Мирный")</f>
        <v>0</v>
      </c>
      <c r="AE13" s="124" t="n">
        <f aca="false">IFERROR(Z13/B13,0)</f>
        <v>0</v>
      </c>
      <c r="AF13" s="124" t="n">
        <f aca="false">IFERROR(AA13/(K13+L13),0)</f>
        <v>0</v>
      </c>
      <c r="AG13" s="124" t="n">
        <f aca="false">IFERROR(AB13/(M13+N13),0)</f>
        <v>0</v>
      </c>
      <c r="AH13" s="124" t="n">
        <f aca="false">IFERROR(AC13/(O13+P13),0)</f>
        <v>0</v>
      </c>
      <c r="AI13" s="124" t="n">
        <f aca="false">IFERROR(AD13/(Q13+R13),0)</f>
        <v>0</v>
      </c>
    </row>
    <row r="14" customFormat="false" ht="15.75" hidden="false" customHeight="false" outlineLevel="0" collapsed="false">
      <c r="A14" s="78" t="str">
        <v>Cherry Pick</v>
      </c>
      <c r="B14" s="120" t="n">
        <f aca="false">SUM(I14:J14)</f>
        <v>4</v>
      </c>
      <c r="C14" s="4" t="str">
        <f aca="false">IF(COUNTIFS('Все игры'!AN$3:AN892,A14,'Все игры'!AS$3:AS892,"=1")=0, "", COUNTIFS('Все игры'!AN$3:AN892,A14,'Все игры'!AS$3:AS892,"=1"))</f>
        <v/>
      </c>
      <c r="D14" s="76" t="str">
        <f aca="false">IF(COUNTIFS('Все игры'!AN$3:AN892,A14,'Все игры'!AS$3:AS892,"=0,50")=0, "", COUNTIFS('Все игры'!AN$3:AN892,A14,'Все игры'!AS$3:AS892,"=0,50"))</f>
        <v/>
      </c>
      <c r="E14" s="76" t="str">
        <f aca="false">IF(COUNTIFS('Все игры'!AN$3:AN892,A14,'Все игры'!AR$3:AR892,"ПУ")=0, "", COUNTIFS('Все игры'!AN$3:AN892,A14,'Все игры'!AR$3:AR892,"ПУ"))</f>
        <v/>
      </c>
      <c r="F14" s="121" t="n">
        <f aca="false">IFERROR(E14/I14,0)</f>
        <v>0</v>
      </c>
      <c r="G14" s="76" t="str">
        <f aca="false">IF(COUNTIFS('Все игры'!AN$3:AN892,A14,'Все игры'!AR$3:AR892,"У/Победа")=0, "",COUNTIFS('Все игры'!AN$3:AN892,A14,'Все игры'!AR$3:AR892,"У/Победа") )</f>
        <v/>
      </c>
      <c r="H14" s="76" t="str">
        <f aca="false">IF(COUNTIFS('Все игры'!AN$3:AN892,A14,'Все игры'!AR$3:AR892,"У/Проигрыш")=0, "",COUNTIFS('Все игры'!AN$3:AN892,A14,'Все игры'!AR$3:AR892,"У/Проигрыш") )</f>
        <v/>
      </c>
      <c r="I14" s="120" t="n">
        <f aca="false">M14+N14+Q14+R14</f>
        <v>2</v>
      </c>
      <c r="J14" s="120" t="n">
        <f aca="false">K14+L14+O14+P14</f>
        <v>2</v>
      </c>
      <c r="K14" s="120" t="n">
        <f aca="false">COUNTIFS('Все игры'!AN$3:AN892,A14,'Все игры'!AP$3:AP892,"&gt;0",'Все игры'!AO$3:AO892,"Мафия")</f>
        <v>0</v>
      </c>
      <c r="L14" s="120" t="n">
        <f aca="false">IFERROR(__xludf.dummyfunction("COUNTBLANK(FILTER('Все игры'!AN$3:AP892,'Все игры'!AN$3:AN892=A14,'Все игры'!AP$3:AP892 &lt; 1,'Все игры'!AO$3:AO892=""Мафия""))"),2)</f>
        <v>2</v>
      </c>
      <c r="M14" s="120" t="n">
        <f aca="false">COUNTIFS('Все игры'!AN$3:AN892,A14,'Все игры'!AP$3:AP892,"&gt;0",'Все игры'!AO$3:AO892,"Шериф")</f>
        <v>0</v>
      </c>
      <c r="N14" s="120" t="n">
        <f aca="false">IFERROR(__xludf.dummyfunction("COUNTBLANK(FILTER('Все игры'!AN$3:AP892,'Все игры'!AN$3:AN892=A14,'Все игры'!AP$3:AP892 &lt; 1,'Все игры'!AO$3:AO892=""Шериф""))"),0)</f>
        <v>0</v>
      </c>
      <c r="O14" s="120" t="n">
        <f aca="false">COUNTIFS('Все игры'!AN$3:AN892,A14,'Все игры'!AP$3:AP892,"&gt;0",'Все игры'!AO$3:AO892,"Дон")</f>
        <v>0</v>
      </c>
      <c r="P14" s="122" t="n">
        <f aca="false">IFERROR(__xludf.dummyfunction("COUNTBLANK(FILTER('Все игры'!AN$3:AP892,'Все игры'!AN$3:AN892=A14,'Все игры'!AP$3:AP892 &lt; 1,'Все игры'!AO$3:AO892=""Дон""))"),0)</f>
        <v>0</v>
      </c>
      <c r="Q14" s="120" t="n">
        <f aca="false">COUNTIFS('Все игры'!AN$3:AN892,A14,'Все игры'!AP$3:AP892,"&gt;0",'Все игры'!AO$3:AO892,"Мирный")</f>
        <v>0</v>
      </c>
      <c r="R14" s="120" t="n">
        <f aca="false">IFERROR(__xludf.dummyfunction("COUNTBLANK(FILTER('Все игры'!AN$3:AP892,'Все игры'!AN$3:AN892=A14,'Все игры'!AP$3:AP892 &lt; 1,'Все игры'!AO$3:AO892=""Мирный""))"),2)</f>
        <v>2</v>
      </c>
      <c r="S14" s="123" t="n">
        <f aca="false">IFERROR((K14+M14+O14+Q14)/(I14+J14), )</f>
        <v>0</v>
      </c>
      <c r="T14" s="123" t="n">
        <f aca="false">IFERROR((M14+Q14)/I14, )</f>
        <v>0</v>
      </c>
      <c r="U14" s="123" t="n">
        <f aca="false">IFERROR((K14+O14)/J14, )</f>
        <v>0</v>
      </c>
      <c r="V14" s="123" t="n">
        <f aca="false">IFERROR(K14/(K14+L14), )</f>
        <v>0</v>
      </c>
      <c r="W14" s="123" t="n">
        <f aca="false">IFERROR(M14/(M14+N14), )</f>
        <v>0</v>
      </c>
      <c r="X14" s="123" t="n">
        <f aca="false">IFERROR(O14/(O14+P14), )</f>
        <v>0</v>
      </c>
      <c r="Y14" s="123" t="n">
        <f aca="false">IFERROR(Q14/(Q14+R14), )</f>
        <v>0</v>
      </c>
      <c r="Z14" s="124" t="n">
        <f aca="false">SUMIFS('Все игры'!AQ$3:AQ892,'Все игры'!AN$3:AN892,A14)</f>
        <v>0</v>
      </c>
      <c r="AA14" s="124" t="n">
        <f aca="false">SUMIFS('Все игры'!AQ$3:AQ892,'Все игры'!AN$3:AN892,A14,'Все игры'!AO$3:AO892,"Мафия")</f>
        <v>0</v>
      </c>
      <c r="AB14" s="124" t="n">
        <f aca="false">SUMIFS('Все игры'!AQ$3:AQ892,'Все игры'!AN$3:AN892,A14,'Все игры'!AO$3:AO892,"Шериф")</f>
        <v>0</v>
      </c>
      <c r="AC14" s="124" t="n">
        <f aca="false">SUMIFS('Все игры'!AQ$3:AQ892,'Все игры'!AN$3:AN892,A14,'Все игры'!AO$3:AO892,"Дон")</f>
        <v>0</v>
      </c>
      <c r="AD14" s="124" t="n">
        <f aca="false">SUMIFS('Все игры'!AQ$3:AQ892,'Все игры'!AN$3:AN892,A14,'Все игры'!AO$3:AO892,"Мирный")</f>
        <v>0</v>
      </c>
      <c r="AE14" s="124" t="n">
        <f aca="false">IFERROR(Z14/B14,0)</f>
        <v>0</v>
      </c>
      <c r="AF14" s="124" t="n">
        <f aca="false">IFERROR(AA14/(K14+L14),0)</f>
        <v>0</v>
      </c>
      <c r="AG14" s="124" t="n">
        <f aca="false">IFERROR(AB14/(M14+N14),0)</f>
        <v>0</v>
      </c>
      <c r="AH14" s="124" t="n">
        <f aca="false">IFERROR(AC14/(O14+P14),0)</f>
        <v>0</v>
      </c>
      <c r="AI14" s="124" t="n">
        <f aca="false">IFERROR(AD14/(Q14+R14),0)</f>
        <v>0</v>
      </c>
    </row>
    <row r="16" customFormat="false" ht="15.75" hidden="false" customHeight="false" outlineLevel="0" collapsed="false">
      <c r="A16" s="102" t="s">
        <v>129</v>
      </c>
    </row>
    <row r="17" customFormat="false" ht="15.75" hidden="false" customHeight="false" outlineLevel="0" collapsed="false">
      <c r="A17" s="103" t="s">
        <v>95</v>
      </c>
      <c r="B17" s="104" t="s">
        <v>96</v>
      </c>
      <c r="C17" s="105" t="s">
        <v>97</v>
      </c>
      <c r="D17" s="105" t="s">
        <v>98</v>
      </c>
      <c r="E17" s="105" t="s">
        <v>29</v>
      </c>
      <c r="F17" s="105" t="s">
        <v>99</v>
      </c>
      <c r="G17" s="106" t="s">
        <v>100</v>
      </c>
      <c r="H17" s="107" t="s">
        <v>101</v>
      </c>
      <c r="I17" s="108" t="s">
        <v>102</v>
      </c>
      <c r="J17" s="109" t="s">
        <v>103</v>
      </c>
      <c r="K17" s="110" t="s">
        <v>104</v>
      </c>
      <c r="L17" s="110" t="s">
        <v>105</v>
      </c>
      <c r="M17" s="111" t="s">
        <v>106</v>
      </c>
      <c r="N17" s="111" t="s">
        <v>107</v>
      </c>
      <c r="O17" s="109" t="s">
        <v>108</v>
      </c>
      <c r="P17" s="109" t="s">
        <v>109</v>
      </c>
      <c r="Q17" s="112" t="s">
        <v>110</v>
      </c>
      <c r="R17" s="112" t="s">
        <v>111</v>
      </c>
      <c r="S17" s="113" t="s">
        <v>112</v>
      </c>
      <c r="T17" s="113" t="s">
        <v>113</v>
      </c>
      <c r="U17" s="113" t="s">
        <v>114</v>
      </c>
      <c r="V17" s="110" t="s">
        <v>115</v>
      </c>
      <c r="W17" s="111" t="s">
        <v>116</v>
      </c>
      <c r="X17" s="109" t="s">
        <v>117</v>
      </c>
      <c r="Y17" s="112" t="s">
        <v>118</v>
      </c>
      <c r="Z17" s="113" t="s">
        <v>119</v>
      </c>
      <c r="AA17" s="114" t="s">
        <v>120</v>
      </c>
      <c r="AB17" s="115" t="s">
        <v>121</v>
      </c>
      <c r="AC17" s="116" t="s">
        <v>122</v>
      </c>
      <c r="AD17" s="117" t="s">
        <v>123</v>
      </c>
      <c r="AE17" s="113" t="s">
        <v>124</v>
      </c>
      <c r="AF17" s="114" t="s">
        <v>125</v>
      </c>
      <c r="AG17" s="111" t="s">
        <v>126</v>
      </c>
      <c r="AH17" s="116" t="s">
        <v>127</v>
      </c>
      <c r="AI17" s="118" t="s">
        <v>128</v>
      </c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</row>
    <row r="18" customFormat="false" ht="15.75" hidden="false" customHeight="false" outlineLevel="0" collapsed="false">
      <c r="A18" s="78" t="str">
        <f aca="false" t="array" ref="A18:A27">'2 Полуфинал'!B6:B15</f>
        <v>Армен 24</v>
      </c>
      <c r="B18" s="120" t="n">
        <f aca="false">SUM(I18:J18)</f>
        <v>4</v>
      </c>
      <c r="C18" s="4" t="str">
        <f aca="false">IF(COUNTIFS('Все игры'!AV$3:AV892,A18,'Все игры'!BA$3:BA892,"=1")=0, "", COUNTIFS('Все игры'!AV$3:AV892,A18,'Все игры'!BA$3:BA892,"=1"))</f>
        <v/>
      </c>
      <c r="D18" s="76" t="str">
        <f aca="false">IF(COUNTIFS('Все игры'!AV$3:AV892,A18,'Все игры'!BA$3:BA892,"=0,50")=0, "", COUNTIFS('Все игры'!AV$3:AV892,A18,'Все игры'!BA$3:BA892,"=0,50"))</f>
        <v/>
      </c>
      <c r="E18" s="76" t="str">
        <f aca="false">IF(COUNTIFS('Все игры'!AV$3:AV892,A18,'Все игры'!AZ$3:AZ892,"ПУ")=0, "", COUNTIFS('Все игры'!AV$3:AV892,A18,'Все игры'!AZ$3:AZ892,"ПУ"))</f>
        <v/>
      </c>
      <c r="F18" s="121" t="n">
        <f aca="false">IFERROR(E18/I18,0)</f>
        <v>0</v>
      </c>
      <c r="G18" s="76" t="str">
        <f aca="false">IF(COUNTIFS('Все игры'!AV$3:AV892,A18,'Все игры'!AZ$3:AZ892,"У/Победа")=0, "",COUNTIFS('Все игры'!AV$3:AV892,A18,'Все игры'!AZ$3:AZ892,"У/Победа") )</f>
        <v/>
      </c>
      <c r="H18" s="76" t="str">
        <f aca="false">IF(COUNTIFS('Все игры'!AV$3:AV892,A18,'Все игры'!AZ$3:AZ892,"У/Проигрыш")=0, "",COUNTIFS('Все игры'!AV$3:AV892,A18,'Все игры'!AZ$3:AZ892,"У/Проигрыш") )</f>
        <v/>
      </c>
      <c r="I18" s="120" t="n">
        <f aca="false">M18+N18+Q18+R18</f>
        <v>3</v>
      </c>
      <c r="J18" s="120" t="n">
        <f aca="false">K18+L18+O18+P18</f>
        <v>1</v>
      </c>
      <c r="K18" s="120" t="n">
        <f aca="false">COUNTIFS('Все игры'!AV$3:AV892,A18,'Все игры'!AX$3:AX892,"&gt;0",'Все игры'!AW$3:AW892,"Мафия")</f>
        <v>0</v>
      </c>
      <c r="L18" s="120" t="n">
        <f aca="false">IFERROR(__xludf.dummyfunction("COUNTBLANK(FILTER('Все игры'!AV$3:AX892,'Все игры'!AV$3:AV892=A18,'Все игры'!AX$3:AX892 &lt; 1,'Все игры'!AW$3:AW892=""Мафия""))"),0)</f>
        <v>0</v>
      </c>
      <c r="M18" s="120" t="n">
        <f aca="false">COUNTIFS('Все игры'!AV$3:AV892,A18,'Все игры'!AX$3:AX892,"&gt;0",'Все игры'!AW$3:AW892,"Шериф")</f>
        <v>0</v>
      </c>
      <c r="N18" s="120" t="n">
        <f aca="false">IFERROR(__xludf.dummyfunction("COUNTBLANK(FILTER('Все игры'!AV$3:AX892,'Все игры'!AV$3:AV892=A18,'Все игры'!AX$3:AX892 &lt; 1,'Все игры'!AW$3:AW892=""Шериф""))"),0)</f>
        <v>0</v>
      </c>
      <c r="O18" s="120" t="n">
        <f aca="false">COUNTIFS('Все игры'!AV$3:AV892,A18,'Все игры'!AX$3:AX892,"&gt;0",'Все игры'!AW$3:AW892,"Дон")</f>
        <v>0</v>
      </c>
      <c r="P18" s="122" t="n">
        <f aca="false">IFERROR(__xludf.dummyfunction("COUNTBLANK(FILTER('Все игры'!AV$3:AX892,'Все игры'!AV$3:AV892=A18,'Все игры'!AX$3:AX892 &lt; 1,'Все игры'!AW$3:AW892=""Дон""))"),1)</f>
        <v>1</v>
      </c>
      <c r="Q18" s="120" t="n">
        <f aca="false">COUNTIFS('Все игры'!AV$3:AV892,A18,'Все игры'!AX$3:AX892,"&gt;0",'Все игры'!AW$3:AW892,"Мирный")</f>
        <v>0</v>
      </c>
      <c r="R18" s="120" t="n">
        <f aca="false">IFERROR(__xludf.dummyfunction("COUNTBLANK(FILTER('Все игры'!AV$3:AX892,'Все игры'!AV$3:AV892=A18,'Все игры'!AX$3:AX892 &lt; 1,'Все игры'!AW$3:AW892=""Мирный""))"),3)</f>
        <v>3</v>
      </c>
      <c r="S18" s="123" t="n">
        <f aca="false">IFERROR((K18+M18+O18+Q18)/(I18+J18), )</f>
        <v>0</v>
      </c>
      <c r="T18" s="123" t="n">
        <f aca="false">IFERROR((M18+Q18)/I18, )</f>
        <v>0</v>
      </c>
      <c r="U18" s="123" t="n">
        <f aca="false">IFERROR((K18+O18)/J18, )</f>
        <v>0</v>
      </c>
      <c r="V18" s="123" t="n">
        <f aca="false">IFERROR(K18/(K18+L18), )</f>
        <v>0</v>
      </c>
      <c r="W18" s="123" t="n">
        <f aca="false">IFERROR(M18/(M18+N18), )</f>
        <v>0</v>
      </c>
      <c r="X18" s="123" t="n">
        <f aca="false">IFERROR(O18/(O18+P18), )</f>
        <v>0</v>
      </c>
      <c r="Y18" s="123" t="n">
        <f aca="false">IFERROR(Q18/(Q18+R18), )</f>
        <v>0</v>
      </c>
      <c r="Z18" s="124" t="n">
        <f aca="false">SUMIFS('Все игры'!AY$3:AY892,'Все игры'!AV$3:AV892,A18)</f>
        <v>0</v>
      </c>
      <c r="AA18" s="124" t="n">
        <f aca="false">SUMIFS('Все игры'!AY$3:AY892,'Все игры'!AV$3:AV892,A18,'Все игры'!AW$3:AW892,"Мафия")</f>
        <v>0</v>
      </c>
      <c r="AB18" s="124" t="n">
        <f aca="false">SUMIFS('Все игры'!AY$3:AY892,'Все игры'!AV$3:AV892,A18,'Все игры'!AW$3:AW892,"Шериф")</f>
        <v>0</v>
      </c>
      <c r="AC18" s="124" t="n">
        <f aca="false">SUMIFS('Все игры'!AY$3:AY892,'Все игры'!AV$3:AV892,A18,'Все игры'!AW$3:AW892,"Дон")</f>
        <v>0</v>
      </c>
      <c r="AD18" s="124" t="n">
        <f aca="false">SUMIFS('Все игры'!AY$3:AY892,'Все игры'!AV$3:AV892,A18,'Все игры'!AW$3:AW892,"Мирный")</f>
        <v>0</v>
      </c>
      <c r="AE18" s="124" t="n">
        <f aca="false">IFERROR(Z18/B18,0)</f>
        <v>0</v>
      </c>
      <c r="AF18" s="124" t="n">
        <f aca="false">IFERROR(AA18/(K18+L18),0)</f>
        <v>0</v>
      </c>
      <c r="AG18" s="124" t="n">
        <f aca="false">IFERROR(AB18/(M18+N18),0)</f>
        <v>0</v>
      </c>
      <c r="AH18" s="124" t="n">
        <f aca="false">IFERROR(AC18/(O18+P18),0)</f>
        <v>0</v>
      </c>
      <c r="AI18" s="124" t="n">
        <f aca="false">IFERROR(AD18/(Q18+R18),0)</f>
        <v>0</v>
      </c>
    </row>
    <row r="19" customFormat="false" ht="15.75" hidden="false" customHeight="false" outlineLevel="0" collapsed="false">
      <c r="A19" s="78" t="str">
        <v>Наполеон</v>
      </c>
      <c r="B19" s="120" t="n">
        <f aca="false">SUM(I19:J19)</f>
        <v>4</v>
      </c>
      <c r="C19" s="4" t="str">
        <f aca="false">IF(COUNTIFS('Все игры'!AV$3:AV892,A19,'Все игры'!BA$3:BA892,"=1")=0, "", COUNTIFS('Все игры'!AV$3:AV892,A19,'Все игры'!BA$3:BA892,"=1"))</f>
        <v/>
      </c>
      <c r="D19" s="76" t="str">
        <f aca="false">IF(COUNTIFS('Все игры'!AV$3:AV892,A19,'Все игры'!BA$3:BA892,"=0,50")=0, "", COUNTIFS('Все игры'!AV$3:AV892,A19,'Все игры'!BA$3:BA892,"=0,50"))</f>
        <v/>
      </c>
      <c r="E19" s="76" t="str">
        <f aca="false">IF(COUNTIFS('Все игры'!AV$3:AV892,A19,'Все игры'!AZ$3:AZ892,"ПУ")=0, "", COUNTIFS('Все игры'!AV$3:AV892,A19,'Все игры'!AZ$3:AZ892,"ПУ"))</f>
        <v/>
      </c>
      <c r="F19" s="121" t="n">
        <f aca="false">IFERROR(E19/I19,0)</f>
        <v>0</v>
      </c>
      <c r="G19" s="76" t="str">
        <f aca="false">IF(COUNTIFS('Все игры'!AV$3:AV892,A19,'Все игры'!AZ$3:AZ892,"У/Победа")=0, "",COUNTIFS('Все игры'!AV$3:AV892,A19,'Все игры'!AZ$3:AZ892,"У/Победа") )</f>
        <v/>
      </c>
      <c r="H19" s="76" t="str">
        <f aca="false">IF(COUNTIFS('Все игры'!AV$3:AV892,A19,'Все игры'!AZ$3:AZ892,"У/Проигрыш")=0, "",COUNTIFS('Все игры'!AV$3:AV892,A19,'Все игры'!AZ$3:AZ892,"У/Проигрыш") )</f>
        <v/>
      </c>
      <c r="I19" s="120" t="n">
        <f aca="false">M19+N19+Q19+R19</f>
        <v>2</v>
      </c>
      <c r="J19" s="120" t="n">
        <f aca="false">K19+L19+O19+P19</f>
        <v>2</v>
      </c>
      <c r="K19" s="120" t="n">
        <f aca="false">COUNTIFS('Все игры'!AV$3:AV892,A19,'Все игры'!AX$3:AX892,"&gt;0",'Все игры'!AW$3:AW892,"Мафия")</f>
        <v>0</v>
      </c>
      <c r="L19" s="120" t="n">
        <f aca="false">IFERROR(__xludf.dummyfunction("COUNTBLANK(FILTER('Все игры'!AV$3:AX892,'Все игры'!AV$3:AV892=A19,'Все игры'!AX$3:AX892 &lt; 1,'Все игры'!AW$3:AW892=""Мафия""))"),2)</f>
        <v>2</v>
      </c>
      <c r="M19" s="120" t="n">
        <f aca="false">COUNTIFS('Все игры'!AV$3:AV892,A19,'Все игры'!AX$3:AX892,"&gt;0",'Все игры'!AW$3:AW892,"Шериф")</f>
        <v>0</v>
      </c>
      <c r="N19" s="120" t="n">
        <f aca="false">IFERROR(__xludf.dummyfunction("COUNTBLANK(FILTER('Все игры'!AV$3:AX892,'Все игры'!AV$3:AV892=A19,'Все игры'!AX$3:AX892 &lt; 1,'Все игры'!AW$3:AW892=""Шериф""))"),1)</f>
        <v>1</v>
      </c>
      <c r="O19" s="120" t="n">
        <f aca="false">COUNTIFS('Все игры'!AV$3:AV892,A19,'Все игры'!AX$3:AX892,"&gt;0",'Все игры'!AW$3:AW892,"Дон")</f>
        <v>0</v>
      </c>
      <c r="P19" s="122" t="n">
        <f aca="false">IFERROR(__xludf.dummyfunction("COUNTBLANK(FILTER('Все игры'!AV$3:AX892,'Все игры'!AV$3:AV892=A19,'Все игры'!AX$3:AX892 &lt; 1,'Все игры'!AW$3:AW892=""Дон""))"),0)</f>
        <v>0</v>
      </c>
      <c r="Q19" s="120" t="n">
        <f aca="false">COUNTIFS('Все игры'!AV$3:AV892,A19,'Все игры'!AX$3:AX892,"&gt;0",'Все игры'!AW$3:AW892,"Мирный")</f>
        <v>0</v>
      </c>
      <c r="R19" s="120" t="n">
        <f aca="false">IFERROR(__xludf.dummyfunction("COUNTBLANK(FILTER('Все игры'!AV$3:AX892,'Все игры'!AV$3:AV892=A19,'Все игры'!AX$3:AX892 &lt; 1,'Все игры'!AW$3:AW892=""Мирный""))"),1)</f>
        <v>1</v>
      </c>
      <c r="S19" s="123" t="n">
        <f aca="false">IFERROR((K19+M19+O19+Q19)/(I19+J19), )</f>
        <v>0</v>
      </c>
      <c r="T19" s="123" t="n">
        <f aca="false">IFERROR((M19+Q19)/I19, )</f>
        <v>0</v>
      </c>
      <c r="U19" s="123" t="n">
        <f aca="false">IFERROR((K19+O19)/J19, )</f>
        <v>0</v>
      </c>
      <c r="V19" s="123" t="n">
        <f aca="false">IFERROR(K19/(K19+L19), )</f>
        <v>0</v>
      </c>
      <c r="W19" s="123" t="n">
        <f aca="false">IFERROR(M19/(M19+N19), )</f>
        <v>0</v>
      </c>
      <c r="X19" s="123" t="n">
        <f aca="false">IFERROR(O19/(O19+P19), )</f>
        <v>0</v>
      </c>
      <c r="Y19" s="123" t="n">
        <f aca="false">IFERROR(Q19/(Q19+R19), )</f>
        <v>0</v>
      </c>
      <c r="Z19" s="124" t="n">
        <f aca="false">SUMIFS('Все игры'!AY$3:AY892,'Все игры'!AV$3:AV892,A19)</f>
        <v>0</v>
      </c>
      <c r="AA19" s="124" t="n">
        <f aca="false">SUMIFS('Все игры'!AY$3:AY892,'Все игры'!AV$3:AV892,A19,'Все игры'!AW$3:AW892,"Мафия")</f>
        <v>0</v>
      </c>
      <c r="AB19" s="124" t="n">
        <f aca="false">SUMIFS('Все игры'!AY$3:AY892,'Все игры'!AV$3:AV892,A19,'Все игры'!AW$3:AW892,"Шериф")</f>
        <v>0</v>
      </c>
      <c r="AC19" s="124" t="n">
        <f aca="false">SUMIFS('Все игры'!AY$3:AY892,'Все игры'!AV$3:AV892,A19,'Все игры'!AW$3:AW892,"Дон")</f>
        <v>0</v>
      </c>
      <c r="AD19" s="124" t="n">
        <f aca="false">SUMIFS('Все игры'!AY$3:AY892,'Все игры'!AV$3:AV892,A19,'Все игры'!AW$3:AW892,"Мирный")</f>
        <v>0</v>
      </c>
      <c r="AE19" s="124" t="n">
        <f aca="false">IFERROR(Z19/B19,0)</f>
        <v>0</v>
      </c>
      <c r="AF19" s="124" t="n">
        <f aca="false">IFERROR(AA19/(K19+L19),0)</f>
        <v>0</v>
      </c>
      <c r="AG19" s="124" t="n">
        <f aca="false">IFERROR(AB19/(M19+N19),0)</f>
        <v>0</v>
      </c>
      <c r="AH19" s="124" t="n">
        <f aca="false">IFERROR(AC19/(O19+P19),0)</f>
        <v>0</v>
      </c>
      <c r="AI19" s="124" t="n">
        <f aca="false">IFERROR(AD19/(Q19+R19),0)</f>
        <v>0</v>
      </c>
    </row>
    <row r="20" customFormat="false" ht="15.75" hidden="false" customHeight="false" outlineLevel="0" collapsed="false">
      <c r="A20" s="78" t="str">
        <v>Мона</v>
      </c>
      <c r="B20" s="120" t="n">
        <f aca="false">SUM(I20:J20)</f>
        <v>5</v>
      </c>
      <c r="C20" s="4" t="str">
        <f aca="false">IF(COUNTIFS('Все игры'!AV$3:AV892,A20,'Все игры'!BA$3:BA892,"=1")=0, "", COUNTIFS('Все игры'!AV$3:AV892,A20,'Все игры'!BA$3:BA892,"=1"))</f>
        <v/>
      </c>
      <c r="D20" s="76" t="str">
        <f aca="false">IF(COUNTIFS('Все игры'!AV$3:AV892,A20,'Все игры'!BA$3:BA892,"=0,50")=0, "", COUNTIFS('Все игры'!AV$3:AV892,A20,'Все игры'!BA$3:BA892,"=0,50"))</f>
        <v/>
      </c>
      <c r="E20" s="76" t="str">
        <f aca="false">IF(COUNTIFS('Все игры'!AV$3:AV892,A20,'Все игры'!AZ$3:AZ892,"ПУ")=0, "", COUNTIFS('Все игры'!AV$3:AV892,A20,'Все игры'!AZ$3:AZ892,"ПУ"))</f>
        <v/>
      </c>
      <c r="F20" s="121" t="n">
        <f aca="false">IFERROR(E20/I20,0)</f>
        <v>0</v>
      </c>
      <c r="G20" s="76" t="str">
        <f aca="false">IF(COUNTIFS('Все игры'!AV$3:AV892,A20,'Все игры'!AZ$3:AZ892,"У/Победа")=0, "",COUNTIFS('Все игры'!AV$3:AV892,A20,'Все игры'!AZ$3:AZ892,"У/Победа") )</f>
        <v/>
      </c>
      <c r="H20" s="76" t="str">
        <f aca="false">IF(COUNTIFS('Все игры'!AV$3:AV892,A20,'Все игры'!AZ$3:AZ892,"У/Проигрыш")=0, "",COUNTIFS('Все игры'!AV$3:AV892,A20,'Все игры'!AZ$3:AZ892,"У/Проигрыш") )</f>
        <v/>
      </c>
      <c r="I20" s="120" t="n">
        <f aca="false">M20+N20+Q20+R20</f>
        <v>4</v>
      </c>
      <c r="J20" s="120" t="n">
        <f aca="false">K20+L20+O20+P20</f>
        <v>1</v>
      </c>
      <c r="K20" s="120" t="n">
        <f aca="false">COUNTIFS('Все игры'!AV$3:AV892,A20,'Все игры'!AX$3:AX892,"&gt;0",'Все игры'!AW$3:AW892,"Мафия")</f>
        <v>0</v>
      </c>
      <c r="L20" s="120" t="n">
        <f aca="false">IFERROR(__xludf.dummyfunction("COUNTBLANK(FILTER('Все игры'!AV$3:AX892,'Все игры'!AV$3:AV892=A20,'Все игры'!AX$3:AX892 &lt; 1,'Все игры'!AW$3:AW892=""Мафия""))"),0)</f>
        <v>0</v>
      </c>
      <c r="M20" s="120" t="n">
        <f aca="false">COUNTIFS('Все игры'!AV$3:AV892,A20,'Все игры'!AX$3:AX892,"&gt;0",'Все игры'!AW$3:AW892,"Шериф")</f>
        <v>0</v>
      </c>
      <c r="N20" s="120" t="n">
        <f aca="false">IFERROR(__xludf.dummyfunction("COUNTBLANK(FILTER('Все игры'!AV$3:AX892,'Все игры'!AV$3:AV892=A20,'Все игры'!AX$3:AX892 &lt; 1,'Все игры'!AW$3:AW892=""Шериф""))"),1)</f>
        <v>1</v>
      </c>
      <c r="O20" s="120" t="n">
        <f aca="false">COUNTIFS('Все игры'!AV$3:AV892,A20,'Все игры'!AX$3:AX892,"&gt;0",'Все игры'!AW$3:AW892,"Дон")</f>
        <v>0</v>
      </c>
      <c r="P20" s="122" t="n">
        <f aca="false">IFERROR(__xludf.dummyfunction("COUNTBLANK(FILTER('Все игры'!AV$3:AX892,'Все игры'!AV$3:AV892=A20,'Все игры'!AX$3:AX892 &lt; 1,'Все игры'!AW$3:AW892=""Дон""))"),1)</f>
        <v>1</v>
      </c>
      <c r="Q20" s="120" t="n">
        <f aca="false">COUNTIFS('Все игры'!AV$3:AV892,A20,'Все игры'!AX$3:AX892,"&gt;0",'Все игры'!AW$3:AW892,"Мирный")</f>
        <v>0</v>
      </c>
      <c r="R20" s="120" t="n">
        <f aca="false">IFERROR(__xludf.dummyfunction("COUNTBLANK(FILTER('Все игры'!AV$3:AX892,'Все игры'!AV$3:AV892=A20,'Все игры'!AX$3:AX892 &lt; 1,'Все игры'!AW$3:AW892=""Мирный""))"),3)</f>
        <v>3</v>
      </c>
      <c r="S20" s="123" t="n">
        <f aca="false">IFERROR((K20+M20+O20+Q20)/(I20+J20), )</f>
        <v>0</v>
      </c>
      <c r="T20" s="123" t="n">
        <f aca="false">IFERROR((M20+Q20)/I20, )</f>
        <v>0</v>
      </c>
      <c r="U20" s="123" t="n">
        <f aca="false">IFERROR((K20+O20)/J20, )</f>
        <v>0</v>
      </c>
      <c r="V20" s="123" t="n">
        <f aca="false">IFERROR(K20/(K20+L20), )</f>
        <v>0</v>
      </c>
      <c r="W20" s="123" t="n">
        <f aca="false">IFERROR(M20/(M20+N20), )</f>
        <v>0</v>
      </c>
      <c r="X20" s="123" t="n">
        <f aca="false">IFERROR(O20/(O20+P20), )</f>
        <v>0</v>
      </c>
      <c r="Y20" s="123" t="n">
        <f aca="false">IFERROR(Q20/(Q20+R20), )</f>
        <v>0</v>
      </c>
      <c r="Z20" s="124" t="n">
        <f aca="false">SUMIFS('Все игры'!AY$3:AY892,'Все игры'!AV$3:AV892,A20)</f>
        <v>0</v>
      </c>
      <c r="AA20" s="124" t="n">
        <f aca="false">SUMIFS('Все игры'!AY$3:AY892,'Все игры'!AV$3:AV892,A20,'Все игры'!AW$3:AW892,"Мафия")</f>
        <v>0</v>
      </c>
      <c r="AB20" s="124" t="n">
        <f aca="false">SUMIFS('Все игры'!AY$3:AY892,'Все игры'!AV$3:AV892,A20,'Все игры'!AW$3:AW892,"Шериф")</f>
        <v>0</v>
      </c>
      <c r="AC20" s="124" t="n">
        <f aca="false">SUMIFS('Все игры'!AY$3:AY892,'Все игры'!AV$3:AV892,A20,'Все игры'!AW$3:AW892,"Дон")</f>
        <v>0</v>
      </c>
      <c r="AD20" s="124" t="n">
        <f aca="false">SUMIFS('Все игры'!AY$3:AY892,'Все игры'!AV$3:AV892,A20,'Все игры'!AW$3:AW892,"Мирный")</f>
        <v>0</v>
      </c>
      <c r="AE20" s="124" t="n">
        <f aca="false">IFERROR(Z20/B20,0)</f>
        <v>0</v>
      </c>
      <c r="AF20" s="124" t="n">
        <f aca="false">IFERROR(AA20/(K20+L20),0)</f>
        <v>0</v>
      </c>
      <c r="AG20" s="124" t="n">
        <f aca="false">IFERROR(AB20/(M20+N20),0)</f>
        <v>0</v>
      </c>
      <c r="AH20" s="124" t="n">
        <f aca="false">IFERROR(AC20/(O20+P20),0)</f>
        <v>0</v>
      </c>
      <c r="AI20" s="124" t="n">
        <f aca="false">IFERROR(AD20/(Q20+R20),0)</f>
        <v>0</v>
      </c>
    </row>
    <row r="21" customFormat="false" ht="15.75" hidden="false" customHeight="false" outlineLevel="0" collapsed="false">
      <c r="A21" s="78" t="str">
        <v>UFO</v>
      </c>
      <c r="B21" s="120" t="n">
        <f aca="false">SUM(I21:J21)</f>
        <v>3</v>
      </c>
      <c r="C21" s="4" t="str">
        <f aca="false">IF(COUNTIFS('Все игры'!AV$3:AV892,A21,'Все игры'!BA$3:BA892,"=1")=0, "", COUNTIFS('Все игры'!AV$3:AV892,A21,'Все игры'!BA$3:BA892,"=1"))</f>
        <v/>
      </c>
      <c r="D21" s="76" t="str">
        <f aca="false">IF(COUNTIFS('Все игры'!AV$3:AV892,A21,'Все игры'!BA$3:BA892,"=0,50")=0, "", COUNTIFS('Все игры'!AV$3:AV892,A21,'Все игры'!BA$3:BA892,"=0,50"))</f>
        <v/>
      </c>
      <c r="E21" s="76" t="str">
        <f aca="false">IF(COUNTIFS('Все игры'!AV$3:AV892,A21,'Все игры'!AZ$3:AZ892,"ПУ")=0, "", COUNTIFS('Все игры'!AV$3:AV892,A21,'Все игры'!AZ$3:AZ892,"ПУ"))</f>
        <v/>
      </c>
      <c r="F21" s="121" t="n">
        <f aca="false">IFERROR(E21/I21,0)</f>
        <v>0</v>
      </c>
      <c r="G21" s="76" t="str">
        <f aca="false">IF(COUNTIFS('Все игры'!AV$3:AV892,A21,'Все игры'!AZ$3:AZ892,"У/Победа")=0, "",COUNTIFS('Все игры'!AV$3:AV892,A21,'Все игры'!AZ$3:AZ892,"У/Победа") )</f>
        <v/>
      </c>
      <c r="H21" s="76" t="str">
        <f aca="false">IF(COUNTIFS('Все игры'!AV$3:AV892,A21,'Все игры'!AZ$3:AZ892,"У/Проигрыш")=0, "",COUNTIFS('Все игры'!AV$3:AV892,A21,'Все игры'!AZ$3:AZ892,"У/Проигрыш") )</f>
        <v/>
      </c>
      <c r="I21" s="120" t="n">
        <f aca="false">M21+N21+Q21+R21</f>
        <v>2</v>
      </c>
      <c r="J21" s="120" t="n">
        <f aca="false">K21+L21+O21+P21</f>
        <v>1</v>
      </c>
      <c r="K21" s="120" t="n">
        <f aca="false">COUNTIFS('Все игры'!AV$3:AV892,A21,'Все игры'!AX$3:AX892,"&gt;0",'Все игры'!AW$3:AW892,"Мафия")</f>
        <v>0</v>
      </c>
      <c r="L21" s="120" t="n">
        <f aca="false">IFERROR(__xludf.dummyfunction("COUNTBLANK(FILTER('Все игры'!AV$3:AX892,'Все игры'!AV$3:AV892=A21,'Все игры'!AX$3:AX892 &lt; 1,'Все игры'!AW$3:AW892=""Мафия""))"),1)</f>
        <v>1</v>
      </c>
      <c r="M21" s="120" t="n">
        <f aca="false">COUNTIFS('Все игры'!AV$3:AV892,A21,'Все игры'!AX$3:AX892,"&gt;0",'Все игры'!AW$3:AW892,"Шериф")</f>
        <v>0</v>
      </c>
      <c r="N21" s="120" t="n">
        <f aca="false">IFERROR(__xludf.dummyfunction("COUNTBLANK(FILTER('Все игры'!AV$3:AX892,'Все игры'!AV$3:AV892=A21,'Все игры'!AX$3:AX892 &lt; 1,'Все игры'!AW$3:AW892=""Шериф""))"),1)</f>
        <v>1</v>
      </c>
      <c r="O21" s="120" t="n">
        <f aca="false">COUNTIFS('Все игры'!AV$3:AV892,A21,'Все игры'!AX$3:AX892,"&gt;0",'Все игры'!AW$3:AW892,"Дон")</f>
        <v>0</v>
      </c>
      <c r="P21" s="122" t="n">
        <f aca="false">IFERROR(__xludf.dummyfunction("COUNTBLANK(FILTER('Все игры'!AV$3:AX892,'Все игры'!AV$3:AV892=A21,'Все игры'!AX$3:AX892 &lt; 1,'Все игры'!AW$3:AW892=""Дон""))"),0)</f>
        <v>0</v>
      </c>
      <c r="Q21" s="120" t="n">
        <f aca="false">COUNTIFS('Все игры'!AV$3:AV892,A21,'Все игры'!AX$3:AX892,"&gt;0",'Все игры'!AW$3:AW892,"Мирный")</f>
        <v>0</v>
      </c>
      <c r="R21" s="120" t="n">
        <f aca="false">IFERROR(__xludf.dummyfunction("COUNTBLANK(FILTER('Все игры'!AV$3:AX892,'Все игры'!AV$3:AV892=A21,'Все игры'!AX$3:AX892 &lt; 1,'Все игры'!AW$3:AW892=""Мирный""))"),1)</f>
        <v>1</v>
      </c>
      <c r="S21" s="123" t="n">
        <f aca="false">IFERROR((K21+M21+O21+Q21)/(I21+J21), )</f>
        <v>0</v>
      </c>
      <c r="T21" s="123" t="n">
        <f aca="false">IFERROR((M21+Q21)/I21, )</f>
        <v>0</v>
      </c>
      <c r="U21" s="123" t="n">
        <f aca="false">IFERROR((K21+O21)/J21, )</f>
        <v>0</v>
      </c>
      <c r="V21" s="123" t="n">
        <f aca="false">IFERROR(K21/(K21+L21), )</f>
        <v>0</v>
      </c>
      <c r="W21" s="123" t="n">
        <f aca="false">IFERROR(M21/(M21+N21), )</f>
        <v>0</v>
      </c>
      <c r="X21" s="123" t="n">
        <f aca="false">IFERROR(O21/(O21+P21), )</f>
        <v>0</v>
      </c>
      <c r="Y21" s="123" t="n">
        <f aca="false">IFERROR(Q21/(Q21+R21), )</f>
        <v>0</v>
      </c>
      <c r="Z21" s="124" t="n">
        <f aca="false">SUMIFS('Все игры'!AY$3:AY892,'Все игры'!AV$3:AV892,A21)</f>
        <v>0</v>
      </c>
      <c r="AA21" s="124" t="n">
        <f aca="false">SUMIFS('Все игры'!AY$3:AY892,'Все игры'!AV$3:AV892,A21,'Все игры'!AW$3:AW892,"Мафия")</f>
        <v>0</v>
      </c>
      <c r="AB21" s="124" t="n">
        <f aca="false">SUMIFS('Все игры'!AY$3:AY892,'Все игры'!AV$3:AV892,A21,'Все игры'!AW$3:AW892,"Шериф")</f>
        <v>0</v>
      </c>
      <c r="AC21" s="124" t="n">
        <f aca="false">SUMIFS('Все игры'!AY$3:AY892,'Все игры'!AV$3:AV892,A21,'Все игры'!AW$3:AW892,"Дон")</f>
        <v>0</v>
      </c>
      <c r="AD21" s="124" t="n">
        <f aca="false">SUMIFS('Все игры'!AY$3:AY892,'Все игры'!AV$3:AV892,A21,'Все игры'!AW$3:AW892,"Мирный")</f>
        <v>0</v>
      </c>
      <c r="AE21" s="124" t="n">
        <f aca="false">IFERROR(Z21/B21,0)</f>
        <v>0</v>
      </c>
      <c r="AF21" s="124" t="n">
        <f aca="false">IFERROR(AA21/(K21+L21),0)</f>
        <v>0</v>
      </c>
      <c r="AG21" s="124" t="n">
        <f aca="false">IFERROR(AB21/(M21+N21),0)</f>
        <v>0</v>
      </c>
      <c r="AH21" s="124" t="n">
        <f aca="false">IFERROR(AC21/(O21+P21),0)</f>
        <v>0</v>
      </c>
      <c r="AI21" s="124" t="n">
        <f aca="false">IFERROR(AD21/(Q21+R21),0)</f>
        <v>0</v>
      </c>
    </row>
    <row r="22" customFormat="false" ht="15.75" hidden="false" customHeight="false" outlineLevel="0" collapsed="false">
      <c r="A22" s="78" t="str">
        <v>Админ</v>
      </c>
      <c r="B22" s="120" t="n">
        <f aca="false">SUM(I22:J22)</f>
        <v>4</v>
      </c>
      <c r="C22" s="4" t="str">
        <f aca="false">IF(COUNTIFS('Все игры'!AV$3:AV892,A22,'Все игры'!BA$3:BA892,"=1")=0, "", COUNTIFS('Все игры'!AV$3:AV892,A22,'Все игры'!BA$3:BA892,"=1"))</f>
        <v/>
      </c>
      <c r="D22" s="76" t="str">
        <f aca="false">IF(COUNTIFS('Все игры'!AV$3:AV892,A22,'Все игры'!BA$3:BA892,"=0,50")=0, "", COUNTIFS('Все игры'!AV$3:AV892,A22,'Все игры'!BA$3:BA892,"=0,50"))</f>
        <v/>
      </c>
      <c r="E22" s="76" t="str">
        <f aca="false">IF(COUNTIFS('Все игры'!AV$3:AV892,A22,'Все игры'!AZ$3:AZ892,"ПУ")=0, "", COUNTIFS('Все игры'!AV$3:AV892,A22,'Все игры'!AZ$3:AZ892,"ПУ"))</f>
        <v/>
      </c>
      <c r="F22" s="121" t="n">
        <f aca="false">IFERROR(E22/I22,0)</f>
        <v>0</v>
      </c>
      <c r="G22" s="76" t="str">
        <f aca="false">IF(COUNTIFS('Все игры'!AV$3:AV892,A22,'Все игры'!AZ$3:AZ892,"У/Победа")=0, "",COUNTIFS('Все игры'!AV$3:AV892,A22,'Все игры'!AZ$3:AZ892,"У/Победа") )</f>
        <v/>
      </c>
      <c r="H22" s="76" t="str">
        <f aca="false">IF(COUNTIFS('Все игры'!AV$3:AV892,A22,'Все игры'!AZ$3:AZ892,"У/Проигрыш")=0, "",COUNTIFS('Все игры'!AV$3:AV892,A22,'Все игры'!AZ$3:AZ892,"У/Проигрыш") )</f>
        <v/>
      </c>
      <c r="I22" s="120" t="n">
        <f aca="false">M22+N22+Q22+R22</f>
        <v>2</v>
      </c>
      <c r="J22" s="120" t="n">
        <f aca="false">K22+L22+O22+P22</f>
        <v>2</v>
      </c>
      <c r="K22" s="120" t="n">
        <f aca="false">COUNTIFS('Все игры'!AV$3:AV892,A22,'Все игры'!AX$3:AX892,"&gt;0",'Все игры'!AW$3:AW892,"Мафия")</f>
        <v>0</v>
      </c>
      <c r="L22" s="120" t="n">
        <f aca="false">IFERROR(__xludf.dummyfunction("COUNTBLANK(FILTER('Все игры'!AV$3:AX892,'Все игры'!AV$3:AV892=A22,'Все игры'!AX$3:AX892 &lt; 1,'Все игры'!AW$3:AW892=""Мафия""))"),2)</f>
        <v>2</v>
      </c>
      <c r="M22" s="120" t="n">
        <f aca="false">COUNTIFS('Все игры'!AV$3:AV892,A22,'Все игры'!AX$3:AX892,"&gt;0",'Все игры'!AW$3:AW892,"Шериф")</f>
        <v>0</v>
      </c>
      <c r="N22" s="120" t="n">
        <f aca="false">IFERROR(__xludf.dummyfunction("COUNTBLANK(FILTER('Все игры'!AV$3:AX892,'Все игры'!AV$3:AV892=A22,'Все игры'!AX$3:AX892 &lt; 1,'Все игры'!AW$3:AW892=""Шериф""))"),0)</f>
        <v>0</v>
      </c>
      <c r="O22" s="120" t="n">
        <f aca="false">COUNTIFS('Все игры'!AV$3:AV892,A22,'Все игры'!AX$3:AX892,"&gt;0",'Все игры'!AW$3:AW892,"Дон")</f>
        <v>0</v>
      </c>
      <c r="P22" s="122" t="n">
        <f aca="false">IFERROR(__xludf.dummyfunction("COUNTBLANK(FILTER('Все игры'!AV$3:AX892,'Все игры'!AV$3:AV892=A22,'Все игры'!AX$3:AX892 &lt; 1,'Все игры'!AW$3:AW892=""Дон""))"),0)</f>
        <v>0</v>
      </c>
      <c r="Q22" s="120" t="n">
        <f aca="false">COUNTIFS('Все игры'!AV$3:AV892,A22,'Все игры'!AX$3:AX892,"&gt;0",'Все игры'!AW$3:AW892,"Мирный")</f>
        <v>0</v>
      </c>
      <c r="R22" s="120" t="n">
        <f aca="false">IFERROR(__xludf.dummyfunction("COUNTBLANK(FILTER('Все игры'!AV$3:AX892,'Все игры'!AV$3:AV892=A22,'Все игры'!AX$3:AX892 &lt; 1,'Все игры'!AW$3:AW892=""Мирный""))"),2)</f>
        <v>2</v>
      </c>
      <c r="S22" s="123" t="n">
        <f aca="false">IFERROR((K22+M22+O22+Q22)/(I22+J22), )</f>
        <v>0</v>
      </c>
      <c r="T22" s="123" t="n">
        <f aca="false">IFERROR((M22+Q22)/I22, )</f>
        <v>0</v>
      </c>
      <c r="U22" s="123" t="n">
        <f aca="false">IFERROR((K22+O22)/J22, )</f>
        <v>0</v>
      </c>
      <c r="V22" s="123" t="n">
        <f aca="false">IFERROR(K22/(K22+L22), )</f>
        <v>0</v>
      </c>
      <c r="W22" s="123" t="n">
        <f aca="false">IFERROR(M22/(M22+N22), )</f>
        <v>0</v>
      </c>
      <c r="X22" s="123" t="n">
        <f aca="false">IFERROR(O22/(O22+P22), )</f>
        <v>0</v>
      </c>
      <c r="Y22" s="123" t="n">
        <f aca="false">IFERROR(Q22/(Q22+R22), )</f>
        <v>0</v>
      </c>
      <c r="Z22" s="124" t="n">
        <f aca="false">SUMIFS('Все игры'!AY$3:AY892,'Все игры'!AV$3:AV892,A22)</f>
        <v>0</v>
      </c>
      <c r="AA22" s="124" t="n">
        <f aca="false">SUMIFS('Все игры'!AY$3:AY892,'Все игры'!AV$3:AV892,A22,'Все игры'!AW$3:AW892,"Мафия")</f>
        <v>0</v>
      </c>
      <c r="AB22" s="124" t="n">
        <f aca="false">SUMIFS('Все игры'!AY$3:AY892,'Все игры'!AV$3:AV892,A22,'Все игры'!AW$3:AW892,"Шериф")</f>
        <v>0</v>
      </c>
      <c r="AC22" s="124" t="n">
        <f aca="false">SUMIFS('Все игры'!AY$3:AY892,'Все игры'!AV$3:AV892,A22,'Все игры'!AW$3:AW892,"Дон")</f>
        <v>0</v>
      </c>
      <c r="AD22" s="124" t="n">
        <f aca="false">SUMIFS('Все игры'!AY$3:AY892,'Все игры'!AV$3:AV892,A22,'Все игры'!AW$3:AW892,"Мирный")</f>
        <v>0</v>
      </c>
      <c r="AE22" s="124" t="n">
        <f aca="false">IFERROR(Z22/B22,0)</f>
        <v>0</v>
      </c>
      <c r="AF22" s="124" t="n">
        <f aca="false">IFERROR(AA22/(K22+L22),0)</f>
        <v>0</v>
      </c>
      <c r="AG22" s="124" t="n">
        <f aca="false">IFERROR(AB22/(M22+N22),0)</f>
        <v>0</v>
      </c>
      <c r="AH22" s="124" t="n">
        <f aca="false">IFERROR(AC22/(O22+P22),0)</f>
        <v>0</v>
      </c>
      <c r="AI22" s="124" t="n">
        <f aca="false">IFERROR(AD22/(Q22+R22),0)</f>
        <v>0</v>
      </c>
    </row>
    <row r="23" customFormat="false" ht="15.75" hidden="false" customHeight="false" outlineLevel="0" collapsed="false">
      <c r="A23" s="78" t="str">
        <v>Curly</v>
      </c>
      <c r="B23" s="120" t="n">
        <f aca="false">SUM(I23:J23)</f>
        <v>3</v>
      </c>
      <c r="C23" s="4" t="str">
        <f aca="false">IF(COUNTIFS('Все игры'!AV$3:AV892,A23,'Все игры'!BA$3:BA892,"=1")=0, "", COUNTIFS('Все игры'!AV$3:AV892,A23,'Все игры'!BA$3:BA892,"=1"))</f>
        <v/>
      </c>
      <c r="D23" s="76" t="str">
        <f aca="false">IF(COUNTIFS('Все игры'!AV$3:AV892,A23,'Все игры'!BA$3:BA892,"=0,50")=0, "", COUNTIFS('Все игры'!AV$3:AV892,A23,'Все игры'!BA$3:BA892,"=0,50"))</f>
        <v/>
      </c>
      <c r="E23" s="76" t="str">
        <f aca="false">IF(COUNTIFS('Все игры'!AV$3:AV892,A23,'Все игры'!AZ$3:AZ892,"ПУ")=0, "", COUNTIFS('Все игры'!AV$3:AV892,A23,'Все игры'!AZ$3:AZ892,"ПУ"))</f>
        <v/>
      </c>
      <c r="F23" s="121" t="n">
        <f aca="false">IFERROR(E23/I23,0)</f>
        <v>0</v>
      </c>
      <c r="G23" s="76" t="str">
        <f aca="false">IF(COUNTIFS('Все игры'!AV$3:AV892,A23,'Все игры'!AZ$3:AZ892,"У/Победа")=0, "",COUNTIFS('Все игры'!AV$3:AV892,A23,'Все игры'!AZ$3:AZ892,"У/Победа") )</f>
        <v/>
      </c>
      <c r="H23" s="76" t="str">
        <f aca="false">IF(COUNTIFS('Все игры'!AV$3:AV892,A23,'Все игры'!AZ$3:AZ892,"У/Проигрыш")=0, "",COUNTIFS('Все игры'!AV$3:AV892,A23,'Все игры'!AZ$3:AZ892,"У/Проигрыш") )</f>
        <v/>
      </c>
      <c r="I23" s="120" t="n">
        <f aca="false">M23+N23+Q23+R23</f>
        <v>2</v>
      </c>
      <c r="J23" s="120" t="n">
        <f aca="false">K23+L23+O23+P23</f>
        <v>1</v>
      </c>
      <c r="K23" s="120" t="n">
        <f aca="false">COUNTIFS('Все игры'!AV$3:AV892,A23,'Все игры'!AX$3:AX892,"&gt;0",'Все игры'!AW$3:AW892,"Мафия")</f>
        <v>0</v>
      </c>
      <c r="L23" s="120" t="n">
        <f aca="false">IFERROR(__xludf.dummyfunction("COUNTBLANK(FILTER('Все игры'!AV$3:AX892,'Все игры'!AV$3:AV892=A23,'Все игры'!AX$3:AX892 &lt; 1,'Все игры'!AW$3:AW892=""Мафия""))"),1)</f>
        <v>1</v>
      </c>
      <c r="M23" s="120" t="n">
        <f aca="false">COUNTIFS('Все игры'!AV$3:AV892,A23,'Все игры'!AX$3:AX892,"&gt;0",'Все игры'!AW$3:AW892,"Шериф")</f>
        <v>0</v>
      </c>
      <c r="N23" s="120" t="n">
        <f aca="false">IFERROR(__xludf.dummyfunction("COUNTBLANK(FILTER('Все игры'!AV$3:AX892,'Все игры'!AV$3:AV892=A23,'Все игры'!AX$3:AX892 &lt; 1,'Все игры'!AW$3:AW892=""Шериф""))"),0)</f>
        <v>0</v>
      </c>
      <c r="O23" s="120" t="n">
        <f aca="false">COUNTIFS('Все игры'!AV$3:AV892,A23,'Все игры'!AX$3:AX892,"&gt;0",'Все игры'!AW$3:AW892,"Дон")</f>
        <v>0</v>
      </c>
      <c r="P23" s="122" t="n">
        <f aca="false">IFERROR(__xludf.dummyfunction("COUNTBLANK(FILTER('Все игры'!AV$3:AX892,'Все игры'!AV$3:AV892=A23,'Все игры'!AX$3:AX892 &lt; 1,'Все игры'!AW$3:AW892=""Дон""))"),0)</f>
        <v>0</v>
      </c>
      <c r="Q23" s="120" t="n">
        <f aca="false">COUNTIFS('Все игры'!AV$3:AV892,A23,'Все игры'!AX$3:AX892,"&gt;0",'Все игры'!AW$3:AW892,"Мирный")</f>
        <v>0</v>
      </c>
      <c r="R23" s="120" t="n">
        <f aca="false">IFERROR(__xludf.dummyfunction("COUNTBLANK(FILTER('Все игры'!AV$3:AX892,'Все игры'!AV$3:AV892=A23,'Все игры'!AX$3:AX892 &lt; 1,'Все игры'!AW$3:AW892=""Мирный""))"),2)</f>
        <v>2</v>
      </c>
      <c r="S23" s="123" t="n">
        <f aca="false">IFERROR((K23+M23+O23+Q23)/(I23+J23), )</f>
        <v>0</v>
      </c>
      <c r="T23" s="123" t="n">
        <f aca="false">IFERROR((M23+Q23)/I23, )</f>
        <v>0</v>
      </c>
      <c r="U23" s="123" t="n">
        <f aca="false">IFERROR((K23+O23)/J23, )</f>
        <v>0</v>
      </c>
      <c r="V23" s="123" t="n">
        <f aca="false">IFERROR(K23/(K23+L23), )</f>
        <v>0</v>
      </c>
      <c r="W23" s="123" t="n">
        <f aca="false">IFERROR(M23/(M23+N23), )</f>
        <v>0</v>
      </c>
      <c r="X23" s="123" t="n">
        <f aca="false">IFERROR(O23/(O23+P23), )</f>
        <v>0</v>
      </c>
      <c r="Y23" s="123" t="n">
        <f aca="false">IFERROR(Q23/(Q23+R23), )</f>
        <v>0</v>
      </c>
      <c r="Z23" s="124" t="n">
        <f aca="false">SUMIFS('Все игры'!AY$3:AY892,'Все игры'!AV$3:AV892,A23)</f>
        <v>0</v>
      </c>
      <c r="AA23" s="124" t="n">
        <f aca="false">SUMIFS('Все игры'!AY$3:AY892,'Все игры'!AV$3:AV892,A23,'Все игры'!AW$3:AW892,"Мафия")</f>
        <v>0</v>
      </c>
      <c r="AB23" s="124" t="n">
        <f aca="false">SUMIFS('Все игры'!AY$3:AY892,'Все игры'!AV$3:AV892,A23,'Все игры'!AW$3:AW892,"Шериф")</f>
        <v>0</v>
      </c>
      <c r="AC23" s="124" t="n">
        <f aca="false">SUMIFS('Все игры'!AY$3:AY892,'Все игры'!AV$3:AV892,A23,'Все игры'!AW$3:AW892,"Дон")</f>
        <v>0</v>
      </c>
      <c r="AD23" s="124" t="n">
        <f aca="false">SUMIFS('Все игры'!AY$3:AY892,'Все игры'!AV$3:AV892,A23,'Все игры'!AW$3:AW892,"Мирный")</f>
        <v>0</v>
      </c>
      <c r="AE23" s="124" t="n">
        <f aca="false">IFERROR(Z23/B23,0)</f>
        <v>0</v>
      </c>
      <c r="AF23" s="124" t="n">
        <f aca="false">IFERROR(AA23/(K23+L23),0)</f>
        <v>0</v>
      </c>
      <c r="AG23" s="124" t="n">
        <f aca="false">IFERROR(AB23/(M23+N23),0)</f>
        <v>0</v>
      </c>
      <c r="AH23" s="124" t="n">
        <f aca="false">IFERROR(AC23/(O23+P23),0)</f>
        <v>0</v>
      </c>
      <c r="AI23" s="124" t="n">
        <f aca="false">IFERROR(AD23/(Q23+R23),0)</f>
        <v>0</v>
      </c>
    </row>
    <row r="24" customFormat="false" ht="15.75" hidden="false" customHeight="false" outlineLevel="0" collapsed="false">
      <c r="A24" s="78" t="str">
        <v>Дракарис</v>
      </c>
      <c r="B24" s="120" t="n">
        <f aca="false">SUM(I24:J24)</f>
        <v>3</v>
      </c>
      <c r="C24" s="4" t="str">
        <f aca="false">IF(COUNTIFS('Все игры'!AV$3:AV892,A24,'Все игры'!BA$3:BA892,"=1")=0, "", COUNTIFS('Все игры'!AV$3:AV892,A24,'Все игры'!BA$3:BA892,"=1"))</f>
        <v/>
      </c>
      <c r="D24" s="76" t="str">
        <f aca="false">IF(COUNTIFS('Все игры'!AV$3:AV892,A24,'Все игры'!BA$3:BA892,"=0,50")=0, "", COUNTIFS('Все игры'!AV$3:AV892,A24,'Все игры'!BA$3:BA892,"=0,50"))</f>
        <v/>
      </c>
      <c r="E24" s="76" t="str">
        <f aca="false">IF(COUNTIFS('Все игры'!AV$3:AV892,A24,'Все игры'!AZ$3:AZ892,"ПУ")=0, "", COUNTIFS('Все игры'!AV$3:AV892,A24,'Все игры'!AZ$3:AZ892,"ПУ"))</f>
        <v/>
      </c>
      <c r="F24" s="121" t="n">
        <f aca="false">IFERROR(E24/I24,0)</f>
        <v>0</v>
      </c>
      <c r="G24" s="76" t="str">
        <f aca="false">IF(COUNTIFS('Все игры'!AV$3:AV892,A24,'Все игры'!AZ$3:AZ892,"У/Победа")=0, "",COUNTIFS('Все игры'!AV$3:AV892,A24,'Все игры'!AZ$3:AZ892,"У/Победа") )</f>
        <v/>
      </c>
      <c r="H24" s="76" t="str">
        <f aca="false">IF(COUNTIFS('Все игры'!AV$3:AV892,A24,'Все игры'!AZ$3:AZ892,"У/Проигрыш")=0, "",COUNTIFS('Все игры'!AV$3:AV892,A24,'Все игры'!AZ$3:AZ892,"У/Проигрыш") )</f>
        <v/>
      </c>
      <c r="I24" s="120" t="n">
        <f aca="false">M24+N24+Q24+R24</f>
        <v>3</v>
      </c>
      <c r="J24" s="120" t="n">
        <f aca="false">K24+L24+O24+P24</f>
        <v>0</v>
      </c>
      <c r="K24" s="120" t="n">
        <f aca="false">COUNTIFS('Все игры'!AV$3:AV892,A24,'Все игры'!AX$3:AX892,"&gt;0",'Все игры'!AW$3:AW892,"Мафия")</f>
        <v>0</v>
      </c>
      <c r="L24" s="120" t="n">
        <f aca="false">IFERROR(__xludf.dummyfunction("COUNTBLANK(FILTER('Все игры'!AV$3:AX892,'Все игры'!AV$3:AV892=A24,'Все игры'!AX$3:AX892 &lt; 1,'Все игры'!AW$3:AW892=""Мафия""))"),0)</f>
        <v>0</v>
      </c>
      <c r="M24" s="120" t="n">
        <f aca="false">COUNTIFS('Все игры'!AV$3:AV892,A24,'Все игры'!AX$3:AX892,"&gt;0",'Все игры'!AW$3:AW892,"Шериф")</f>
        <v>0</v>
      </c>
      <c r="N24" s="120" t="n">
        <f aca="false">IFERROR(__xludf.dummyfunction("COUNTBLANK(FILTER('Все игры'!AV$3:AX892,'Все игры'!AV$3:AV892=A24,'Все игры'!AX$3:AX892 &lt; 1,'Все игры'!AW$3:AW892=""Шериф""))"),1)</f>
        <v>1</v>
      </c>
      <c r="O24" s="120" t="n">
        <f aca="false">COUNTIFS('Все игры'!AV$3:AV892,A24,'Все игры'!AX$3:AX892,"&gt;0",'Все игры'!AW$3:AW892,"Дон")</f>
        <v>0</v>
      </c>
      <c r="P24" s="122" t="n">
        <f aca="false">IFERROR(__xludf.dummyfunction("COUNTBLANK(FILTER('Все игры'!AV$3:AX892,'Все игры'!AV$3:AV892=A24,'Все игры'!AX$3:AX892 &lt; 1,'Все игры'!AW$3:AW892=""Дон""))"),0)</f>
        <v>0</v>
      </c>
      <c r="Q24" s="120" t="n">
        <f aca="false">COUNTIFS('Все игры'!AV$3:AV892,A24,'Все игры'!AX$3:AX892,"&gt;0",'Все игры'!AW$3:AW892,"Мирный")</f>
        <v>0</v>
      </c>
      <c r="R24" s="120" t="n">
        <f aca="false">IFERROR(__xludf.dummyfunction("COUNTBLANK(FILTER('Все игры'!AV$3:AX892,'Все игры'!AV$3:AV892=A24,'Все игры'!AX$3:AX892 &lt; 1,'Все игры'!AW$3:AW892=""Мирный""))"),2)</f>
        <v>2</v>
      </c>
      <c r="S24" s="123" t="n">
        <f aca="false">IFERROR((K24+M24+O24+Q24)/(I24+J24), )</f>
        <v>0</v>
      </c>
      <c r="T24" s="123" t="n">
        <f aca="false">IFERROR((M24+Q24)/I24, )</f>
        <v>0</v>
      </c>
      <c r="U24" s="123" t="n">
        <f aca="false">IFERROR((K24+O24)/J24, )</f>
        <v>0</v>
      </c>
      <c r="V24" s="123" t="n">
        <f aca="false">IFERROR(K24/(K24+L24), )</f>
        <v>0</v>
      </c>
      <c r="W24" s="123" t="n">
        <f aca="false">IFERROR(M24/(M24+N24), )</f>
        <v>0</v>
      </c>
      <c r="X24" s="123" t="n">
        <f aca="false">IFERROR(O24/(O24+P24), )</f>
        <v>0</v>
      </c>
      <c r="Y24" s="123" t="n">
        <f aca="false">IFERROR(Q24/(Q24+R24), )</f>
        <v>0</v>
      </c>
      <c r="Z24" s="124" t="n">
        <f aca="false">SUMIFS('Все игры'!AY$3:AY892,'Все игры'!AV$3:AV892,A24)</f>
        <v>0</v>
      </c>
      <c r="AA24" s="124" t="n">
        <f aca="false">SUMIFS('Все игры'!AY$3:AY892,'Все игры'!AV$3:AV892,A24,'Все игры'!AW$3:AW892,"Мафия")</f>
        <v>0</v>
      </c>
      <c r="AB24" s="124" t="n">
        <f aca="false">SUMIFS('Все игры'!AY$3:AY892,'Все игры'!AV$3:AV892,A24,'Все игры'!AW$3:AW892,"Шериф")</f>
        <v>0</v>
      </c>
      <c r="AC24" s="124" t="n">
        <f aca="false">SUMIFS('Все игры'!AY$3:AY892,'Все игры'!AV$3:AV892,A24,'Все игры'!AW$3:AW892,"Дон")</f>
        <v>0</v>
      </c>
      <c r="AD24" s="124" t="n">
        <f aca="false">SUMIFS('Все игры'!AY$3:AY892,'Все игры'!AV$3:AV892,A24,'Все игры'!AW$3:AW892,"Мирный")</f>
        <v>0</v>
      </c>
      <c r="AE24" s="124" t="n">
        <f aca="false">IFERROR(Z24/B24,0)</f>
        <v>0</v>
      </c>
      <c r="AF24" s="124" t="n">
        <f aca="false">IFERROR(AA24/(K24+L24),0)</f>
        <v>0</v>
      </c>
      <c r="AG24" s="124" t="n">
        <f aca="false">IFERROR(AB24/(M24+N24),0)</f>
        <v>0</v>
      </c>
      <c r="AH24" s="124" t="n">
        <f aca="false">IFERROR(AC24/(O24+P24),0)</f>
        <v>0</v>
      </c>
      <c r="AI24" s="124" t="n">
        <f aca="false">IFERROR(AD24/(Q24+R24),0)</f>
        <v>0</v>
      </c>
    </row>
    <row r="25" customFormat="false" ht="15.75" hidden="false" customHeight="false" outlineLevel="0" collapsed="false">
      <c r="A25" s="78" t="str">
        <v>Луна</v>
      </c>
      <c r="B25" s="120" t="n">
        <f aca="false">SUM(I25:J25)</f>
        <v>6</v>
      </c>
      <c r="C25" s="4" t="str">
        <f aca="false">IF(COUNTIFS('Все игры'!AV$3:AV892,A25,'Все игры'!BA$3:BA892,"=1")=0, "", COUNTIFS('Все игры'!AV$3:AV892,A25,'Все игры'!BA$3:BA892,"=1"))</f>
        <v/>
      </c>
      <c r="D25" s="76" t="str">
        <f aca="false">IF(COUNTIFS('Все игры'!AV$3:AV892,A25,'Все игры'!BA$3:BA892,"=0,50")=0, "", COUNTIFS('Все игры'!AV$3:AV892,A25,'Все игры'!BA$3:BA892,"=0,50"))</f>
        <v/>
      </c>
      <c r="E25" s="76" t="str">
        <f aca="false">IF(COUNTIFS('Все игры'!AV$3:AV892,A25,'Все игры'!AZ$3:AZ892,"ПУ")=0, "", COUNTIFS('Все игры'!AV$3:AV892,A25,'Все игры'!AZ$3:AZ892,"ПУ"))</f>
        <v/>
      </c>
      <c r="F25" s="121" t="n">
        <f aca="false">IFERROR(E25/I25,0)</f>
        <v>0</v>
      </c>
      <c r="G25" s="76" t="str">
        <f aca="false">IF(COUNTIFS('Все игры'!AV$3:AV892,A25,'Все игры'!AZ$3:AZ892,"У/Победа")=0, "",COUNTIFS('Все игры'!AV$3:AV892,A25,'Все игры'!AZ$3:AZ892,"У/Победа") )</f>
        <v/>
      </c>
      <c r="H25" s="76" t="str">
        <f aca="false">IF(COUNTIFS('Все игры'!AV$3:AV892,A25,'Все игры'!AZ$3:AZ892,"У/Проигрыш")=0, "",COUNTIFS('Все игры'!AV$3:AV892,A25,'Все игры'!AZ$3:AZ892,"У/Проигрыш") )</f>
        <v/>
      </c>
      <c r="I25" s="120" t="n">
        <f aca="false">M25+N25+Q25+R25</f>
        <v>4</v>
      </c>
      <c r="J25" s="120" t="n">
        <f aca="false">K25+L25+O25+P25</f>
        <v>2</v>
      </c>
      <c r="K25" s="120" t="n">
        <f aca="false">COUNTIFS('Все игры'!AV$3:AV892,A25,'Все игры'!AX$3:AX892,"&gt;0",'Все игры'!AW$3:AW892,"Мафия")</f>
        <v>0</v>
      </c>
      <c r="L25" s="120" t="n">
        <f aca="false">IFERROR(__xludf.dummyfunction("COUNTBLANK(FILTER('Все игры'!AV$3:AX892,'Все игры'!AV$3:AV892=A25,'Все игры'!AX$3:AX892 &lt; 1,'Все игры'!AW$3:AW892=""Мафия""))"),1)</f>
        <v>1</v>
      </c>
      <c r="M25" s="120" t="n">
        <f aca="false">COUNTIFS('Все игры'!AV$3:AV892,A25,'Все игры'!AX$3:AX892,"&gt;0",'Все игры'!AW$3:AW892,"Шериф")</f>
        <v>0</v>
      </c>
      <c r="N25" s="120" t="n">
        <f aca="false">IFERROR(__xludf.dummyfunction("COUNTBLANK(FILTER('Все игры'!AV$3:AX892,'Все игры'!AV$3:AV892=A25,'Все игры'!AX$3:AX892 &lt; 1,'Все игры'!AW$3:AW892=""Шериф""))"),0)</f>
        <v>0</v>
      </c>
      <c r="O25" s="120" t="n">
        <f aca="false">COUNTIFS('Все игры'!AV$3:AV892,A25,'Все игры'!AX$3:AX892,"&gt;0",'Все игры'!AW$3:AW892,"Дон")</f>
        <v>0</v>
      </c>
      <c r="P25" s="122" t="n">
        <f aca="false">IFERROR(__xludf.dummyfunction("COUNTBLANK(FILTER('Все игры'!AV$3:AX892,'Все игры'!AV$3:AV892=A25,'Все игры'!AX$3:AX892 &lt; 1,'Все игры'!AW$3:AW892=""Дон""))"),1)</f>
        <v>1</v>
      </c>
      <c r="Q25" s="120" t="n">
        <f aca="false">COUNTIFS('Все игры'!AV$3:AV892,A25,'Все игры'!AX$3:AX892,"&gt;0",'Все игры'!AW$3:AW892,"Мирный")</f>
        <v>0</v>
      </c>
      <c r="R25" s="120" t="n">
        <f aca="false">IFERROR(__xludf.dummyfunction("COUNTBLANK(FILTER('Все игры'!AV$3:AX892,'Все игры'!AV$3:AV892=A25,'Все игры'!AX$3:AX892 &lt; 1,'Все игры'!AW$3:AW892=""Мирный""))"),4)</f>
        <v>4</v>
      </c>
      <c r="S25" s="123" t="n">
        <f aca="false">IFERROR((K25+M25+O25+Q25)/(I25+J25), )</f>
        <v>0</v>
      </c>
      <c r="T25" s="123" t="n">
        <f aca="false">IFERROR((M25+Q25)/I25, )</f>
        <v>0</v>
      </c>
      <c r="U25" s="123" t="n">
        <f aca="false">IFERROR((K25+O25)/J25, )</f>
        <v>0</v>
      </c>
      <c r="V25" s="123" t="n">
        <f aca="false">IFERROR(K25/(K25+L25), )</f>
        <v>0</v>
      </c>
      <c r="W25" s="123" t="n">
        <f aca="false">IFERROR(M25/(M25+N25), )</f>
        <v>0</v>
      </c>
      <c r="X25" s="123" t="n">
        <f aca="false">IFERROR(O25/(O25+P25), )</f>
        <v>0</v>
      </c>
      <c r="Y25" s="123" t="n">
        <f aca="false">IFERROR(Q25/(Q25+R25), )</f>
        <v>0</v>
      </c>
      <c r="Z25" s="124" t="n">
        <f aca="false">SUMIFS('Все игры'!AY$3:AY892,'Все игры'!AV$3:AV892,A25)</f>
        <v>0</v>
      </c>
      <c r="AA25" s="124" t="n">
        <f aca="false">SUMIFS('Все игры'!AY$3:AY892,'Все игры'!AV$3:AV892,A25,'Все игры'!AW$3:AW892,"Мафия")</f>
        <v>0</v>
      </c>
      <c r="AB25" s="124" t="n">
        <f aca="false">SUMIFS('Все игры'!AY$3:AY892,'Все игры'!AV$3:AV892,A25,'Все игры'!AW$3:AW892,"Шериф")</f>
        <v>0</v>
      </c>
      <c r="AC25" s="124" t="n">
        <f aca="false">SUMIFS('Все игры'!AY$3:AY892,'Все игры'!AV$3:AV892,A25,'Все игры'!AW$3:AW892,"Дон")</f>
        <v>0</v>
      </c>
      <c r="AD25" s="124" t="n">
        <f aca="false">SUMIFS('Все игры'!AY$3:AY892,'Все игры'!AV$3:AV892,A25,'Все игры'!AW$3:AW892,"Мирный")</f>
        <v>0</v>
      </c>
      <c r="AE25" s="124" t="n">
        <f aca="false">IFERROR(Z25/B25,0)</f>
        <v>0</v>
      </c>
      <c r="AF25" s="124" t="n">
        <f aca="false">IFERROR(AA25/(K25+L25),0)</f>
        <v>0</v>
      </c>
      <c r="AG25" s="124" t="n">
        <f aca="false">IFERROR(AB25/(M25+N25),0)</f>
        <v>0</v>
      </c>
      <c r="AH25" s="124" t="n">
        <f aca="false">IFERROR(AC25/(O25+P25),0)</f>
        <v>0</v>
      </c>
      <c r="AI25" s="124" t="n">
        <f aca="false">IFERROR(AD25/(Q25+R25),0)</f>
        <v>0</v>
      </c>
    </row>
    <row r="26" customFormat="false" ht="15.75" hidden="false" customHeight="false" outlineLevel="0" collapsed="false">
      <c r="A26" s="78" t="str">
        <v>Бастурма</v>
      </c>
      <c r="B26" s="120" t="n">
        <f aca="false">SUM(I26:J26)</f>
        <v>5</v>
      </c>
      <c r="C26" s="4" t="str">
        <f aca="false">IF(COUNTIFS('Все игры'!AV$3:AV892,A26,'Все игры'!BA$3:BA892,"=1")=0, "", COUNTIFS('Все игры'!AV$3:AV892,A26,'Все игры'!BA$3:BA892,"=1"))</f>
        <v/>
      </c>
      <c r="D26" s="76" t="str">
        <f aca="false">IF(COUNTIFS('Все игры'!AV$3:AV892,A26,'Все игры'!BA$3:BA892,"=0,50")=0, "", COUNTIFS('Все игры'!AV$3:AV892,A26,'Все игры'!BA$3:BA892,"=0,50"))</f>
        <v/>
      </c>
      <c r="E26" s="76" t="str">
        <f aca="false">IF(COUNTIFS('Все игры'!AV$3:AV892,A26,'Все игры'!AZ$3:AZ892,"ПУ")=0, "", COUNTIFS('Все игры'!AV$3:AV892,A26,'Все игры'!AZ$3:AZ892,"ПУ"))</f>
        <v/>
      </c>
      <c r="F26" s="121" t="n">
        <f aca="false">IFERROR(E26/I26,0)</f>
        <v>0</v>
      </c>
      <c r="G26" s="76" t="str">
        <f aca="false">IF(COUNTIFS('Все игры'!AV$3:AV892,A26,'Все игры'!AZ$3:AZ892,"У/Победа")=0, "",COUNTIFS('Все игры'!AV$3:AV892,A26,'Все игры'!AZ$3:AZ892,"У/Победа") )</f>
        <v/>
      </c>
      <c r="H26" s="76" t="str">
        <f aca="false">IF(COUNTIFS('Все игры'!AV$3:AV892,A26,'Все игры'!AZ$3:AZ892,"У/Проигрыш")=0, "",COUNTIFS('Все игры'!AV$3:AV892,A26,'Все игры'!AZ$3:AZ892,"У/Проигрыш") )</f>
        <v/>
      </c>
      <c r="I26" s="120" t="n">
        <f aca="false">M26+N26+Q26+R26</f>
        <v>4</v>
      </c>
      <c r="J26" s="120" t="n">
        <f aca="false">K26+L26+O26+P26</f>
        <v>1</v>
      </c>
      <c r="K26" s="120" t="n">
        <f aca="false">COUNTIFS('Все игры'!AV$3:AV892,A26,'Все игры'!AX$3:AX892,"&gt;0",'Все игры'!AW$3:AW892,"Мафия")</f>
        <v>0</v>
      </c>
      <c r="L26" s="120" t="n">
        <f aca="false">IFERROR(__xludf.dummyfunction("COUNTBLANK(FILTER('Все игры'!AV$3:AX892,'Все игры'!AV$3:AV892=A26,'Все игры'!AX$3:AX892 &lt; 1,'Все игры'!AW$3:AW892=""Мафия""))"),0)</f>
        <v>0</v>
      </c>
      <c r="M26" s="120" t="n">
        <f aca="false">COUNTIFS('Все игры'!AV$3:AV892,A26,'Все игры'!AX$3:AX892,"&gt;0",'Все игры'!AW$3:AW892,"Шериф")</f>
        <v>0</v>
      </c>
      <c r="N26" s="120" t="n">
        <f aca="false">IFERROR(__xludf.dummyfunction("COUNTBLANK(FILTER('Все игры'!AV$3:AX892,'Все игры'!AV$3:AV892=A26,'Все игры'!AX$3:AX892 &lt; 1,'Все игры'!AW$3:AW892=""Шериф""))"),0)</f>
        <v>0</v>
      </c>
      <c r="O26" s="120" t="n">
        <f aca="false">COUNTIFS('Все игры'!AV$3:AV892,A26,'Все игры'!AX$3:AX892,"&gt;0",'Все игры'!AW$3:AW892,"Дон")</f>
        <v>0</v>
      </c>
      <c r="P26" s="122" t="n">
        <f aca="false">IFERROR(__xludf.dummyfunction("COUNTBLANK(FILTER('Все игры'!AV$3:AX892,'Все игры'!AV$3:AV892=A26,'Все игры'!AX$3:AX892 &lt; 1,'Все игры'!AW$3:AW892=""Дон""))"),1)</f>
        <v>1</v>
      </c>
      <c r="Q26" s="120" t="n">
        <f aca="false">COUNTIFS('Все игры'!AV$3:AV892,A26,'Все игры'!AX$3:AX892,"&gt;0",'Все игры'!AW$3:AW892,"Мирный")</f>
        <v>0</v>
      </c>
      <c r="R26" s="120" t="n">
        <f aca="false">IFERROR(__xludf.dummyfunction("COUNTBLANK(FILTER('Все игры'!AV$3:AX892,'Все игры'!AV$3:AV892=A26,'Все игры'!AX$3:AX892 &lt; 1,'Все игры'!AW$3:AW892=""Мирный""))"),4)</f>
        <v>4</v>
      </c>
      <c r="S26" s="123" t="n">
        <f aca="false">IFERROR((K26+M26+O26+Q26)/(I26+J26), )</f>
        <v>0</v>
      </c>
      <c r="T26" s="123" t="n">
        <f aca="false">IFERROR((M26+Q26)/I26, )</f>
        <v>0</v>
      </c>
      <c r="U26" s="123" t="n">
        <f aca="false">IFERROR((K26+O26)/J26, )</f>
        <v>0</v>
      </c>
      <c r="V26" s="123" t="n">
        <f aca="false">IFERROR(K26/(K26+L26), )</f>
        <v>0</v>
      </c>
      <c r="W26" s="123" t="n">
        <f aca="false">IFERROR(M26/(M26+N26), )</f>
        <v>0</v>
      </c>
      <c r="X26" s="123" t="n">
        <f aca="false">IFERROR(O26/(O26+P26), )</f>
        <v>0</v>
      </c>
      <c r="Y26" s="123" t="n">
        <f aca="false">IFERROR(Q26/(Q26+R26), )</f>
        <v>0</v>
      </c>
      <c r="Z26" s="124" t="n">
        <f aca="false">SUMIFS('Все игры'!AY$3:AY892,'Все игры'!AV$3:AV892,A26)</f>
        <v>0</v>
      </c>
      <c r="AA26" s="124" t="n">
        <f aca="false">SUMIFS('Все игры'!AY$3:AY892,'Все игры'!AV$3:AV892,A26,'Все игры'!AW$3:AW892,"Мафия")</f>
        <v>0</v>
      </c>
      <c r="AB26" s="124" t="n">
        <f aca="false">SUMIFS('Все игры'!AY$3:AY892,'Все игры'!AV$3:AV892,A26,'Все игры'!AW$3:AW892,"Шериф")</f>
        <v>0</v>
      </c>
      <c r="AC26" s="124" t="n">
        <f aca="false">SUMIFS('Все игры'!AY$3:AY892,'Все игры'!AV$3:AV892,A26,'Все игры'!AW$3:AW892,"Дон")</f>
        <v>0</v>
      </c>
      <c r="AD26" s="124" t="n">
        <f aca="false">SUMIFS('Все игры'!AY$3:AY892,'Все игры'!AV$3:AV892,A26,'Все игры'!AW$3:AW892,"Мирный")</f>
        <v>0</v>
      </c>
      <c r="AE26" s="124" t="n">
        <f aca="false">IFERROR(Z26/B26,0)</f>
        <v>0</v>
      </c>
      <c r="AF26" s="124" t="n">
        <f aca="false">IFERROR(AA26/(K26+L26),0)</f>
        <v>0</v>
      </c>
      <c r="AG26" s="124" t="n">
        <f aca="false">IFERROR(AB26/(M26+N26),0)</f>
        <v>0</v>
      </c>
      <c r="AH26" s="124" t="n">
        <f aca="false">IFERROR(AC26/(O26+P26),0)</f>
        <v>0</v>
      </c>
      <c r="AI26" s="124" t="n">
        <f aca="false">IFERROR(AD26/(Q26+R26),0)</f>
        <v>0</v>
      </c>
    </row>
    <row r="27" customFormat="false" ht="15.75" hidden="false" customHeight="false" outlineLevel="0" collapsed="false">
      <c r="A27" s="78" t="str">
        <v>Никнейм</v>
      </c>
      <c r="B27" s="120" t="n">
        <f aca="false">SUM(I27:J27)</f>
        <v>3</v>
      </c>
      <c r="C27" s="4" t="str">
        <f aca="false">IF(COUNTIFS('Все игры'!AV$3:AV892,A27,'Все игры'!BA$3:BA892,"=1")=0, "", COUNTIFS('Все игры'!AV$3:AV892,A27,'Все игры'!BA$3:BA892,"=1"))</f>
        <v/>
      </c>
      <c r="D27" s="76" t="str">
        <f aca="false">IF(COUNTIFS('Все игры'!AV$3:AV892,A27,'Все игры'!BA$3:BA892,"=0,50")=0, "", COUNTIFS('Все игры'!AV$3:AV892,A27,'Все игры'!BA$3:BA892,"=0,50"))</f>
        <v/>
      </c>
      <c r="E27" s="76" t="str">
        <f aca="false">IF(COUNTIFS('Все игры'!AV$3:AV892,A27,'Все игры'!AZ$3:AZ892,"ПУ")=0, "", COUNTIFS('Все игры'!AV$3:AV892,A27,'Все игры'!AZ$3:AZ892,"ПУ"))</f>
        <v/>
      </c>
      <c r="F27" s="121" t="n">
        <f aca="false">IFERROR(E27/I27,0)</f>
        <v>0</v>
      </c>
      <c r="G27" s="76" t="str">
        <f aca="false">IF(COUNTIFS('Все игры'!AV$3:AV892,A27,'Все игры'!AZ$3:AZ892,"У/Победа")=0, "",COUNTIFS('Все игры'!AV$3:AV892,A27,'Все игры'!AZ$3:AZ892,"У/Победа") )</f>
        <v/>
      </c>
      <c r="H27" s="76" t="str">
        <f aca="false">IF(COUNTIFS('Все игры'!AV$3:AV892,A27,'Все игры'!AZ$3:AZ892,"У/Проигрыш")=0, "",COUNTIFS('Все игры'!AV$3:AV892,A27,'Все игры'!AZ$3:AZ892,"У/Проигрыш") )</f>
        <v/>
      </c>
      <c r="I27" s="120" t="n">
        <f aca="false">M27+N27+Q27+R27</f>
        <v>2</v>
      </c>
      <c r="J27" s="120" t="n">
        <f aca="false">K27+L27+O27+P27</f>
        <v>1</v>
      </c>
      <c r="K27" s="120" t="n">
        <f aca="false">COUNTIFS('Все игры'!AV$3:AV892,A27,'Все игры'!AX$3:AX892,"&gt;0",'Все игры'!AW$3:AW892,"Мафия")</f>
        <v>0</v>
      </c>
      <c r="L27" s="120" t="n">
        <f aca="false">IFERROR(__xludf.dummyfunction("COUNTBLANK(FILTER('Все игры'!AV$3:AX892,'Все игры'!AV$3:AV892=A27,'Все игры'!AX$3:AX892 &lt; 1,'Все игры'!AW$3:AW892=""Мафия""))"),1)</f>
        <v>1</v>
      </c>
      <c r="M27" s="120" t="n">
        <f aca="false">COUNTIFS('Все игры'!AV$3:AV892,A27,'Все игры'!AX$3:AX892,"&gt;0",'Все игры'!AW$3:AW892,"Шериф")</f>
        <v>0</v>
      </c>
      <c r="N27" s="120" t="n">
        <f aca="false">IFERROR(__xludf.dummyfunction("COUNTBLANK(FILTER('Все игры'!AV$3:AX892,'Все игры'!AV$3:AV892=A27,'Все игры'!AX$3:AX892 &lt; 1,'Все игры'!AW$3:AW892=""Шериф""))"),0)</f>
        <v>0</v>
      </c>
      <c r="O27" s="120" t="n">
        <f aca="false">COUNTIFS('Все игры'!AV$3:AV892,A27,'Все игры'!AX$3:AX892,"&gt;0",'Все игры'!AW$3:AW892,"Дон")</f>
        <v>0</v>
      </c>
      <c r="P27" s="122" t="n">
        <f aca="false">IFERROR(__xludf.dummyfunction("COUNTBLANK(FILTER('Все игры'!AV$3:AX892,'Все игры'!AV$3:AV892=A27,'Все игры'!AX$3:AX892 &lt; 1,'Все игры'!AW$3:AW892=""Дон""))"),0)</f>
        <v>0</v>
      </c>
      <c r="Q27" s="120" t="n">
        <f aca="false">COUNTIFS('Все игры'!AV$3:AV892,A27,'Все игры'!AX$3:AX892,"&gt;0",'Все игры'!AW$3:AW892,"Мирный")</f>
        <v>0</v>
      </c>
      <c r="R27" s="120" t="n">
        <f aca="false">IFERROR(__xludf.dummyfunction("COUNTBLANK(FILTER('Все игры'!AV$3:AX892,'Все игры'!AV$3:AV892=A27,'Все игры'!AX$3:AX892 &lt; 1,'Все игры'!AW$3:AW892=""Мирный""))"),2)</f>
        <v>2</v>
      </c>
      <c r="S27" s="123" t="n">
        <f aca="false">IFERROR((K27+M27+O27+Q27)/(I27+J27), )</f>
        <v>0</v>
      </c>
      <c r="T27" s="123" t="n">
        <f aca="false">IFERROR((M27+Q27)/I27, )</f>
        <v>0</v>
      </c>
      <c r="U27" s="123" t="n">
        <f aca="false">IFERROR((K27+O27)/J27, )</f>
        <v>0</v>
      </c>
      <c r="V27" s="123" t="n">
        <f aca="false">IFERROR(K27/(K27+L27), )</f>
        <v>0</v>
      </c>
      <c r="W27" s="123" t="n">
        <f aca="false">IFERROR(M27/(M27+N27), )</f>
        <v>0</v>
      </c>
      <c r="X27" s="123" t="n">
        <f aca="false">IFERROR(O27/(O27+P27), )</f>
        <v>0</v>
      </c>
      <c r="Y27" s="123" t="n">
        <f aca="false">IFERROR(Q27/(Q27+R27), )</f>
        <v>0</v>
      </c>
      <c r="Z27" s="124" t="n">
        <f aca="false">SUMIFS('Все игры'!AY$3:AY892,'Все игры'!AV$3:AV892,A27)</f>
        <v>0</v>
      </c>
      <c r="AA27" s="124" t="n">
        <f aca="false">SUMIFS('Все игры'!AY$3:AY892,'Все игры'!AV$3:AV892,A27,'Все игры'!AW$3:AW892,"Мафия")</f>
        <v>0</v>
      </c>
      <c r="AB27" s="124" t="n">
        <f aca="false">SUMIFS('Все игры'!AY$3:AY892,'Все игры'!AV$3:AV892,A27,'Все игры'!AW$3:AW892,"Шериф")</f>
        <v>0</v>
      </c>
      <c r="AC27" s="124" t="n">
        <f aca="false">SUMIFS('Все игры'!AY$3:AY892,'Все игры'!AV$3:AV892,A27,'Все игры'!AW$3:AW892,"Дон")</f>
        <v>0</v>
      </c>
      <c r="AD27" s="124" t="n">
        <f aca="false">SUMIFS('Все игры'!AY$3:AY892,'Все игры'!AV$3:AV892,A27,'Все игры'!AW$3:AW892,"Мирный")</f>
        <v>0</v>
      </c>
      <c r="AE27" s="124" t="n">
        <f aca="false">IFERROR(Z27/B27,0)</f>
        <v>0</v>
      </c>
      <c r="AF27" s="124" t="n">
        <f aca="false">IFERROR(AA27/(K27+L27),0)</f>
        <v>0</v>
      </c>
      <c r="AG27" s="124" t="n">
        <f aca="false">IFERROR(AB27/(M27+N27),0)</f>
        <v>0</v>
      </c>
      <c r="AH27" s="124" t="n">
        <f aca="false">IFERROR(AC27/(O27+P27),0)</f>
        <v>0</v>
      </c>
      <c r="AI27" s="124" t="n">
        <f aca="false">IFERROR(AD27/(Q27+R27),0)</f>
        <v>0</v>
      </c>
    </row>
    <row r="29" customFormat="false" ht="15.75" hidden="false" customHeight="false" outlineLevel="0" collapsed="false">
      <c r="A29" s="102" t="s">
        <v>130</v>
      </c>
    </row>
    <row r="30" customFormat="false" ht="15.75" hidden="false" customHeight="false" outlineLevel="0" collapsed="false">
      <c r="A30" s="103" t="s">
        <v>95</v>
      </c>
      <c r="B30" s="104" t="s">
        <v>96</v>
      </c>
      <c r="C30" s="105" t="s">
        <v>97</v>
      </c>
      <c r="D30" s="105" t="s">
        <v>98</v>
      </c>
      <c r="E30" s="105" t="s">
        <v>29</v>
      </c>
      <c r="F30" s="105" t="s">
        <v>99</v>
      </c>
      <c r="G30" s="106" t="s">
        <v>100</v>
      </c>
      <c r="H30" s="107" t="s">
        <v>101</v>
      </c>
      <c r="I30" s="108" t="s">
        <v>102</v>
      </c>
      <c r="J30" s="109" t="s">
        <v>103</v>
      </c>
      <c r="K30" s="110" t="s">
        <v>104</v>
      </c>
      <c r="L30" s="110" t="s">
        <v>105</v>
      </c>
      <c r="M30" s="111" t="s">
        <v>106</v>
      </c>
      <c r="N30" s="111" t="s">
        <v>107</v>
      </c>
      <c r="O30" s="109" t="s">
        <v>108</v>
      </c>
      <c r="P30" s="109" t="s">
        <v>109</v>
      </c>
      <c r="Q30" s="112" t="s">
        <v>110</v>
      </c>
      <c r="R30" s="112" t="s">
        <v>111</v>
      </c>
      <c r="S30" s="113" t="s">
        <v>112</v>
      </c>
      <c r="T30" s="113" t="s">
        <v>113</v>
      </c>
      <c r="U30" s="113" t="s">
        <v>114</v>
      </c>
      <c r="V30" s="110" t="s">
        <v>115</v>
      </c>
      <c r="W30" s="111" t="s">
        <v>116</v>
      </c>
      <c r="X30" s="109" t="s">
        <v>117</v>
      </c>
      <c r="Y30" s="112" t="s">
        <v>118</v>
      </c>
      <c r="Z30" s="113" t="s">
        <v>119</v>
      </c>
      <c r="AA30" s="114" t="s">
        <v>120</v>
      </c>
      <c r="AB30" s="115" t="s">
        <v>121</v>
      </c>
      <c r="AC30" s="116" t="s">
        <v>122</v>
      </c>
      <c r="AD30" s="117" t="s">
        <v>123</v>
      </c>
      <c r="AE30" s="113" t="s">
        <v>124</v>
      </c>
      <c r="AF30" s="114" t="s">
        <v>125</v>
      </c>
      <c r="AG30" s="111" t="s">
        <v>126</v>
      </c>
      <c r="AH30" s="116" t="s">
        <v>127</v>
      </c>
      <c r="AI30" s="118" t="s">
        <v>128</v>
      </c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</row>
    <row r="31" customFormat="false" ht="15.75" hidden="false" customHeight="false" outlineLevel="0" collapsed="false">
      <c r="A31" s="78" t="str">
        <f aca="false" t="array" ref="A31:A40">Финал!B6:B15</f>
        <v>Тихий Закат</v>
      </c>
      <c r="B31" s="120" t="n">
        <f aca="false">SUM(I31:J31)</f>
        <v>9</v>
      </c>
      <c r="C31" s="4" t="str">
        <f aca="false">IF(COUNTIFS('Все игры'!BD$3:BD892,A31,'Все игры'!BI$3:BI892,"=1")=0, "", COUNTIFS('Все игры'!BD$3:BD892,A31,'Все игры'!BI$3:BI892,"=1"))</f>
        <v/>
      </c>
      <c r="D31" s="76" t="str">
        <f aca="false">IF(COUNTIFS('Все игры'!BD$3:BD892,A31,'Все игры'!BI$3:BI892,"=0,50")=0, "", COUNTIFS('Все игры'!BD$3:BD892,A31,'Все игры'!BI$3:BI892,"=0,50"))</f>
        <v/>
      </c>
      <c r="E31" s="76" t="str">
        <f aca="false">IF(COUNTIFS('Все игры'!BD$3:BD892,A31,'Все игры'!BH$3:BH892,"ПУ")=0, "", COUNTIFS('Все игры'!BD$3:BD892,A31,'Все игры'!BH$3:BH892,"ПУ"))</f>
        <v/>
      </c>
      <c r="F31" s="121" t="n">
        <f aca="false">IFERROR(E31/I31,0)</f>
        <v>0</v>
      </c>
      <c r="G31" s="76" t="str">
        <f aca="false">IF(COUNTIFS('Все игры'!BD$3:BD892,A31,'Все игры'!BH$3:BH892,"У/Победа")=0, "",COUNTIFS('Все игры'!BD$3:BD892,A31,'Все игры'!BH$3:BH892,"У/Победа") )</f>
        <v/>
      </c>
      <c r="H31" s="76" t="str">
        <f aca="false">IF(COUNTIFS('Все игры'!BD$3:BD892,A31,'Все игры'!BH$3:BH892,"У/Проигрыш")=0, "",COUNTIFS('Все игры'!BD$3:BD892,A31,'Все игры'!BH$3:BH892,"У/Проигрыш") )</f>
        <v/>
      </c>
      <c r="I31" s="120" t="n">
        <f aca="false">M31+N31+Q31+R31</f>
        <v>9</v>
      </c>
      <c r="J31" s="120" t="n">
        <f aca="false">K31+L31+O31+P31</f>
        <v>0</v>
      </c>
      <c r="K31" s="120" t="n">
        <f aca="false">COUNTIFS('Все игры'!BD$3:BD892,A31,'Все игры'!BF$3:BF892,"&gt;0",'Все игры'!BE$3:BE892,"Мафия")</f>
        <v>0</v>
      </c>
      <c r="L31" s="120" t="n">
        <f aca="false">IFERROR(__xludf.dummyfunction("COUNTBLANK(FILTER('Все игры'!BD$3:BF892,'Все игры'!BD$3:BD892=A31,'Все игры'!BF$3:BF892 &lt; 1,'Все игры'!BE$3:BE892=""Мафия""))"),0)</f>
        <v>0</v>
      </c>
      <c r="M31" s="120" t="n">
        <f aca="false">COUNTIFS('Все игры'!BD$3:BD892,A31,'Все игры'!BF$3:BF892,"&gt;0",'Все игры'!BE$3:BE892,"Шериф")</f>
        <v>0</v>
      </c>
      <c r="N31" s="120" t="n">
        <f aca="false">IFERROR(__xludf.dummyfunction("COUNTBLANK(FILTER('Все игры'!BD$3:BF892,'Все игры'!BD$3:BD892=A31,'Все игры'!BF$3:BF892 &lt; 1,'Все игры'!BE$3:BE892=""Шериф""))"),2)</f>
        <v>2</v>
      </c>
      <c r="O31" s="120" t="n">
        <f aca="false">COUNTIFS('Все игры'!BD$3:BD892,A31,'Все игры'!BF$3:BF892,"&gt;0",'Все игры'!BE$3:BE892,"Дон")</f>
        <v>0</v>
      </c>
      <c r="P31" s="122" t="n">
        <f aca="false">IFERROR(__xludf.dummyfunction("COUNTBLANK(FILTER('Все игры'!BD$3:BF892,'Все игры'!BD$3:BD892=A31,'Все игры'!BF$3:BF892 &lt; 1,'Все игры'!BE$3:BE892=""Дон""))"),0)</f>
        <v>0</v>
      </c>
      <c r="Q31" s="120" t="n">
        <f aca="false">COUNTIFS('Все игры'!BD$3:BD892,A31,'Все игры'!BF$3:BF892,"&gt;0",'Все игры'!BE$3:BE892,"Мирный")</f>
        <v>0</v>
      </c>
      <c r="R31" s="120" t="n">
        <f aca="false">IFERROR(__xludf.dummyfunction("COUNTBLANK(FILTER('Все игры'!BF$3:BF892,'Все игры'!BD$3:BD892=A31,'Все игры'!BF$3:BF892 &lt; 1,'Все игры'!BE$3:BE892=""Мирный""))"),7)</f>
        <v>7</v>
      </c>
      <c r="S31" s="123" t="n">
        <f aca="false">IFERROR((K31+M31+O31+Q31)/(I31+J31), )</f>
        <v>0</v>
      </c>
      <c r="T31" s="123" t="n">
        <f aca="false">IFERROR((M31+Q31)/I31, )</f>
        <v>0</v>
      </c>
      <c r="U31" s="123" t="n">
        <f aca="false">IFERROR((K31+O31)/J31, )</f>
        <v>0</v>
      </c>
      <c r="V31" s="123" t="n">
        <f aca="false">IFERROR(K31/(K31+L31), )</f>
        <v>0</v>
      </c>
      <c r="W31" s="123" t="n">
        <f aca="false">IFERROR(M31/(M31+N31), )</f>
        <v>0</v>
      </c>
      <c r="X31" s="123" t="n">
        <f aca="false">IFERROR(O31/(O31+P31), )</f>
        <v>0</v>
      </c>
      <c r="Y31" s="123" t="n">
        <f aca="false">IFERROR(Q31/(Q31+R31), )</f>
        <v>0</v>
      </c>
      <c r="Z31" s="124" t="n">
        <f aca="false">SUMIFS('Все игры'!BG$3:BG892,'Все игры'!BD$3:BD892,A31)</f>
        <v>0</v>
      </c>
      <c r="AA31" s="124" t="n">
        <f aca="false">SUMIFS('Все игры'!BG$3:BG892,'Все игры'!BD$3:BD892,A31,'Все игры'!BE$3:BE892,"Мафия")</f>
        <v>0</v>
      </c>
      <c r="AB31" s="124" t="n">
        <f aca="false">SUMIFS('Все игры'!BG$3:BG892,'Все игры'!BD$3:BD892,A31,'Все игры'!BE$3:BE892,"Шериф")</f>
        <v>0</v>
      </c>
      <c r="AC31" s="124" t="n">
        <f aca="false">SUMIFS('Все игры'!BG$3:BG892,'Все игры'!BD$3:BD892,A31,'Все игры'!BE$3:BE892,"Дон")</f>
        <v>0</v>
      </c>
      <c r="AD31" s="124" t="n">
        <f aca="false">SUMIFS('Все игры'!BG$3:BG892,'Все игры'!BD$3:BD892,A31,'Все игры'!BE$3:BE892,"Мирный")</f>
        <v>0</v>
      </c>
      <c r="AE31" s="124" t="n">
        <f aca="false">IFERROR(Z31/B31,0)</f>
        <v>0</v>
      </c>
      <c r="AF31" s="124" t="n">
        <f aca="false">IFERROR(AA31/(K31+L31),0)</f>
        <v>0</v>
      </c>
      <c r="AG31" s="124" t="n">
        <f aca="false">IFERROR(AB31/(M31+N31),0)</f>
        <v>0</v>
      </c>
      <c r="AH31" s="124" t="n">
        <f aca="false">IFERROR(AC31/(O31+P31),0)</f>
        <v>0</v>
      </c>
      <c r="AI31" s="124" t="n">
        <f aca="false">IFERROR(AD31/(Q31+R31),0)</f>
        <v>0</v>
      </c>
    </row>
    <row r="32" customFormat="false" ht="15.75" hidden="false" customHeight="false" outlineLevel="0" collapsed="false">
      <c r="A32" s="78" t="str">
        <v>Чешир</v>
      </c>
      <c r="B32" s="120" t="n">
        <f aca="false">SUM(I32:J32)</f>
        <v>9</v>
      </c>
      <c r="C32" s="4" t="str">
        <f aca="false">IF(COUNTIFS('Все игры'!BD$3:BD892,A32,'Все игры'!BI$3:BI892,"=1")=0, "", COUNTIFS('Все игры'!BD$3:BD892,A32,'Все игры'!BI$3:BI892,"=1"))</f>
        <v/>
      </c>
      <c r="D32" s="76" t="str">
        <f aca="false">IF(COUNTIFS('Все игры'!BD$3:BD892,A32,'Все игры'!BI$3:BI892,"=0,50")=0, "", COUNTIFS('Все игры'!BD$3:BD892,A32,'Все игры'!BI$3:BI892,"=0,50"))</f>
        <v/>
      </c>
      <c r="E32" s="76" t="str">
        <f aca="false">IF(COUNTIFS('Все игры'!BD$3:BD892,A32,'Все игры'!BH$3:BH892,"ПУ")=0, "", COUNTIFS('Все игры'!BD$3:BD892,A32,'Все игры'!BH$3:BH892,"ПУ"))</f>
        <v/>
      </c>
      <c r="F32" s="121" t="n">
        <f aca="false">IFERROR(E32/I32,0)</f>
        <v>0</v>
      </c>
      <c r="G32" s="76" t="str">
        <f aca="false">IF(COUNTIFS('Все игры'!BD$3:BD892,A32,'Все игры'!BH$3:BH892,"У/Победа")=0, "",COUNTIFS('Все игры'!BD$3:BD892,A32,'Все игры'!BH$3:BH892,"У/Победа") )</f>
        <v/>
      </c>
      <c r="H32" s="76" t="str">
        <f aca="false">IF(COUNTIFS('Все игры'!BD$3:BD892,A32,'Все игры'!BH$3:BH892,"У/Проигрыш")=0, "",COUNTIFS('Все игры'!BD$3:BD892,A32,'Все игры'!BH$3:BH892,"У/Проигрыш") )</f>
        <v/>
      </c>
      <c r="I32" s="120" t="n">
        <f aca="false">M32+N32+Q32+R32</f>
        <v>6</v>
      </c>
      <c r="J32" s="120" t="n">
        <f aca="false">K32+L32+O32+P32</f>
        <v>3</v>
      </c>
      <c r="K32" s="120" t="n">
        <f aca="false">COUNTIFS('Все игры'!BD$3:BD892,A32,'Все игры'!BF$3:BF892,"&gt;0",'Все игры'!BE$3:BE892,"Мафия")</f>
        <v>0</v>
      </c>
      <c r="L32" s="120" t="n">
        <f aca="false">IFERROR(__xludf.dummyfunction("COUNTBLANK(FILTER('Все игры'!BD$3:BF892,'Все игры'!BD$3:BD892=A32,'Все игры'!BF$3:BF892 &lt; 1,'Все игры'!BE$3:BE892=""Мафия""))"),2)</f>
        <v>2</v>
      </c>
      <c r="M32" s="120" t="n">
        <f aca="false">COUNTIFS('Все игры'!BD$3:BD892,A32,'Все игры'!BF$3:BF892,"&gt;0",'Все игры'!BE$3:BE892,"Шериф")</f>
        <v>0</v>
      </c>
      <c r="N32" s="120" t="n">
        <f aca="false">IFERROR(__xludf.dummyfunction("COUNTBLANK(FILTER('Все игры'!BD$3:BF892,'Все игры'!BD$3:BD892=A32,'Все игры'!BF$3:BF892 &lt; 1,'Все игры'!BE$3:BE892=""Шериф""))"),1)</f>
        <v>1</v>
      </c>
      <c r="O32" s="120" t="n">
        <f aca="false">COUNTIFS('Все игры'!BD$3:BD892,A32,'Все игры'!BF$3:BF892,"&gt;0",'Все игры'!BE$3:BE892,"Дон")</f>
        <v>0</v>
      </c>
      <c r="P32" s="122" t="n">
        <f aca="false">IFERROR(__xludf.dummyfunction("COUNTBLANK(FILTER('Все игры'!BD$3:BF892,'Все игры'!BD$3:BD892=A32,'Все игры'!BF$3:BF892 &lt; 1,'Все игры'!BE$3:BE892=""Дон""))"),1)</f>
        <v>1</v>
      </c>
      <c r="Q32" s="120" t="n">
        <f aca="false">COUNTIFS('Все игры'!BD$3:BD892,A32,'Все игры'!BF$3:BF892,"&gt;0",'Все игры'!BE$3:BE892,"Мирный")</f>
        <v>0</v>
      </c>
      <c r="R32" s="120" t="n">
        <f aca="false">IFERROR(__xludf.dummyfunction("COUNTBLANK(FILTER('Все игры'!BF$3:BF892,'Все игры'!BD$3:BD892=A32,'Все игры'!BF$3:BF892 &lt; 1,'Все игры'!BE$3:BE892=""Мирный""))"),5)</f>
        <v>5</v>
      </c>
      <c r="S32" s="123" t="n">
        <f aca="false">IFERROR((K32+M32+O32+Q32)/(I32+J32), )</f>
        <v>0</v>
      </c>
      <c r="T32" s="123" t="n">
        <f aca="false">IFERROR((M32+Q32)/I32, )</f>
        <v>0</v>
      </c>
      <c r="U32" s="123" t="n">
        <f aca="false">IFERROR((K32+O32)/J32, )</f>
        <v>0</v>
      </c>
      <c r="V32" s="123" t="n">
        <f aca="false">IFERROR(K32/(K32+L32), )</f>
        <v>0</v>
      </c>
      <c r="W32" s="123" t="n">
        <f aca="false">IFERROR(M32/(M32+N32), )</f>
        <v>0</v>
      </c>
      <c r="X32" s="123" t="n">
        <f aca="false">IFERROR(O32/(O32+P32), )</f>
        <v>0</v>
      </c>
      <c r="Y32" s="123" t="n">
        <f aca="false">IFERROR(Q32/(Q32+R32), )</f>
        <v>0</v>
      </c>
      <c r="Z32" s="124" t="n">
        <f aca="false">SUMIFS('Все игры'!BG$3:BG892,'Все игры'!BD$3:BD892,A32)</f>
        <v>0</v>
      </c>
      <c r="AA32" s="124" t="n">
        <f aca="false">SUMIFS('Все игры'!BG$3:BG892,'Все игры'!BD$3:BD892,A32,'Все игры'!BE$3:BE892,"Мафия")</f>
        <v>0</v>
      </c>
      <c r="AB32" s="124" t="n">
        <f aca="false">SUMIFS('Все игры'!BG$3:BG892,'Все игры'!BD$3:BD892,A32,'Все игры'!BE$3:BE892,"Шериф")</f>
        <v>0</v>
      </c>
      <c r="AC32" s="124" t="n">
        <f aca="false">SUMIFS('Все игры'!BG$3:BG892,'Все игры'!BD$3:BD892,A32,'Все игры'!BE$3:BE892,"Дон")</f>
        <v>0</v>
      </c>
      <c r="AD32" s="124" t="n">
        <f aca="false">SUMIFS('Все игры'!BG$3:BG892,'Все игры'!BD$3:BD892,A32,'Все игры'!BE$3:BE892,"Мирный")</f>
        <v>0</v>
      </c>
      <c r="AE32" s="124" t="n">
        <f aca="false">IFERROR(Z32/B32,0)</f>
        <v>0</v>
      </c>
      <c r="AF32" s="124" t="n">
        <f aca="false">IFERROR(AA32/(K32+L32),0)</f>
        <v>0</v>
      </c>
      <c r="AG32" s="124" t="n">
        <f aca="false">IFERROR(AB32/(M32+N32),0)</f>
        <v>0</v>
      </c>
      <c r="AH32" s="124" t="n">
        <f aca="false">IFERROR(AC32/(O32+P32),0)</f>
        <v>0</v>
      </c>
      <c r="AI32" s="124" t="n">
        <f aca="false">IFERROR(AD32/(Q32+R32),0)</f>
        <v>0</v>
      </c>
    </row>
    <row r="33" customFormat="false" ht="15.75" hidden="false" customHeight="false" outlineLevel="0" collapsed="false">
      <c r="A33" s="78" t="str">
        <v>Зверюга</v>
      </c>
      <c r="B33" s="120" t="n">
        <f aca="false">SUM(I33:J33)</f>
        <v>8</v>
      </c>
      <c r="C33" s="4" t="str">
        <f aca="false">IF(COUNTIFS('Все игры'!BD$3:BD892,A33,'Все игры'!BI$3:BI892,"=1")=0, "", COUNTIFS('Все игры'!BD$3:BD892,A33,'Все игры'!BI$3:BI892,"=1"))</f>
        <v/>
      </c>
      <c r="D33" s="76" t="str">
        <f aca="false">IF(COUNTIFS('Все игры'!BD$3:BD892,A33,'Все игры'!BI$3:BI892,"=0,50")=0, "", COUNTIFS('Все игры'!BD$3:BD892,A33,'Все игры'!BI$3:BI892,"=0,50"))</f>
        <v/>
      </c>
      <c r="E33" s="76" t="str">
        <f aca="false">IF(COUNTIFS('Все игры'!BD$3:BD892,A33,'Все игры'!BH$3:BH892,"ПУ")=0, "", COUNTIFS('Все игры'!BD$3:BD892,A33,'Все игры'!BH$3:BH892,"ПУ"))</f>
        <v/>
      </c>
      <c r="F33" s="121" t="n">
        <f aca="false">IFERROR(E33/I33,0)</f>
        <v>0</v>
      </c>
      <c r="G33" s="76" t="str">
        <f aca="false">IF(COUNTIFS('Все игры'!BD$3:BD892,A33,'Все игры'!BH$3:BH892,"У/Победа")=0, "",COUNTIFS('Все игры'!BD$3:BD892,A33,'Все игры'!BH$3:BH892,"У/Победа") )</f>
        <v/>
      </c>
      <c r="H33" s="76" t="str">
        <f aca="false">IF(COUNTIFS('Все игры'!BD$3:BD892,A33,'Все игры'!BH$3:BH892,"У/Проигрыш")=0, "",COUNTIFS('Все игры'!BD$3:BD892,A33,'Все игры'!BH$3:BH892,"У/Проигрыш") )</f>
        <v/>
      </c>
      <c r="I33" s="120" t="n">
        <f aca="false">M33+N33+Q33+R33</f>
        <v>6</v>
      </c>
      <c r="J33" s="120" t="n">
        <f aca="false">K33+L33+O33+P33</f>
        <v>2</v>
      </c>
      <c r="K33" s="120" t="n">
        <f aca="false">COUNTIFS('Все игры'!BD$3:BD892,A33,'Все игры'!BF$3:BF892,"&gt;0",'Все игры'!BE$3:BE892,"Мафия")</f>
        <v>0</v>
      </c>
      <c r="L33" s="120" t="n">
        <f aca="false">IFERROR(__xludf.dummyfunction("COUNTBLANK(FILTER('Все игры'!BD$3:BF892,'Все игры'!BD$3:BD892=A33,'Все игры'!BF$3:BF892 &lt; 1,'Все игры'!BE$3:BE892=""Мафия""))"),1)</f>
        <v>1</v>
      </c>
      <c r="M33" s="120" t="n">
        <f aca="false">COUNTIFS('Все игры'!BD$3:BD892,A33,'Все игры'!BF$3:BF892,"&gt;0",'Все игры'!BE$3:BE892,"Шериф")</f>
        <v>0</v>
      </c>
      <c r="N33" s="120" t="n">
        <f aca="false">IFERROR(__xludf.dummyfunction("COUNTBLANK(FILTER('Все игры'!BD$3:BF892,'Все игры'!BD$3:BD892=A33,'Все игры'!BF$3:BF892 &lt; 1,'Все игры'!BE$3:BE892=""Шериф""))"),1)</f>
        <v>1</v>
      </c>
      <c r="O33" s="120" t="n">
        <f aca="false">COUNTIFS('Все игры'!BD$3:BD892,A33,'Все игры'!BF$3:BF892,"&gt;0",'Все игры'!BE$3:BE892,"Дон")</f>
        <v>0</v>
      </c>
      <c r="P33" s="122" t="n">
        <f aca="false">IFERROR(__xludf.dummyfunction("COUNTBLANK(FILTER('Все игры'!BD$3:BF892,'Все игры'!BD$3:BD892=A33,'Все игры'!BF$3:BF892 &lt; 1,'Все игры'!BE$3:BE892=""Дон""))"),1)</f>
        <v>1</v>
      </c>
      <c r="Q33" s="120" t="n">
        <f aca="false">COUNTIFS('Все игры'!BD$3:BD892,A33,'Все игры'!BF$3:BF892,"&gt;0",'Все игры'!BE$3:BE892,"Мирный")</f>
        <v>0</v>
      </c>
      <c r="R33" s="120" t="n">
        <f aca="false">IFERROR(__xludf.dummyfunction("COUNTBLANK(FILTER('Все игры'!BF$3:BF892,'Все игры'!BD$3:BD892=A33,'Все игры'!BF$3:BF892 &lt; 1,'Все игры'!BE$3:BE892=""Мирный""))"),5)</f>
        <v>5</v>
      </c>
      <c r="S33" s="123" t="n">
        <f aca="false">IFERROR((K33+M33+O33+Q33)/(I33+J33), )</f>
        <v>0</v>
      </c>
      <c r="T33" s="123" t="n">
        <f aca="false">IFERROR((M33+Q33)/I33, )</f>
        <v>0</v>
      </c>
      <c r="U33" s="123" t="n">
        <f aca="false">IFERROR((K33+O33)/J33, )</f>
        <v>0</v>
      </c>
      <c r="V33" s="123" t="n">
        <f aca="false">IFERROR(K33/(K33+L33), )</f>
        <v>0</v>
      </c>
      <c r="W33" s="123" t="n">
        <f aca="false">IFERROR(M33/(M33+N33), )</f>
        <v>0</v>
      </c>
      <c r="X33" s="123" t="n">
        <f aca="false">IFERROR(O33/(O33+P33), )</f>
        <v>0</v>
      </c>
      <c r="Y33" s="123" t="n">
        <f aca="false">IFERROR(Q33/(Q33+R33), )</f>
        <v>0</v>
      </c>
      <c r="Z33" s="124" t="n">
        <f aca="false">SUMIFS('Все игры'!BG$3:BG892,'Все игры'!BD$3:BD892,A33)</f>
        <v>0</v>
      </c>
      <c r="AA33" s="124" t="n">
        <f aca="false">SUMIFS('Все игры'!BG$3:BG892,'Все игры'!BD$3:BD892,A33,'Все игры'!BE$3:BE892,"Мафия")</f>
        <v>0</v>
      </c>
      <c r="AB33" s="124" t="n">
        <f aca="false">SUMIFS('Все игры'!BG$3:BG892,'Все игры'!BD$3:BD892,A33,'Все игры'!BE$3:BE892,"Шериф")</f>
        <v>0</v>
      </c>
      <c r="AC33" s="124" t="n">
        <f aca="false">SUMIFS('Все игры'!BG$3:BG892,'Все игры'!BD$3:BD892,A33,'Все игры'!BE$3:BE892,"Дон")</f>
        <v>0</v>
      </c>
      <c r="AD33" s="124" t="n">
        <f aca="false">SUMIFS('Все игры'!BG$3:BG892,'Все игры'!BD$3:BD892,A33,'Все игры'!BE$3:BE892,"Мирный")</f>
        <v>0</v>
      </c>
      <c r="AE33" s="124" t="n">
        <f aca="false">IFERROR(Z33/B33,0)</f>
        <v>0</v>
      </c>
      <c r="AF33" s="124" t="n">
        <f aca="false">IFERROR(AA33/(K33+L33),0)</f>
        <v>0</v>
      </c>
      <c r="AG33" s="124" t="n">
        <f aca="false">IFERROR(AB33/(M33+N33),0)</f>
        <v>0</v>
      </c>
      <c r="AH33" s="124" t="n">
        <f aca="false">IFERROR(AC33/(O33+P33),0)</f>
        <v>0</v>
      </c>
      <c r="AI33" s="124" t="n">
        <f aca="false">IFERROR(AD33/(Q33+R33),0)</f>
        <v>0</v>
      </c>
    </row>
    <row r="34" customFormat="false" ht="15.75" hidden="false" customHeight="false" outlineLevel="0" collapsed="false">
      <c r="A34" s="78" t="str">
        <v>Махинатор</v>
      </c>
      <c r="B34" s="120" t="n">
        <f aca="false">SUM(I34:J34)</f>
        <v>8</v>
      </c>
      <c r="C34" s="4" t="str">
        <f aca="false">IF(COUNTIFS('Все игры'!BD$3:BD892,A34,'Все игры'!BI$3:BI892,"=1")=0, "", COUNTIFS('Все игры'!BD$3:BD892,A34,'Все игры'!BI$3:BI892,"=1"))</f>
        <v/>
      </c>
      <c r="D34" s="76" t="str">
        <f aca="false">IF(COUNTIFS('Все игры'!BD$3:BD892,A34,'Все игры'!BI$3:BI892,"=0,50")=0, "", COUNTIFS('Все игры'!BD$3:BD892,A34,'Все игры'!BI$3:BI892,"=0,50"))</f>
        <v/>
      </c>
      <c r="E34" s="76" t="str">
        <f aca="false">IF(COUNTIFS('Все игры'!BD$3:BD892,A34,'Все игры'!BH$3:BH892,"ПУ")=0, "", COUNTIFS('Все игры'!BD$3:BD892,A34,'Все игры'!BH$3:BH892,"ПУ"))</f>
        <v/>
      </c>
      <c r="F34" s="121" t="n">
        <f aca="false">IFERROR(E34/I34,0)</f>
        <v>0</v>
      </c>
      <c r="G34" s="76" t="str">
        <f aca="false">IF(COUNTIFS('Все игры'!BD$3:BD892,A34,'Все игры'!BH$3:BH892,"У/Победа")=0, "",COUNTIFS('Все игры'!BD$3:BD892,A34,'Все игры'!BH$3:BH892,"У/Победа") )</f>
        <v/>
      </c>
      <c r="H34" s="76" t="str">
        <f aca="false">IF(COUNTIFS('Все игры'!BD$3:BD892,A34,'Все игры'!BH$3:BH892,"У/Проигрыш")=0, "",COUNTIFS('Все игры'!BD$3:BD892,A34,'Все игры'!BH$3:BH892,"У/Проигрыш") )</f>
        <v/>
      </c>
      <c r="I34" s="120" t="n">
        <f aca="false">M34+N34+Q34+R34</f>
        <v>6</v>
      </c>
      <c r="J34" s="120" t="n">
        <f aca="false">K34+L34+O34+P34</f>
        <v>2</v>
      </c>
      <c r="K34" s="120" t="n">
        <f aca="false">COUNTIFS('Все игры'!BD$3:BD892,A34,'Все игры'!BF$3:BF892,"&gt;0",'Все игры'!BE$3:BE892,"Мафия")</f>
        <v>0</v>
      </c>
      <c r="L34" s="120" t="n">
        <f aca="false">IFERROR(__xludf.dummyfunction("COUNTBLANK(FILTER('Все игры'!BD$3:BF892,'Все игры'!BD$3:BD892=A34,'Все игры'!BF$3:BF892 &lt; 1,'Все игры'!BE$3:BE892=""Мафия""))"),2)</f>
        <v>2</v>
      </c>
      <c r="M34" s="120" t="n">
        <f aca="false">COUNTIFS('Все игры'!BD$3:BD892,A34,'Все игры'!BF$3:BF892,"&gt;0",'Все игры'!BE$3:BE892,"Шериф")</f>
        <v>0</v>
      </c>
      <c r="N34" s="120" t="n">
        <f aca="false">IFERROR(__xludf.dummyfunction("COUNTBLANK(FILTER('Все игры'!BD$3:BF892,'Все игры'!BD$3:BD892=A34,'Все игры'!BF$3:BF892 &lt; 1,'Все игры'!BE$3:BE892=""Шериф""))"),0)</f>
        <v>0</v>
      </c>
      <c r="O34" s="120" t="n">
        <f aca="false">COUNTIFS('Все игры'!BD$3:BD892,A34,'Все игры'!BF$3:BF892,"&gt;0",'Все игры'!BE$3:BE892,"Дон")</f>
        <v>0</v>
      </c>
      <c r="P34" s="122" t="n">
        <f aca="false">IFERROR(__xludf.dummyfunction("COUNTBLANK(FILTER('Все игры'!BD$3:BF892,'Все игры'!BD$3:BD892=A34,'Все игры'!BF$3:BF892 &lt; 1,'Все игры'!BE$3:BE892=""Дон""))"),0)</f>
        <v>0</v>
      </c>
      <c r="Q34" s="120" t="n">
        <f aca="false">COUNTIFS('Все игры'!BD$3:BD892,A34,'Все игры'!BF$3:BF892,"&gt;0",'Все игры'!BE$3:BE892,"Мирный")</f>
        <v>0</v>
      </c>
      <c r="R34" s="120" t="n">
        <f aca="false">IFERROR(__xludf.dummyfunction("COUNTBLANK(FILTER('Все игры'!BF$3:BF892,'Все игры'!BD$3:BD892=A34,'Все игры'!BF$3:BF892 &lt; 1,'Все игры'!BE$3:BE892=""Мирный""))"),6)</f>
        <v>6</v>
      </c>
      <c r="S34" s="123" t="n">
        <f aca="false">IFERROR((K34+M34+O34+Q34)/(I34+J34), )</f>
        <v>0</v>
      </c>
      <c r="T34" s="123" t="n">
        <f aca="false">IFERROR((M34+Q34)/I34, )</f>
        <v>0</v>
      </c>
      <c r="U34" s="123" t="n">
        <f aca="false">IFERROR((K34+O34)/J34, )</f>
        <v>0</v>
      </c>
      <c r="V34" s="123" t="n">
        <f aca="false">IFERROR(K34/(K34+L34), )</f>
        <v>0</v>
      </c>
      <c r="W34" s="123" t="n">
        <f aca="false">IFERROR(M34/(M34+N34), )</f>
        <v>0</v>
      </c>
      <c r="X34" s="123" t="n">
        <f aca="false">IFERROR(O34/(O34+P34), )</f>
        <v>0</v>
      </c>
      <c r="Y34" s="123" t="n">
        <f aca="false">IFERROR(Q34/(Q34+R34), )</f>
        <v>0</v>
      </c>
      <c r="Z34" s="124" t="n">
        <f aca="false">SUMIFS('Все игры'!BG$3:BG892,'Все игры'!BD$3:BD892,A34)</f>
        <v>0</v>
      </c>
      <c r="AA34" s="124" t="n">
        <f aca="false">SUMIFS('Все игры'!BG$3:BG892,'Все игры'!BD$3:BD892,A34,'Все игры'!BE$3:BE892,"Мафия")</f>
        <v>0</v>
      </c>
      <c r="AB34" s="124" t="n">
        <f aca="false">SUMIFS('Все игры'!BG$3:BG892,'Все игры'!BD$3:BD892,A34,'Все игры'!BE$3:BE892,"Шериф")</f>
        <v>0</v>
      </c>
      <c r="AC34" s="124" t="n">
        <f aca="false">SUMIFS('Все игры'!BG$3:BG892,'Все игры'!BD$3:BD892,A34,'Все игры'!BE$3:BE892,"Дон")</f>
        <v>0</v>
      </c>
      <c r="AD34" s="124" t="n">
        <f aca="false">SUMIFS('Все игры'!BG$3:BG892,'Все игры'!BD$3:BD892,A34,'Все игры'!BE$3:BE892,"Мирный")</f>
        <v>0</v>
      </c>
      <c r="AE34" s="124" t="n">
        <f aca="false">IFERROR(Z34/B34,0)</f>
        <v>0</v>
      </c>
      <c r="AF34" s="124" t="n">
        <f aca="false">IFERROR(AA34/(K34+L34),0)</f>
        <v>0</v>
      </c>
      <c r="AG34" s="124" t="n">
        <f aca="false">IFERROR(AB34/(M34+N34),0)</f>
        <v>0</v>
      </c>
      <c r="AH34" s="124" t="n">
        <f aca="false">IFERROR(AC34/(O34+P34),0)</f>
        <v>0</v>
      </c>
      <c r="AI34" s="124" t="n">
        <f aca="false">IFERROR(AD34/(Q34+R34),0)</f>
        <v>0</v>
      </c>
    </row>
    <row r="35" customFormat="false" ht="15.75" hidden="false" customHeight="false" outlineLevel="0" collapsed="false">
      <c r="A35" s="78" t="str">
        <v>NME</v>
      </c>
      <c r="B35" s="120" t="n">
        <f aca="false">SUM(I35:J35)</f>
        <v>9</v>
      </c>
      <c r="C35" s="4" t="str">
        <f aca="false">IF(COUNTIFS('Все игры'!BD$3:BD892,A35,'Все игры'!BI$3:BI892,"=1")=0, "", COUNTIFS('Все игры'!BD$3:BD892,A35,'Все игры'!BI$3:BI892,"=1"))</f>
        <v/>
      </c>
      <c r="D35" s="76" t="str">
        <f aca="false">IF(COUNTIFS('Все игры'!BD$3:BD892,A35,'Все игры'!BI$3:BI892,"=0,50")=0, "", COUNTIFS('Все игры'!BD$3:BD892,A35,'Все игры'!BI$3:BI892,"=0,50"))</f>
        <v/>
      </c>
      <c r="E35" s="76" t="str">
        <f aca="false">IF(COUNTIFS('Все игры'!BD$3:BD892,A35,'Все игры'!BH$3:BH892,"ПУ")=0, "", COUNTIFS('Все игры'!BD$3:BD892,A35,'Все игры'!BH$3:BH892,"ПУ"))</f>
        <v/>
      </c>
      <c r="F35" s="121" t="n">
        <f aca="false">IFERROR(E35/I35,0)</f>
        <v>0</v>
      </c>
      <c r="G35" s="76" t="str">
        <f aca="false">IF(COUNTIFS('Все игры'!BD$3:BD892,A35,'Все игры'!BH$3:BH892,"У/Победа")=0, "",COUNTIFS('Все игры'!BD$3:BD892,A35,'Все игры'!BH$3:BH892,"У/Победа") )</f>
        <v/>
      </c>
      <c r="H35" s="76" t="str">
        <f aca="false">IF(COUNTIFS('Все игры'!BD$3:BD892,A35,'Все игры'!BH$3:BH892,"У/Проигрыш")=0, "",COUNTIFS('Все игры'!BD$3:BD892,A35,'Все игры'!BH$3:BH892,"У/Проигрыш") )</f>
        <v/>
      </c>
      <c r="I35" s="120" t="n">
        <f aca="false">M35+N35+Q35+R35</f>
        <v>6</v>
      </c>
      <c r="J35" s="120" t="n">
        <f aca="false">K35+L35+O35+P35</f>
        <v>3</v>
      </c>
      <c r="K35" s="120" t="n">
        <f aca="false">COUNTIFS('Все игры'!BD$3:BD892,A35,'Все игры'!BF$3:BF892,"&gt;0",'Все игры'!BE$3:BE892,"Мафия")</f>
        <v>0</v>
      </c>
      <c r="L35" s="120" t="n">
        <f aca="false">IFERROR(__xludf.dummyfunction("COUNTBLANK(FILTER('Все игры'!BD$3:BF892,'Все игры'!BD$3:BD892=A35,'Все игры'!BF$3:BF892 &lt; 1,'Все игры'!BE$3:BE892=""Мафия""))"),3)</f>
        <v>3</v>
      </c>
      <c r="M35" s="120" t="n">
        <f aca="false">COUNTIFS('Все игры'!BD$3:BD892,A35,'Все игры'!BF$3:BF892,"&gt;0",'Все игры'!BE$3:BE892,"Шериф")</f>
        <v>0</v>
      </c>
      <c r="N35" s="120" t="n">
        <f aca="false">IFERROR(__xludf.dummyfunction("COUNTBLANK(FILTER('Все игры'!BD$3:BF892,'Все игры'!BD$3:BD892=A35,'Все игры'!BF$3:BF892 &lt; 1,'Все игры'!BE$3:BE892=""Шериф""))"),1)</f>
        <v>1</v>
      </c>
      <c r="O35" s="120" t="n">
        <f aca="false">COUNTIFS('Все игры'!BD$3:BD892,A35,'Все игры'!BF$3:BF892,"&gt;0",'Все игры'!BE$3:BE892,"Дон")</f>
        <v>0</v>
      </c>
      <c r="P35" s="122" t="n">
        <f aca="false">IFERROR(__xludf.dummyfunction("COUNTBLANK(FILTER('Все игры'!BD$3:BF892,'Все игры'!BD$3:BD892=A35,'Все игры'!BF$3:BF892 &lt; 1,'Все игры'!BE$3:BE892=""Дон""))"),0)</f>
        <v>0</v>
      </c>
      <c r="Q35" s="120" t="n">
        <f aca="false">COUNTIFS('Все игры'!BD$3:BD892,A35,'Все игры'!BF$3:BF892,"&gt;0",'Все игры'!BE$3:BE892,"Мирный")</f>
        <v>0</v>
      </c>
      <c r="R35" s="120" t="n">
        <f aca="false">IFERROR(__xludf.dummyfunction("COUNTBLANK(FILTER('Все игры'!BF$3:BF892,'Все игры'!BD$3:BD892=A35,'Все игры'!BF$3:BF892 &lt; 1,'Все игры'!BE$3:BE892=""Мирный""))"),5)</f>
        <v>5</v>
      </c>
      <c r="S35" s="123" t="n">
        <f aca="false">IFERROR((K35+M35+O35+Q35)/(I35+J35), )</f>
        <v>0</v>
      </c>
      <c r="T35" s="123" t="n">
        <f aca="false">IFERROR((M35+Q35)/I35, )</f>
        <v>0</v>
      </c>
      <c r="U35" s="123" t="n">
        <f aca="false">IFERROR((K35+O35)/J35, )</f>
        <v>0</v>
      </c>
      <c r="V35" s="123" t="n">
        <f aca="false">IFERROR(K35/(K35+L35), )</f>
        <v>0</v>
      </c>
      <c r="W35" s="123" t="n">
        <f aca="false">IFERROR(M35/(M35+N35), )</f>
        <v>0</v>
      </c>
      <c r="X35" s="123" t="n">
        <f aca="false">IFERROR(O35/(O35+P35), )</f>
        <v>0</v>
      </c>
      <c r="Y35" s="123" t="n">
        <f aca="false">IFERROR(Q35/(Q35+R35), )</f>
        <v>0</v>
      </c>
      <c r="Z35" s="124" t="n">
        <f aca="false">SUMIFS('Все игры'!BG$3:BG892,'Все игры'!BD$3:BD892,A35)</f>
        <v>0</v>
      </c>
      <c r="AA35" s="124" t="n">
        <f aca="false">SUMIFS('Все игры'!BG$3:BG892,'Все игры'!BD$3:BD892,A35,'Все игры'!BE$3:BE892,"Мафия")</f>
        <v>0</v>
      </c>
      <c r="AB35" s="124" t="n">
        <f aca="false">SUMIFS('Все игры'!BG$3:BG892,'Все игры'!BD$3:BD892,A35,'Все игры'!BE$3:BE892,"Шериф")</f>
        <v>0</v>
      </c>
      <c r="AC35" s="124" t="n">
        <f aca="false">SUMIFS('Все игры'!BG$3:BG892,'Все игры'!BD$3:BD892,A35,'Все игры'!BE$3:BE892,"Дон")</f>
        <v>0</v>
      </c>
      <c r="AD35" s="124" t="n">
        <f aca="false">SUMIFS('Все игры'!BG$3:BG892,'Все игры'!BD$3:BD892,A35,'Все игры'!BE$3:BE892,"Мирный")</f>
        <v>0</v>
      </c>
      <c r="AE35" s="124" t="n">
        <f aca="false">IFERROR(Z35/B35,0)</f>
        <v>0</v>
      </c>
      <c r="AF35" s="124" t="n">
        <f aca="false">IFERROR(AA35/(K35+L35),0)</f>
        <v>0</v>
      </c>
      <c r="AG35" s="124" t="n">
        <f aca="false">IFERROR(AB35/(M35+N35),0)</f>
        <v>0</v>
      </c>
      <c r="AH35" s="124" t="n">
        <f aca="false">IFERROR(AC35/(O35+P35),0)</f>
        <v>0</v>
      </c>
      <c r="AI35" s="124" t="n">
        <f aca="false">IFERROR(AD35/(Q35+R35),0)</f>
        <v>0</v>
      </c>
    </row>
    <row r="36" customFormat="false" ht="15.75" hidden="false" customHeight="false" outlineLevel="0" collapsed="false">
      <c r="A36" s="78" t="str">
        <v>Curly</v>
      </c>
      <c r="B36" s="120" t="n">
        <f aca="false">SUM(I36:J36)</f>
        <v>9</v>
      </c>
      <c r="C36" s="4" t="str">
        <f aca="false">IF(COUNTIFS('Все игры'!BD$3:BD892,A36,'Все игры'!BI$3:BI892,"=1")=0, "", COUNTIFS('Все игры'!BD$3:BD892,A36,'Все игры'!BI$3:BI892,"=1"))</f>
        <v/>
      </c>
      <c r="D36" s="76" t="str">
        <f aca="false">IF(COUNTIFS('Все игры'!BD$3:BD892,A36,'Все игры'!BI$3:BI892,"=0,50")=0, "", COUNTIFS('Все игры'!BD$3:BD892,A36,'Все игры'!BI$3:BI892,"=0,50"))</f>
        <v/>
      </c>
      <c r="E36" s="76" t="str">
        <f aca="false">IF(COUNTIFS('Все игры'!BD$3:BD892,A36,'Все игры'!BH$3:BH892,"ПУ")=0, "", COUNTIFS('Все игры'!BD$3:BD892,A36,'Все игры'!BH$3:BH892,"ПУ"))</f>
        <v/>
      </c>
      <c r="F36" s="121" t="n">
        <f aca="false">IFERROR(E36/I36,0)</f>
        <v>0</v>
      </c>
      <c r="G36" s="76" t="str">
        <f aca="false">IF(COUNTIFS('Все игры'!BD$3:BD892,A36,'Все игры'!BH$3:BH892,"У/Победа")=0, "",COUNTIFS('Все игры'!BD$3:BD892,A36,'Все игры'!BH$3:BH892,"У/Победа") )</f>
        <v/>
      </c>
      <c r="H36" s="76" t="str">
        <f aca="false">IF(COUNTIFS('Все игры'!BD$3:BD892,A36,'Все игры'!BH$3:BH892,"У/Проигрыш")=0, "",COUNTIFS('Все игры'!BD$3:BD892,A36,'Все игры'!BH$3:BH892,"У/Проигрыш") )</f>
        <v/>
      </c>
      <c r="I36" s="120" t="n">
        <f aca="false">M36+N36+Q36+R36</f>
        <v>9</v>
      </c>
      <c r="J36" s="120" t="n">
        <f aca="false">K36+L36+O36+P36</f>
        <v>0</v>
      </c>
      <c r="K36" s="120" t="n">
        <f aca="false">COUNTIFS('Все игры'!BD$3:BD892,A36,'Все игры'!BF$3:BF892,"&gt;0",'Все игры'!BE$3:BE892,"Мафия")</f>
        <v>0</v>
      </c>
      <c r="L36" s="120" t="n">
        <f aca="false">IFERROR(__xludf.dummyfunction("COUNTBLANK(FILTER('Все игры'!BD$3:BF892,'Все игры'!BD$3:BD892=A36,'Все игры'!BF$3:BF892 &lt; 1,'Все игры'!BE$3:BE892=""Мафия""))"),0)</f>
        <v>0</v>
      </c>
      <c r="M36" s="120" t="n">
        <f aca="false">COUNTIFS('Все игры'!BD$3:BD892,A36,'Все игры'!BF$3:BF892,"&gt;0",'Все игры'!BE$3:BE892,"Шериф")</f>
        <v>0</v>
      </c>
      <c r="N36" s="120" t="n">
        <f aca="false">IFERROR(__xludf.dummyfunction("COUNTBLANK(FILTER('Все игры'!BD$3:BF892,'Все игры'!BD$3:BD892=A36,'Все игры'!BF$3:BF892 &lt; 1,'Все игры'!BE$3:BE892=""Шериф""))"),2)</f>
        <v>2</v>
      </c>
      <c r="O36" s="120" t="n">
        <f aca="false">COUNTIFS('Все игры'!BD$3:BD892,A36,'Все игры'!BF$3:BF892,"&gt;0",'Все игры'!BE$3:BE892,"Дон")</f>
        <v>0</v>
      </c>
      <c r="P36" s="122" t="n">
        <f aca="false">IFERROR(__xludf.dummyfunction("COUNTBLANK(FILTER('Все игры'!BD$3:BF892,'Все игры'!BD$3:BD892=A36,'Все игры'!BF$3:BF892 &lt; 1,'Все игры'!BE$3:BE892=""Дон""))"),0)</f>
        <v>0</v>
      </c>
      <c r="Q36" s="120" t="n">
        <f aca="false">COUNTIFS('Все игры'!BD$3:BD892,A36,'Все игры'!BF$3:BF892,"&gt;0",'Все игры'!BE$3:BE892,"Мирный")</f>
        <v>0</v>
      </c>
      <c r="R36" s="120" t="n">
        <f aca="false">IFERROR(__xludf.dummyfunction("COUNTBLANK(FILTER('Все игры'!BF$3:BF892,'Все игры'!BD$3:BD892=A36,'Все игры'!BF$3:BF892 &lt; 1,'Все игры'!BE$3:BE892=""Мирный""))"),7)</f>
        <v>7</v>
      </c>
      <c r="S36" s="123" t="n">
        <f aca="false">IFERROR((K36+M36+O36+Q36)/(I36+J36), )</f>
        <v>0</v>
      </c>
      <c r="T36" s="123" t="n">
        <f aca="false">IFERROR((M36+Q36)/I36, )</f>
        <v>0</v>
      </c>
      <c r="U36" s="123" t="n">
        <f aca="false">IFERROR((K36+O36)/J36, )</f>
        <v>0</v>
      </c>
      <c r="V36" s="123" t="n">
        <f aca="false">IFERROR(K36/(K36+L36), )</f>
        <v>0</v>
      </c>
      <c r="W36" s="123" t="n">
        <f aca="false">IFERROR(M36/(M36+N36), )</f>
        <v>0</v>
      </c>
      <c r="X36" s="123" t="n">
        <f aca="false">IFERROR(O36/(O36+P36), )</f>
        <v>0</v>
      </c>
      <c r="Y36" s="123" t="n">
        <f aca="false">IFERROR(Q36/(Q36+R36), )</f>
        <v>0</v>
      </c>
      <c r="Z36" s="124" t="n">
        <f aca="false">SUMIFS('Все игры'!BG$3:BG892,'Все игры'!BD$3:BD892,A36)</f>
        <v>0</v>
      </c>
      <c r="AA36" s="124" t="n">
        <f aca="false">SUMIFS('Все игры'!BG$3:BG892,'Все игры'!BD$3:BD892,A36,'Все игры'!BE$3:BE892,"Мафия")</f>
        <v>0</v>
      </c>
      <c r="AB36" s="124" t="n">
        <f aca="false">SUMIFS('Все игры'!BG$3:BG892,'Все игры'!BD$3:BD892,A36,'Все игры'!BE$3:BE892,"Шериф")</f>
        <v>0</v>
      </c>
      <c r="AC36" s="124" t="n">
        <f aca="false">SUMIFS('Все игры'!BG$3:BG892,'Все игры'!BD$3:BD892,A36,'Все игры'!BE$3:BE892,"Дон")</f>
        <v>0</v>
      </c>
      <c r="AD36" s="124" t="n">
        <f aca="false">SUMIFS('Все игры'!BG$3:BG892,'Все игры'!BD$3:BD892,A36,'Все игры'!BE$3:BE892,"Мирный")</f>
        <v>0</v>
      </c>
      <c r="AE36" s="124" t="n">
        <f aca="false">IFERROR(Z36/B36,0)</f>
        <v>0</v>
      </c>
      <c r="AF36" s="124" t="n">
        <f aca="false">IFERROR(AA36/(K36+L36),0)</f>
        <v>0</v>
      </c>
      <c r="AG36" s="124" t="n">
        <f aca="false">IFERROR(AB36/(M36+N36),0)</f>
        <v>0</v>
      </c>
      <c r="AH36" s="124" t="n">
        <f aca="false">IFERROR(AC36/(O36+P36),0)</f>
        <v>0</v>
      </c>
      <c r="AI36" s="124" t="n">
        <f aca="false">IFERROR(AD36/(Q36+R36),0)</f>
        <v>0</v>
      </c>
    </row>
    <row r="37" customFormat="false" ht="15.75" hidden="false" customHeight="false" outlineLevel="0" collapsed="false">
      <c r="A37" s="78" t="str">
        <v>Дракарис</v>
      </c>
      <c r="B37" s="120" t="n">
        <f aca="false">SUM(I37:J37)</f>
        <v>8</v>
      </c>
      <c r="C37" s="4" t="str">
        <f aca="false">IF(COUNTIFS('Все игры'!BD$3:BD892,A37,'Все игры'!BI$3:BI892,"=1")=0, "", COUNTIFS('Все игры'!BD$3:BD892,A37,'Все игры'!BI$3:BI892,"=1"))</f>
        <v/>
      </c>
      <c r="D37" s="76" t="str">
        <f aca="false">IF(COUNTIFS('Все игры'!BD$3:BD892,A37,'Все игры'!BI$3:BI892,"=0,50")=0, "", COUNTIFS('Все игры'!BD$3:BD892,A37,'Все игры'!BI$3:BI892,"=0,50"))</f>
        <v/>
      </c>
      <c r="E37" s="76" t="str">
        <f aca="false">IF(COUNTIFS('Все игры'!BD$3:BD892,A37,'Все игры'!BH$3:BH892,"ПУ")=0, "", COUNTIFS('Все игры'!BD$3:BD892,A37,'Все игры'!BH$3:BH892,"ПУ"))</f>
        <v/>
      </c>
      <c r="F37" s="121" t="n">
        <f aca="false">IFERROR(E37/I37,0)</f>
        <v>0</v>
      </c>
      <c r="G37" s="76" t="str">
        <f aca="false">IF(COUNTIFS('Все игры'!BD$3:BD892,A37,'Все игры'!BH$3:BH892,"У/Победа")=0, "",COUNTIFS('Все игры'!BD$3:BD892,A37,'Все игры'!BH$3:BH892,"У/Победа") )</f>
        <v/>
      </c>
      <c r="H37" s="76" t="str">
        <f aca="false">IF(COUNTIFS('Все игры'!BD$3:BD892,A37,'Все игры'!BH$3:BH892,"У/Проигрыш")=0, "",COUNTIFS('Все игры'!BD$3:BD892,A37,'Все игры'!BH$3:BH892,"У/Проигрыш") )</f>
        <v/>
      </c>
      <c r="I37" s="120" t="n">
        <f aca="false">M37+N37+Q37+R37</f>
        <v>8</v>
      </c>
      <c r="J37" s="120" t="n">
        <f aca="false">K37+L37+O37+P37</f>
        <v>0</v>
      </c>
      <c r="K37" s="120" t="n">
        <f aca="false">COUNTIFS('Все игры'!BD$3:BD892,A37,'Все игры'!BF$3:BF892,"&gt;0",'Все игры'!BE$3:BE892,"Мафия")</f>
        <v>0</v>
      </c>
      <c r="L37" s="120" t="n">
        <f aca="false">IFERROR(__xludf.dummyfunction("COUNTBLANK(FILTER('Все игры'!BD$3:BF892,'Все игры'!BD$3:BD892=A37,'Все игры'!BF$3:BF892 &lt; 1,'Все игры'!BE$3:BE892=""Мафия""))"),0)</f>
        <v>0</v>
      </c>
      <c r="M37" s="120" t="n">
        <f aca="false">COUNTIFS('Все игры'!BD$3:BD892,A37,'Все игры'!BF$3:BF892,"&gt;0",'Все игры'!BE$3:BE892,"Шериф")</f>
        <v>0</v>
      </c>
      <c r="N37" s="120" t="n">
        <f aca="false">IFERROR(__xludf.dummyfunction("COUNTBLANK(FILTER('Все игры'!BD$3:BF892,'Все игры'!BD$3:BD892=A37,'Все игры'!BF$3:BF892 &lt; 1,'Все игры'!BE$3:BE892=""Шериф""))"),1)</f>
        <v>1</v>
      </c>
      <c r="O37" s="120" t="n">
        <f aca="false">COUNTIFS('Все игры'!BD$3:BD892,A37,'Все игры'!BF$3:BF892,"&gt;0",'Все игры'!BE$3:BE892,"Дон")</f>
        <v>0</v>
      </c>
      <c r="P37" s="122" t="n">
        <f aca="false">IFERROR(__xludf.dummyfunction("COUNTBLANK(FILTER('Все игры'!BD$3:BF892,'Все игры'!BD$3:BD892=A37,'Все игры'!BF$3:BF892 &lt; 1,'Все игры'!BE$3:BE892=""Дон""))"),0)</f>
        <v>0</v>
      </c>
      <c r="Q37" s="120" t="n">
        <f aca="false">COUNTIFS('Все игры'!BD$3:BD892,A37,'Все игры'!BF$3:BF892,"&gt;0",'Все игры'!BE$3:BE892,"Мирный")</f>
        <v>0</v>
      </c>
      <c r="R37" s="120" t="n">
        <f aca="false">IFERROR(__xludf.dummyfunction("COUNTBLANK(FILTER('Все игры'!BF$3:BF892,'Все игры'!BD$3:BD892=A37,'Все игры'!BF$3:BF892 &lt; 1,'Все игры'!BE$3:BE892=""Мирный""))"),7)</f>
        <v>7</v>
      </c>
      <c r="S37" s="123" t="n">
        <f aca="false">IFERROR((K37+M37+O37+Q37)/(I37+J37), )</f>
        <v>0</v>
      </c>
      <c r="T37" s="123" t="n">
        <f aca="false">IFERROR((M37+Q37)/I37, )</f>
        <v>0</v>
      </c>
      <c r="U37" s="123" t="n">
        <f aca="false">IFERROR((K37+O37)/J37, )</f>
        <v>0</v>
      </c>
      <c r="V37" s="123" t="n">
        <f aca="false">IFERROR(K37/(K37+L37), )</f>
        <v>0</v>
      </c>
      <c r="W37" s="123" t="n">
        <f aca="false">IFERROR(M37/(M37+N37), )</f>
        <v>0</v>
      </c>
      <c r="X37" s="123" t="n">
        <f aca="false">IFERROR(O37/(O37+P37), )</f>
        <v>0</v>
      </c>
      <c r="Y37" s="123" t="n">
        <f aca="false">IFERROR(Q37/(Q37+R37), )</f>
        <v>0</v>
      </c>
      <c r="Z37" s="124" t="n">
        <f aca="false">SUMIFS('Все игры'!BG$3:BG892,'Все игры'!BD$3:BD892,A37)</f>
        <v>0</v>
      </c>
      <c r="AA37" s="124" t="n">
        <f aca="false">SUMIFS('Все игры'!BG$3:BG892,'Все игры'!BD$3:BD892,A37,'Все игры'!BE$3:BE892,"Мафия")</f>
        <v>0</v>
      </c>
      <c r="AB37" s="124" t="n">
        <f aca="false">SUMIFS('Все игры'!BG$3:BG892,'Все игры'!BD$3:BD892,A37,'Все игры'!BE$3:BE892,"Шериф")</f>
        <v>0</v>
      </c>
      <c r="AC37" s="124" t="n">
        <f aca="false">SUMIFS('Все игры'!BG$3:BG892,'Все игры'!BD$3:BD892,A37,'Все игры'!BE$3:BE892,"Дон")</f>
        <v>0</v>
      </c>
      <c r="AD37" s="124" t="n">
        <f aca="false">SUMIFS('Все игры'!BG$3:BG892,'Все игры'!BD$3:BD892,A37,'Все игры'!BE$3:BE892,"Мирный")</f>
        <v>0</v>
      </c>
      <c r="AE37" s="124" t="n">
        <f aca="false">IFERROR(Z37/B37,0)</f>
        <v>0</v>
      </c>
      <c r="AF37" s="124" t="n">
        <f aca="false">IFERROR(AA37/(K37+L37),0)</f>
        <v>0</v>
      </c>
      <c r="AG37" s="124" t="n">
        <f aca="false">IFERROR(AB37/(M37+N37),0)</f>
        <v>0</v>
      </c>
      <c r="AH37" s="124" t="n">
        <f aca="false">IFERROR(AC37/(O37+P37),0)</f>
        <v>0</v>
      </c>
      <c r="AI37" s="124" t="n">
        <f aca="false">IFERROR(AD37/(Q37+R37),0)</f>
        <v>0</v>
      </c>
    </row>
    <row r="38" customFormat="false" ht="15.75" hidden="false" customHeight="false" outlineLevel="0" collapsed="false">
      <c r="A38" s="78" t="str">
        <v>Никнейм</v>
      </c>
      <c r="B38" s="120" t="n">
        <f aca="false">SUM(I38:J38)</f>
        <v>9</v>
      </c>
      <c r="C38" s="4" t="str">
        <f aca="false">IF(COUNTIFS('Все игры'!BD$3:BD892,A38,'Все игры'!BI$3:BI892,"=1")=0, "", COUNTIFS('Все игры'!BD$3:BD892,A38,'Все игры'!BI$3:BI892,"=1"))</f>
        <v/>
      </c>
      <c r="D38" s="76" t="str">
        <f aca="false">IF(COUNTIFS('Все игры'!BD$3:BD892,A38,'Все игры'!BI$3:BI892,"=0,50")=0, "", COUNTIFS('Все игры'!BD$3:BD892,A38,'Все игры'!BI$3:BI892,"=0,50"))</f>
        <v/>
      </c>
      <c r="E38" s="76" t="str">
        <f aca="false">IF(COUNTIFS('Все игры'!BD$3:BD892,A38,'Все игры'!BH$3:BH892,"ПУ")=0, "", COUNTIFS('Все игры'!BD$3:BD892,A38,'Все игры'!BH$3:BH892,"ПУ"))</f>
        <v/>
      </c>
      <c r="F38" s="121" t="n">
        <f aca="false">IFERROR(E38/I38,0)</f>
        <v>0</v>
      </c>
      <c r="G38" s="76" t="str">
        <f aca="false">IF(COUNTIFS('Все игры'!BD$3:BD892,A38,'Все игры'!BH$3:BH892,"У/Победа")=0, "",COUNTIFS('Все игры'!BD$3:BD892,A38,'Все игры'!BH$3:BH892,"У/Победа") )</f>
        <v/>
      </c>
      <c r="H38" s="76" t="str">
        <f aca="false">IF(COUNTIFS('Все игры'!BD$3:BD892,A38,'Все игры'!BH$3:BH892,"У/Проигрыш")=0, "",COUNTIFS('Все игры'!BD$3:BD892,A38,'Все игры'!BH$3:BH892,"У/Проигрыш") )</f>
        <v/>
      </c>
      <c r="I38" s="120" t="n">
        <f aca="false">M38+N38+Q38+R38</f>
        <v>9</v>
      </c>
      <c r="J38" s="120" t="n">
        <f aca="false">K38+L38+O38+P38</f>
        <v>0</v>
      </c>
      <c r="K38" s="120" t="n">
        <f aca="false">COUNTIFS('Все игры'!BD$3:BD892,A38,'Все игры'!BF$3:BF892,"&gt;0",'Все игры'!BE$3:BE892,"Мафия")</f>
        <v>0</v>
      </c>
      <c r="L38" s="120" t="n">
        <f aca="false">IFERROR(__xludf.dummyfunction("COUNTBLANK(FILTER('Все игры'!BD$3:BF892,'Все игры'!BD$3:BD892=A38,'Все игры'!BF$3:BF892 &lt; 1,'Все игры'!BE$3:BE892=""Мафия""))"),0)</f>
        <v>0</v>
      </c>
      <c r="M38" s="120" t="n">
        <f aca="false">COUNTIFS('Все игры'!BD$3:BD892,A38,'Все игры'!BF$3:BF892,"&gt;0",'Все игры'!BE$3:BE892,"Шериф")</f>
        <v>0</v>
      </c>
      <c r="N38" s="120" t="n">
        <f aca="false">IFERROR(__xludf.dummyfunction("COUNTBLANK(FILTER('Все игры'!BD$3:BF892,'Все игры'!BD$3:BD892=A38,'Все игры'!BF$3:BF892 &lt; 1,'Все игры'!BE$3:BE892=""Шериф""))"),1)</f>
        <v>1</v>
      </c>
      <c r="O38" s="120" t="n">
        <f aca="false">COUNTIFS('Все игры'!BD$3:BD892,A38,'Все игры'!BF$3:BF892,"&gt;0",'Все игры'!BE$3:BE892,"Дон")</f>
        <v>0</v>
      </c>
      <c r="P38" s="122" t="n">
        <f aca="false">IFERROR(__xludf.dummyfunction("COUNTBLANK(FILTER('Все игры'!BD$3:BF892,'Все игры'!BD$3:BD892=A38,'Все игры'!BF$3:BF892 &lt; 1,'Все игры'!BE$3:BE892=""Дон""))"),0)</f>
        <v>0</v>
      </c>
      <c r="Q38" s="120" t="n">
        <f aca="false">COUNTIFS('Все игры'!BD$3:BD892,A38,'Все игры'!BF$3:BF892,"&gt;0",'Все игры'!BE$3:BE892,"Мирный")</f>
        <v>0</v>
      </c>
      <c r="R38" s="120" t="n">
        <f aca="false">IFERROR(__xludf.dummyfunction("COUNTBLANK(FILTER('Все игры'!BF$3:BF892,'Все игры'!BD$3:BD892=A38,'Все игры'!BF$3:BF892 &lt; 1,'Все игры'!BE$3:BE892=""Мирный""))"),8)</f>
        <v>8</v>
      </c>
      <c r="S38" s="123" t="n">
        <f aca="false">IFERROR((K38+M38+O38+Q38)/(I38+J38), )</f>
        <v>0</v>
      </c>
      <c r="T38" s="123" t="n">
        <f aca="false">IFERROR((M38+Q38)/I38, )</f>
        <v>0</v>
      </c>
      <c r="U38" s="123" t="n">
        <f aca="false">IFERROR((K38+O38)/J38, )</f>
        <v>0</v>
      </c>
      <c r="V38" s="123" t="n">
        <f aca="false">IFERROR(K38/(K38+L38), )</f>
        <v>0</v>
      </c>
      <c r="W38" s="123" t="n">
        <f aca="false">IFERROR(M38/(M38+N38), )</f>
        <v>0</v>
      </c>
      <c r="X38" s="123" t="n">
        <f aca="false">IFERROR(O38/(O38+P38), )</f>
        <v>0</v>
      </c>
      <c r="Y38" s="123" t="n">
        <f aca="false">IFERROR(Q38/(Q38+R38), )</f>
        <v>0</v>
      </c>
      <c r="Z38" s="124" t="n">
        <f aca="false">SUMIFS('Все игры'!BG$3:BG892,'Все игры'!BD$3:BD892,A38)</f>
        <v>0</v>
      </c>
      <c r="AA38" s="124" t="n">
        <f aca="false">SUMIFS('Все игры'!BG$3:BG892,'Все игры'!BD$3:BD892,A38,'Все игры'!BE$3:BE892,"Мафия")</f>
        <v>0</v>
      </c>
      <c r="AB38" s="124" t="n">
        <f aca="false">SUMIFS('Все игры'!BG$3:BG892,'Все игры'!BD$3:BD892,A38,'Все игры'!BE$3:BE892,"Шериф")</f>
        <v>0</v>
      </c>
      <c r="AC38" s="124" t="n">
        <f aca="false">SUMIFS('Все игры'!BG$3:BG892,'Все игры'!BD$3:BD892,A38,'Все игры'!BE$3:BE892,"Дон")</f>
        <v>0</v>
      </c>
      <c r="AD38" s="124" t="n">
        <f aca="false">SUMIFS('Все игры'!BG$3:BG892,'Все игры'!BD$3:BD892,A38,'Все игры'!BE$3:BE892,"Мирный")</f>
        <v>0</v>
      </c>
      <c r="AE38" s="124" t="n">
        <f aca="false">IFERROR(Z38/B38,0)</f>
        <v>0</v>
      </c>
      <c r="AF38" s="124" t="n">
        <f aca="false">IFERROR(AA38/(K38+L38),0)</f>
        <v>0</v>
      </c>
      <c r="AG38" s="124" t="n">
        <f aca="false">IFERROR(AB38/(M38+N38),0)</f>
        <v>0</v>
      </c>
      <c r="AH38" s="124" t="n">
        <f aca="false">IFERROR(AC38/(O38+P38),0)</f>
        <v>0</v>
      </c>
      <c r="AI38" s="124" t="n">
        <f aca="false">IFERROR(AD38/(Q38+R38),0)</f>
        <v>0</v>
      </c>
    </row>
    <row r="39" customFormat="false" ht="15.75" hidden="false" customHeight="false" outlineLevel="0" collapsed="false">
      <c r="A39" s="78" t="str">
        <v>UFO</v>
      </c>
      <c r="B39" s="120" t="n">
        <f aca="false">SUM(I39:J39)</f>
        <v>8</v>
      </c>
      <c r="C39" s="4" t="str">
        <f aca="false">IF(COUNTIFS('Все игры'!BD$3:BD892,A39,'Все игры'!BI$3:BI892,"=1")=0, "", COUNTIFS('Все игры'!BD$3:BD892,A39,'Все игры'!BI$3:BI892,"=1"))</f>
        <v/>
      </c>
      <c r="D39" s="76" t="str">
        <f aca="false">IF(COUNTIFS('Все игры'!BD$3:BD892,A39,'Все игры'!BI$3:BI892,"=0,50")=0, "", COUNTIFS('Все игры'!BD$3:BD892,A39,'Все игры'!BI$3:BI892,"=0,50"))</f>
        <v/>
      </c>
      <c r="E39" s="76" t="str">
        <f aca="false">IF(COUNTIFS('Все игры'!BD$3:BD892,A39,'Все игры'!BH$3:BH892,"ПУ")=0, "", COUNTIFS('Все игры'!BD$3:BD892,A39,'Все игры'!BH$3:BH892,"ПУ"))</f>
        <v/>
      </c>
      <c r="F39" s="121" t="n">
        <f aca="false">IFERROR(E39/I39,0)</f>
        <v>0</v>
      </c>
      <c r="G39" s="76" t="str">
        <f aca="false">IF(COUNTIFS('Все игры'!BD$3:BD892,A39,'Все игры'!BH$3:BH892,"У/Победа")=0, "",COUNTIFS('Все игры'!BD$3:BD892,A39,'Все игры'!BH$3:BH892,"У/Победа") )</f>
        <v/>
      </c>
      <c r="H39" s="76" t="str">
        <f aca="false">IF(COUNTIFS('Все игры'!BD$3:BD892,A39,'Все игры'!BH$3:BH892,"У/Проигрыш")=0, "",COUNTIFS('Все игры'!BD$3:BD892,A39,'Все игры'!BH$3:BH892,"У/Проигрыш") )</f>
        <v/>
      </c>
      <c r="I39" s="120" t="n">
        <f aca="false">M39+N39+Q39+R39</f>
        <v>7</v>
      </c>
      <c r="J39" s="120" t="n">
        <f aca="false">K39+L39+O39+P39</f>
        <v>1</v>
      </c>
      <c r="K39" s="120" t="n">
        <f aca="false">COUNTIFS('Все игры'!BD$3:BD892,A39,'Все игры'!BF$3:BF892,"&gt;0",'Все игры'!BE$3:BE892,"Мафия")</f>
        <v>0</v>
      </c>
      <c r="L39" s="120" t="n">
        <f aca="false">IFERROR(__xludf.dummyfunction("COUNTBLANK(FILTER('Все игры'!BD$3:BF892,'Все игры'!BD$3:BD892=A39,'Все игры'!BF$3:BF892 &lt; 1,'Все игры'!BE$3:BE892=""Мафия""))"),0)</f>
        <v>0</v>
      </c>
      <c r="M39" s="120" t="n">
        <f aca="false">COUNTIFS('Все игры'!BD$3:BD892,A39,'Все игры'!BF$3:BF892,"&gt;0",'Все игры'!BE$3:BE892,"Шериф")</f>
        <v>0</v>
      </c>
      <c r="N39" s="120" t="n">
        <f aca="false">IFERROR(__xludf.dummyfunction("COUNTBLANK(FILTER('Все игры'!BD$3:BF892,'Все игры'!BD$3:BD892=A39,'Все игры'!BF$3:BF892 &lt; 1,'Все игры'!BE$3:BE892=""Шериф""))"),0)</f>
        <v>0</v>
      </c>
      <c r="O39" s="120" t="n">
        <f aca="false">COUNTIFS('Все игры'!BD$3:BD892,A39,'Все игры'!BF$3:BF892,"&gt;0",'Все игры'!BE$3:BE892,"Дон")</f>
        <v>0</v>
      </c>
      <c r="P39" s="122" t="n">
        <f aca="false">IFERROR(__xludf.dummyfunction("COUNTBLANK(FILTER('Все игры'!BD$3:BF892,'Все игры'!BD$3:BD892=A39,'Все игры'!BF$3:BF892 &lt; 1,'Все игры'!BE$3:BE892=""Дон""))"),1)</f>
        <v>1</v>
      </c>
      <c r="Q39" s="120" t="n">
        <f aca="false">COUNTIFS('Все игры'!BD$3:BD892,A39,'Все игры'!BF$3:BF892,"&gt;0",'Все игры'!BE$3:BE892,"Мирный")</f>
        <v>0</v>
      </c>
      <c r="R39" s="120" t="n">
        <f aca="false">IFERROR(__xludf.dummyfunction("COUNTBLANK(FILTER('Все игры'!BF$3:BF892,'Все игры'!BD$3:BD892=A39,'Все игры'!BF$3:BF892 &lt; 1,'Все игры'!BE$3:BE892=""Мирный""))"),7)</f>
        <v>7</v>
      </c>
      <c r="S39" s="123" t="n">
        <f aca="false">IFERROR((K39+M39+O39+Q39)/(I39+J39), )</f>
        <v>0</v>
      </c>
      <c r="T39" s="123" t="n">
        <f aca="false">IFERROR((M39+Q39)/I39, )</f>
        <v>0</v>
      </c>
      <c r="U39" s="123" t="n">
        <f aca="false">IFERROR((K39+O39)/J39, )</f>
        <v>0</v>
      </c>
      <c r="V39" s="123" t="n">
        <f aca="false">IFERROR(K39/(K39+L39), )</f>
        <v>0</v>
      </c>
      <c r="W39" s="123" t="n">
        <f aca="false">IFERROR(M39/(M39+N39), )</f>
        <v>0</v>
      </c>
      <c r="X39" s="123" t="n">
        <f aca="false">IFERROR(O39/(O39+P39), )</f>
        <v>0</v>
      </c>
      <c r="Y39" s="123" t="n">
        <f aca="false">IFERROR(Q39/(Q39+R39), )</f>
        <v>0</v>
      </c>
      <c r="Z39" s="124" t="n">
        <f aca="false">SUMIFS('Все игры'!BG$3:BG892,'Все игры'!BD$3:BD892,A39)</f>
        <v>0</v>
      </c>
      <c r="AA39" s="124" t="n">
        <f aca="false">SUMIFS('Все игры'!BG$3:BG892,'Все игры'!BD$3:BD892,A39,'Все игры'!BE$3:BE892,"Мафия")</f>
        <v>0</v>
      </c>
      <c r="AB39" s="124" t="n">
        <f aca="false">SUMIFS('Все игры'!BG$3:BG892,'Все игры'!BD$3:BD892,A39,'Все игры'!BE$3:BE892,"Шериф")</f>
        <v>0</v>
      </c>
      <c r="AC39" s="124" t="n">
        <f aca="false">SUMIFS('Все игры'!BG$3:BG892,'Все игры'!BD$3:BD892,A39,'Все игры'!BE$3:BE892,"Дон")</f>
        <v>0</v>
      </c>
      <c r="AD39" s="124" t="n">
        <f aca="false">SUMIFS('Все игры'!BG$3:BG892,'Все игры'!BD$3:BD892,A39,'Все игры'!BE$3:BE892,"Мирный")</f>
        <v>0</v>
      </c>
      <c r="AE39" s="124" t="n">
        <f aca="false">IFERROR(Z39/B39,0)</f>
        <v>0</v>
      </c>
      <c r="AF39" s="124" t="n">
        <f aca="false">IFERROR(AA39/(K39+L39),0)</f>
        <v>0</v>
      </c>
      <c r="AG39" s="124" t="n">
        <f aca="false">IFERROR(AB39/(M39+N39),0)</f>
        <v>0</v>
      </c>
      <c r="AH39" s="124" t="n">
        <f aca="false">IFERROR(AC39/(O39+P39),0)</f>
        <v>0</v>
      </c>
      <c r="AI39" s="124" t="n">
        <f aca="false">IFERROR(AD39/(Q39+R39),0)</f>
        <v>0</v>
      </c>
    </row>
    <row r="40" customFormat="false" ht="15.75" hidden="false" customHeight="false" outlineLevel="0" collapsed="false">
      <c r="A40" s="78" t="str">
        <v>Наполеон</v>
      </c>
      <c r="B40" s="120" t="n">
        <f aca="false">SUM(I40:J40)</f>
        <v>5</v>
      </c>
      <c r="C40" s="4" t="str">
        <f aca="false">IF(COUNTIFS('Все игры'!BD$3:BD892,A40,'Все игры'!BI$3:BI892,"=1")=0, "", COUNTIFS('Все игры'!BD$3:BD892,A40,'Все игры'!BI$3:BI892,"=1"))</f>
        <v/>
      </c>
      <c r="D40" s="76" t="str">
        <f aca="false">IF(COUNTIFS('Все игры'!BD$3:BD892,A40,'Все игры'!BI$3:BI892,"=0,50")=0, "", COUNTIFS('Все игры'!BD$3:BD892,A40,'Все игры'!BI$3:BI892,"=0,50"))</f>
        <v/>
      </c>
      <c r="E40" s="76" t="str">
        <f aca="false">IF(COUNTIFS('Все игры'!BD$3:BD892,A40,'Все игры'!BH$3:BH892,"ПУ")=0, "", COUNTIFS('Все игры'!BD$3:BD892,A40,'Все игры'!BH$3:BH892,"ПУ"))</f>
        <v/>
      </c>
      <c r="F40" s="121" t="n">
        <f aca="false">IFERROR(E40/I40,0)</f>
        <v>0</v>
      </c>
      <c r="G40" s="76" t="str">
        <f aca="false">IF(COUNTIFS('Все игры'!BD$3:BD892,A40,'Все игры'!BH$3:BH892,"У/Победа")=0, "",COUNTIFS('Все игры'!BD$3:BD892,A40,'Все игры'!BH$3:BH892,"У/Победа") )</f>
        <v/>
      </c>
      <c r="H40" s="76" t="str">
        <f aca="false">IF(COUNTIFS('Все игры'!BD$3:BD892,A40,'Все игры'!BH$3:BH892,"У/Проигрыш")=0, "",COUNTIFS('Все игры'!BD$3:BD892,A40,'Все игры'!BH$3:BH892,"У/Проигрыш") )</f>
        <v/>
      </c>
      <c r="I40" s="120" t="n">
        <f aca="false">M40+N40+Q40+R40</f>
        <v>4</v>
      </c>
      <c r="J40" s="120" t="n">
        <f aca="false">K40+L40+O40+P40</f>
        <v>1</v>
      </c>
      <c r="K40" s="120" t="n">
        <f aca="false">COUNTIFS('Все игры'!BD$3:BD892,A40,'Все игры'!BF$3:BF892,"&gt;0",'Все игры'!BE$3:BE892,"Мафия")</f>
        <v>0</v>
      </c>
      <c r="L40" s="120" t="n">
        <f aca="false">IFERROR(__xludf.dummyfunction("COUNTBLANK(FILTER('Все игры'!BD$3:BF892,'Все игры'!BD$3:BD892=A40,'Все игры'!BF$3:BF892 &lt; 1,'Все игры'!BE$3:BE892=""Мафия""))"),0)</f>
        <v>0</v>
      </c>
      <c r="M40" s="120" t="n">
        <f aca="false">COUNTIFS('Все игры'!BD$3:BD892,A40,'Все игры'!BF$3:BF892,"&gt;0",'Все игры'!BE$3:BE892,"Шериф")</f>
        <v>0</v>
      </c>
      <c r="N40" s="120" t="n">
        <f aca="false">IFERROR(__xludf.dummyfunction("COUNTBLANK(FILTER('Все игры'!BD$3:BF892,'Все игры'!BD$3:BD892=A40,'Все игры'!BF$3:BF892 &lt; 1,'Все игры'!BE$3:BE892=""Шериф""))"),1)</f>
        <v>1</v>
      </c>
      <c r="O40" s="120" t="n">
        <f aca="false">COUNTIFS('Все игры'!BD$3:BD892,A40,'Все игры'!BF$3:BF892,"&gt;0",'Все игры'!BE$3:BE892,"Дон")</f>
        <v>0</v>
      </c>
      <c r="P40" s="122" t="n">
        <f aca="false">IFERROR(__xludf.dummyfunction("COUNTBLANK(FILTER('Все игры'!BD$3:BF892,'Все игры'!BD$3:BD892=A40,'Все игры'!BF$3:BF892 &lt; 1,'Все игры'!BE$3:BE892=""Дон""))"),1)</f>
        <v>1</v>
      </c>
      <c r="Q40" s="120" t="n">
        <f aca="false">COUNTIFS('Все игры'!BD$3:BD892,A40,'Все игры'!BF$3:BF892,"&gt;0",'Все игры'!BE$3:BE892,"Мирный")</f>
        <v>0</v>
      </c>
      <c r="R40" s="120" t="n">
        <f aca="false">IFERROR(__xludf.dummyfunction("COUNTBLANK(FILTER('Все игры'!BF$3:BF892,'Все игры'!BD$3:BD892=A40,'Все игры'!BF$3:BF892 &lt; 1,'Все игры'!BE$3:BE892=""Мирный""))"),3)</f>
        <v>3</v>
      </c>
      <c r="S40" s="123" t="n">
        <f aca="false">IFERROR((K40+M40+O40+Q40)/(I40+J40), )</f>
        <v>0</v>
      </c>
      <c r="T40" s="123" t="n">
        <f aca="false">IFERROR((M40+Q40)/I40, )</f>
        <v>0</v>
      </c>
      <c r="U40" s="123" t="n">
        <f aca="false">IFERROR((K40+O40)/J40, )</f>
        <v>0</v>
      </c>
      <c r="V40" s="123" t="n">
        <f aca="false">IFERROR(K40/(K40+L40), )</f>
        <v>0</v>
      </c>
      <c r="W40" s="123" t="n">
        <f aca="false">IFERROR(M40/(M40+N40), )</f>
        <v>0</v>
      </c>
      <c r="X40" s="123" t="n">
        <f aca="false">IFERROR(O40/(O40+P40), )</f>
        <v>0</v>
      </c>
      <c r="Y40" s="123" t="n">
        <f aca="false">IFERROR(Q40/(Q40+R40), )</f>
        <v>0</v>
      </c>
      <c r="Z40" s="124" t="n">
        <f aca="false">SUMIFS('Все игры'!BG$3:BG892,'Все игры'!BD$3:BD892,A40)</f>
        <v>0</v>
      </c>
      <c r="AA40" s="124" t="n">
        <f aca="false">SUMIFS('Все игры'!BG$3:BG892,'Все игры'!BD$3:BD892,A40,'Все игры'!BE$3:BE892,"Мафия")</f>
        <v>0</v>
      </c>
      <c r="AB40" s="124" t="n">
        <f aca="false">SUMIFS('Все игры'!BG$3:BG892,'Все игры'!BD$3:BD892,A40,'Все игры'!BE$3:BE892,"Шериф")</f>
        <v>0</v>
      </c>
      <c r="AC40" s="124" t="n">
        <f aca="false">SUMIFS('Все игры'!BG$3:BG892,'Все игры'!BD$3:BD892,A40,'Все игры'!BE$3:BE892,"Дон")</f>
        <v>0</v>
      </c>
      <c r="AD40" s="124" t="n">
        <f aca="false">SUMIFS('Все игры'!BG$3:BG892,'Все игры'!BD$3:BD892,A40,'Все игры'!BE$3:BE892,"Мирный")</f>
        <v>0</v>
      </c>
      <c r="AE40" s="124" t="n">
        <f aca="false">IFERROR(Z40/B40,0)</f>
        <v>0</v>
      </c>
      <c r="AF40" s="124" t="n">
        <f aca="false">IFERROR(AA40/(K40+L40),0)</f>
        <v>0</v>
      </c>
      <c r="AG40" s="124" t="n">
        <f aca="false">IFERROR(AB40/(M40+N40),0)</f>
        <v>0</v>
      </c>
      <c r="AH40" s="124" t="n">
        <f aca="false">IFERROR(AC40/(O40+P40),0)</f>
        <v>0</v>
      </c>
      <c r="AI40" s="124" t="n">
        <f aca="false">IFERROR(AD40/(Q40+R40),0)</f>
        <v>0</v>
      </c>
    </row>
  </sheetData>
  <mergeCells count="4">
    <mergeCell ref="I1:R3"/>
    <mergeCell ref="S1:Y3"/>
    <mergeCell ref="Z1:AD3"/>
    <mergeCell ref="AE1:A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17.63"/>
  </cols>
  <sheetData>
    <row r="1" customFormat="false" ht="15.75" hidden="false" customHeight="false" outlineLevel="0" collapsed="false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 customFormat="false" ht="15.75" hidden="false" customHeight="false" outlineLevel="0" collapsed="false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 customFormat="false" ht="15.75" hidden="false" customHeight="false" outlineLevel="0" collapsed="false">
      <c r="A3" s="126"/>
      <c r="B3" s="127" t="s">
        <v>27</v>
      </c>
      <c r="C3" s="128" t="s">
        <v>32</v>
      </c>
      <c r="D3" s="128" t="s">
        <v>35</v>
      </c>
      <c r="E3" s="128" t="s">
        <v>37</v>
      </c>
      <c r="F3" s="128" t="s">
        <v>38</v>
      </c>
      <c r="G3" s="127" t="s">
        <v>39</v>
      </c>
      <c r="H3" s="128" t="s">
        <v>40</v>
      </c>
      <c r="I3" s="128" t="s">
        <v>41</v>
      </c>
      <c r="J3" s="128" t="s">
        <v>42</v>
      </c>
      <c r="K3" s="128" t="s">
        <v>43</v>
      </c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 customFormat="false" ht="15.75" hidden="false" customHeight="false" outlineLevel="0" collapsed="false">
      <c r="A4" s="129"/>
      <c r="B4" s="125"/>
      <c r="C4" s="125"/>
      <c r="D4" s="125"/>
      <c r="E4" s="125"/>
      <c r="F4" s="125"/>
      <c r="G4" s="130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 customFormat="false" ht="15.75" hidden="false" customHeight="false" outlineLevel="0" collapsed="false">
      <c r="A5" s="129" t="s">
        <v>131</v>
      </c>
      <c r="B5" s="131" t="n">
        <v>1</v>
      </c>
      <c r="C5" s="131" t="n">
        <v>2</v>
      </c>
      <c r="D5" s="131" t="n">
        <v>3</v>
      </c>
      <c r="E5" s="131" t="n">
        <v>4</v>
      </c>
      <c r="F5" s="131" t="n">
        <v>5</v>
      </c>
      <c r="G5" s="131" t="n">
        <v>1</v>
      </c>
      <c r="H5" s="131" t="n">
        <v>2</v>
      </c>
      <c r="I5" s="131" t="n">
        <v>3</v>
      </c>
      <c r="J5" s="131" t="n">
        <v>4</v>
      </c>
      <c r="K5" s="131" t="n">
        <v>5</v>
      </c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 customFormat="false" ht="15.75" hidden="false" customHeight="false" outlineLevel="0" collapsed="false">
      <c r="A6" s="132" t="s">
        <v>132</v>
      </c>
      <c r="B6" s="133" t="n">
        <v>41.5</v>
      </c>
      <c r="C6" s="134" t="n">
        <v>39</v>
      </c>
      <c r="D6" s="134" t="n">
        <v>35.5</v>
      </c>
      <c r="E6" s="134" t="n">
        <v>35</v>
      </c>
      <c r="F6" s="134" t="n">
        <v>33.5</v>
      </c>
      <c r="G6" s="135" t="n">
        <v>37</v>
      </c>
      <c r="H6" s="135" t="n">
        <v>36.5</v>
      </c>
      <c r="I6" s="135" t="n">
        <v>35</v>
      </c>
      <c r="J6" s="135" t="n">
        <v>34.75</v>
      </c>
      <c r="K6" s="135" t="n">
        <v>34.5</v>
      </c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</row>
    <row r="7" customFormat="false" ht="15.75" hidden="false" customHeight="false" outlineLevel="0" collapsed="false">
      <c r="A7" s="129" t="s">
        <v>133</v>
      </c>
      <c r="B7" s="137" t="n">
        <v>0.75</v>
      </c>
      <c r="C7" s="137" t="n">
        <v>0.75</v>
      </c>
      <c r="D7" s="137" t="n">
        <v>0.63</v>
      </c>
      <c r="E7" s="137" t="n">
        <v>0.63</v>
      </c>
      <c r="F7" s="137" t="n">
        <v>0.5</v>
      </c>
      <c r="G7" s="137" t="n">
        <v>0.63</v>
      </c>
      <c r="H7" s="137" t="n">
        <v>0.63</v>
      </c>
      <c r="I7" s="137" t="n">
        <v>0.63</v>
      </c>
      <c r="J7" s="137" t="n">
        <v>0.63</v>
      </c>
      <c r="K7" s="137" t="n">
        <v>0.5</v>
      </c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 customFormat="false" ht="15.75" hidden="false" customHeight="false" outlineLevel="0" collapsed="false">
      <c r="A8" s="129" t="s">
        <v>134</v>
      </c>
      <c r="B8" s="133" t="s">
        <v>135</v>
      </c>
      <c r="C8" s="133" t="s">
        <v>136</v>
      </c>
      <c r="D8" s="133" t="s">
        <v>137</v>
      </c>
      <c r="E8" s="133" t="s">
        <v>137</v>
      </c>
      <c r="F8" s="133" t="s">
        <v>138</v>
      </c>
      <c r="G8" s="133" t="s">
        <v>139</v>
      </c>
      <c r="H8" s="133" t="s">
        <v>140</v>
      </c>
      <c r="I8" s="133" t="s">
        <v>136</v>
      </c>
      <c r="J8" s="133" t="s">
        <v>141</v>
      </c>
      <c r="K8" s="133" t="s">
        <v>142</v>
      </c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 customFormat="false" ht="15.75" hidden="false" customHeight="false" outlineLevel="0" collapsed="false">
      <c r="A9" s="125"/>
      <c r="B9" s="130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 customFormat="false" ht="15.75" hidden="false" customHeight="false" outlineLevel="0" collapsed="false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 customFormat="false" ht="15.75" hidden="false" customHeight="false" outlineLevel="0" collapsed="false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 customFormat="false" ht="15.75" hidden="false" customHeight="false" outlineLevel="0" collapsed="false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 customFormat="false" ht="15.75" hidden="false" customHeight="false" outlineLevel="0" collapsed="false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 customFormat="false" ht="15.75" hidden="false" customHeight="false" outlineLevel="0" collapsed="false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 customFormat="false" ht="15.75" hidden="false" customHeight="false" outlineLevel="0" collapsed="false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 customFormat="false" ht="15.75" hidden="false" customHeight="false" outlineLevel="0" collapsed="false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 customFormat="false" ht="15.75" hidden="false" customHeight="false" outlineLevel="0" collapsed="false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 customFormat="false" ht="15.75" hidden="false" customHeight="false" outlineLevel="0" collapsed="false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 customFormat="false" ht="15.75" hidden="false" customHeight="false" outlineLevel="0" collapsed="false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 customFormat="false" ht="15.75" hidden="false" customHeight="false" outlineLevel="0" collapsed="false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 customFormat="false" ht="15.75" hidden="false" customHeight="false" outlineLevel="0" collapsed="false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customFormat="false" ht="15.75" hidden="false" customHeight="false" outlineLevel="0" collapsed="false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 customFormat="false" ht="15.75" hidden="false" customHeight="false" outlineLevel="0" collapsed="false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 customFormat="false" ht="15.75" hidden="false" customHeight="false" outlineLevel="0" collapsed="false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 customFormat="false" ht="15.75" hidden="false" customHeight="false" outlineLevel="0" collapsed="false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customFormat="false" ht="15.75" hidden="false" customHeight="false" outlineLevel="0" collapsed="false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 customFormat="false" ht="15.75" hidden="false" customHeight="false" outlineLevel="0" collapsed="false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 customFormat="false" ht="15.75" hidden="false" customHeight="false" outlineLevel="0" collapsed="false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 customFormat="false" ht="15.75" hidden="false" customHeight="false" outlineLevel="0" collapsed="false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 customFormat="false" ht="15.75" hidden="false" customHeight="false" outlineLevel="0" collapsed="false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 customFormat="false" ht="15.75" hidden="false" customHeight="false" outlineLevel="0" collapsed="false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 customFormat="false" ht="15.75" hidden="false" customHeight="false" outlineLevel="0" collapsed="false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 customFormat="false" ht="15.75" hidden="false" customHeight="false" outlineLevel="0" collapsed="false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 customFormat="false" ht="15.75" hidden="false" customHeight="false" outlineLevel="0" collapsed="false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 customFormat="false" ht="15.75" hidden="false" customHeight="false" outlineLevel="0" collapsed="false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 customFormat="false" ht="15.75" hidden="false" customHeight="false" outlineLevel="0" collapsed="false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 customFormat="false" ht="15.75" hidden="false" customHeight="false" outlineLevel="0" collapsed="false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 customFormat="false" ht="15.75" hidden="false" customHeight="false" outlineLevel="0" collapsed="false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 customFormat="false" ht="15.75" hidden="false" customHeight="false" outlineLevel="0" collapsed="false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 customFormat="false" ht="15.75" hidden="false" customHeight="false" outlineLevel="0" collapsed="false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 customFormat="false" ht="15.75" hidden="false" customHeight="false" outlineLevel="0" collapsed="false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 customFormat="false" ht="15.75" hidden="false" customHeight="false" outlineLevel="0" collapsed="false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 customFormat="false" ht="15.75" hidden="false" customHeight="false" outlineLevel="0" collapsed="false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 customFormat="false" ht="15.75" hidden="false" customHeight="false" outlineLevel="0" collapsed="false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 customFormat="false" ht="15.75" hidden="false" customHeight="false" outlineLevel="0" collapsed="false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 customFormat="false" ht="15.75" hidden="false" customHeight="false" outlineLevel="0" collapsed="false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 customFormat="false" ht="15.75" hidden="false" customHeight="false" outlineLevel="0" collapsed="false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 customFormat="false" ht="15.75" hidden="false" customHeight="false" outlineLevel="0" collapsed="false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 customFormat="false" ht="15.75" hidden="false" customHeight="false" outlineLevel="0" collapsed="false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 customFormat="false" ht="15.75" hidden="false" customHeight="false" outlineLevel="0" collapsed="false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 customFormat="false" ht="15.75" hidden="false" customHeight="false" outlineLevel="0" collapsed="false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customFormat="false" ht="15.75" hidden="false" customHeight="false" outlineLevel="0" collapsed="false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 customFormat="false" ht="15.75" hidden="false" customHeight="false" outlineLevel="0" collapsed="false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customFormat="false" ht="15.75" hidden="false" customHeight="false" outlineLevel="0" collapsed="false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 customFormat="false" ht="15.75" hidden="false" customHeight="false" outlineLevel="0" collapsed="false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 customFormat="false" ht="15.75" hidden="false" customHeight="false" outlineLevel="0" collapsed="false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customFormat="false" ht="15.75" hidden="false" customHeight="false" outlineLevel="0" collapsed="false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 customFormat="false" ht="15.75" hidden="false" customHeight="false" outlineLevel="0" collapsed="false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customFormat="false" ht="15.75" hidden="false" customHeight="false" outlineLevel="0" collapsed="false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customFormat="false" ht="15.75" hidden="false" customHeight="false" outlineLevel="0" collapsed="false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 customFormat="false" ht="15.75" hidden="false" customHeight="false" outlineLevel="0" collapsed="false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 customFormat="false" ht="15.75" hidden="false" customHeight="false" outlineLevel="0" collapsed="false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 customFormat="false" ht="15.75" hidden="false" customHeight="false" outlineLevel="0" collapsed="false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 customFormat="false" ht="15.75" hidden="false" customHeight="false" outlineLevel="0" collapsed="false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 customFormat="false" ht="15.75" hidden="false" customHeight="false" outlineLevel="0" collapsed="false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 customFormat="false" ht="15.75" hidden="false" customHeight="false" outlineLevel="0" collapsed="false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 customFormat="false" ht="15.75" hidden="false" customHeight="false" outlineLevel="0" collapsed="false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 customFormat="false" ht="15.75" hidden="false" customHeight="false" outlineLevel="0" collapsed="false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 customFormat="false" ht="15.75" hidden="false" customHeight="false" outlineLevel="0" collapsed="false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 customFormat="false" ht="15.75" hidden="false" customHeight="false" outlineLevel="0" collapsed="false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 customFormat="false" ht="15.75" hidden="false" customHeight="false" outlineLevel="0" collapsed="false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 customFormat="false" ht="15.75" hidden="false" customHeight="false" outlineLevel="0" collapsed="false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 customFormat="false" ht="15.75" hidden="false" customHeight="false" outlineLevel="0" collapsed="false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customFormat="false" ht="15.75" hidden="false" customHeight="false" outlineLevel="0" collapsed="false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customFormat="false" ht="15.75" hidden="false" customHeight="false" outlineLevel="0" collapsed="false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customFormat="false" ht="15.75" hidden="false" customHeight="false" outlineLevel="0" collapsed="false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customFormat="false" ht="15.75" hidden="false" customHeight="false" outlineLevel="0" collapsed="false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customFormat="false" ht="15.75" hidden="false" customHeight="false" outlineLevel="0" collapsed="false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customFormat="false" ht="15.75" hidden="false" customHeight="false" outlineLevel="0" collapsed="false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customFormat="false" ht="15.75" hidden="false" customHeight="false" outlineLevel="0" collapsed="false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customFormat="false" ht="15.75" hidden="false" customHeight="false" outlineLevel="0" collapsed="false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customFormat="false" ht="15.75" hidden="false" customHeight="false" outlineLevel="0" collapsed="false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customFormat="false" ht="15.75" hidden="false" customHeight="false" outlineLevel="0" collapsed="false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customFormat="false" ht="15.75" hidden="false" customHeight="false" outlineLevel="0" collapsed="false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customFormat="false" ht="15.75" hidden="false" customHeight="false" outlineLevel="0" collapsed="false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customFormat="false" ht="15.75" hidden="false" customHeight="false" outlineLevel="0" collapsed="false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customFormat="false" ht="15.75" hidden="false" customHeight="false" outlineLevel="0" collapsed="false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customFormat="false" ht="15.75" hidden="false" customHeight="false" outlineLevel="0" collapsed="false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customFormat="false" ht="15.75" hidden="false" customHeight="false" outlineLevel="0" collapsed="false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customFormat="false" ht="15.75" hidden="false" customHeight="false" outlineLevel="0" collapsed="false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customFormat="false" ht="15.75" hidden="false" customHeight="false" outlineLevel="0" collapsed="false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customFormat="false" ht="15.75" hidden="false" customHeight="false" outlineLevel="0" collapsed="false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customFormat="false" ht="15.75" hidden="false" customHeight="false" outlineLevel="0" collapsed="false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customFormat="false" ht="15.75" hidden="false" customHeight="false" outlineLevel="0" collapsed="false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customFormat="false" ht="15.75" hidden="false" customHeight="false" outlineLevel="0" collapsed="false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customFormat="false" ht="15.75" hidden="false" customHeight="false" outlineLevel="0" collapsed="false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customFormat="false" ht="15.75" hidden="false" customHeight="false" outlineLevel="0" collapsed="false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customFormat="false" ht="15.75" hidden="false" customHeight="false" outlineLevel="0" collapsed="false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customFormat="false" ht="15.75" hidden="false" customHeight="false" outlineLevel="0" collapsed="false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customFormat="false" ht="15.75" hidden="false" customHeight="false" outlineLevel="0" collapsed="false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customFormat="false" ht="15.75" hidden="false" customHeight="false" outlineLevel="0" collapsed="false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customFormat="false" ht="15.75" hidden="false" customHeight="false" outlineLevel="0" collapsed="false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customFormat="false" ht="15.75" hidden="false" customHeight="false" outlineLevel="0" collapsed="false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customFormat="false" ht="15.75" hidden="false" customHeight="false" outlineLevel="0" collapsed="false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customFormat="false" ht="15.75" hidden="false" customHeight="false" outlineLevel="0" collapsed="false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customFormat="false" ht="15.75" hidden="false" customHeight="false" outlineLevel="0" collapsed="false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customFormat="false" ht="15.75" hidden="false" customHeight="false" outlineLevel="0" collapsed="false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customFormat="false" ht="15.75" hidden="false" customHeight="false" outlineLevel="0" collapsed="false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customFormat="false" ht="15.75" hidden="false" customHeight="false" outlineLevel="0" collapsed="false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customFormat="false" ht="15.75" hidden="false" customHeight="false" outlineLevel="0" collapsed="false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customFormat="false" ht="15.75" hidden="false" customHeight="false" outlineLevel="0" collapsed="false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customFormat="false" ht="15.75" hidden="false" customHeight="false" outlineLevel="0" collapsed="false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customFormat="false" ht="15.75" hidden="false" customHeight="false" outlineLevel="0" collapsed="false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customFormat="false" ht="15.75" hidden="false" customHeight="false" outlineLevel="0" collapsed="false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customFormat="false" ht="15.75" hidden="false" customHeight="false" outlineLevel="0" collapsed="false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customFormat="false" ht="15.75" hidden="false" customHeight="false" outlineLevel="0" collapsed="false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customFormat="false" ht="15.75" hidden="false" customHeight="false" outlineLevel="0" collapsed="false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customFormat="false" ht="15.75" hidden="false" customHeight="false" outlineLevel="0" collapsed="false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customFormat="false" ht="15.75" hidden="false" customHeight="false" outlineLevel="0" collapsed="false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customFormat="false" ht="15.75" hidden="false" customHeight="false" outlineLevel="0" collapsed="false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customFormat="false" ht="15.75" hidden="false" customHeight="false" outlineLevel="0" collapsed="false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customFormat="false" ht="15.75" hidden="false" customHeight="false" outlineLevel="0" collapsed="false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customFormat="false" ht="15.75" hidden="false" customHeight="false" outlineLevel="0" collapsed="false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customFormat="false" ht="15.75" hidden="false" customHeight="false" outlineLevel="0" collapsed="false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customFormat="false" ht="15.75" hidden="false" customHeight="false" outlineLevel="0" collapsed="false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customFormat="false" ht="15.75" hidden="false" customHeight="false" outlineLevel="0" collapsed="false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customFormat="false" ht="15.75" hidden="false" customHeight="false" outlineLevel="0" collapsed="false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customFormat="false" ht="15.75" hidden="false" customHeight="false" outlineLevel="0" collapsed="false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customFormat="false" ht="15.75" hidden="false" customHeight="false" outlineLevel="0" collapsed="false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customFormat="false" ht="15.75" hidden="false" customHeight="false" outlineLevel="0" collapsed="false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customFormat="false" ht="15.75" hidden="false" customHeight="false" outlineLevel="0" collapsed="false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customFormat="false" ht="15.75" hidden="false" customHeight="false" outlineLevel="0" collapsed="false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customFormat="false" ht="15.75" hidden="false" customHeight="false" outlineLevel="0" collapsed="false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customFormat="false" ht="15.75" hidden="false" customHeight="false" outlineLevel="0" collapsed="false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customFormat="false" ht="15.75" hidden="false" customHeight="false" outlineLevel="0" collapsed="false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customFormat="false" ht="15.75" hidden="false" customHeight="false" outlineLevel="0" collapsed="false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customFormat="false" ht="15.75" hidden="false" customHeight="false" outlineLevel="0" collapsed="false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customFormat="false" ht="15.75" hidden="false" customHeight="false" outlineLevel="0" collapsed="false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customFormat="false" ht="15.75" hidden="false" customHeight="false" outlineLevel="0" collapsed="false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customFormat="false" ht="15.75" hidden="false" customHeight="false" outlineLevel="0" collapsed="false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customFormat="false" ht="15.75" hidden="false" customHeight="false" outlineLevel="0" collapsed="false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customFormat="false" ht="15.75" hidden="false" customHeight="false" outlineLevel="0" collapsed="false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customFormat="false" ht="15.75" hidden="false" customHeight="false" outlineLevel="0" collapsed="false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customFormat="false" ht="15.75" hidden="false" customHeight="false" outlineLevel="0" collapsed="false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customFormat="false" ht="15.75" hidden="false" customHeight="false" outlineLevel="0" collapsed="false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customFormat="false" ht="15.75" hidden="false" customHeight="false" outlineLevel="0" collapsed="false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customFormat="false" ht="15.75" hidden="false" customHeight="false" outlineLevel="0" collapsed="false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customFormat="false" ht="15.75" hidden="false" customHeight="false" outlineLevel="0" collapsed="false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customFormat="false" ht="15.75" hidden="false" customHeight="false" outlineLevel="0" collapsed="false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customFormat="false" ht="15.75" hidden="false" customHeight="false" outlineLevel="0" collapsed="false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customFormat="false" ht="15.75" hidden="false" customHeight="false" outlineLevel="0" collapsed="false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customFormat="false" ht="15.75" hidden="false" customHeight="false" outlineLevel="0" collapsed="false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customFormat="false" ht="15.75" hidden="false" customHeight="false" outlineLevel="0" collapsed="false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customFormat="false" ht="15.75" hidden="false" customHeight="false" outlineLevel="0" collapsed="false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customFormat="false" ht="15.75" hidden="false" customHeight="false" outlineLevel="0" collapsed="false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customFormat="false" ht="15.75" hidden="false" customHeight="false" outlineLevel="0" collapsed="false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customFormat="false" ht="15.75" hidden="false" customHeight="false" outlineLevel="0" collapsed="false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customFormat="false" ht="15.75" hidden="false" customHeight="false" outlineLevel="0" collapsed="false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customFormat="false" ht="15.75" hidden="false" customHeight="false" outlineLevel="0" collapsed="false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customFormat="false" ht="15.75" hidden="false" customHeight="false" outlineLevel="0" collapsed="false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customFormat="false" ht="15.75" hidden="false" customHeight="false" outlineLevel="0" collapsed="false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customFormat="false" ht="15.75" hidden="false" customHeight="false" outlineLevel="0" collapsed="false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customFormat="false" ht="15.75" hidden="false" customHeight="false" outlineLevel="0" collapsed="false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customFormat="false" ht="15.75" hidden="false" customHeight="false" outlineLevel="0" collapsed="false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customFormat="false" ht="15.75" hidden="false" customHeight="false" outlineLevel="0" collapsed="false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customFormat="false" ht="15.75" hidden="false" customHeight="false" outlineLevel="0" collapsed="false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customFormat="false" ht="15.75" hidden="false" customHeight="false" outlineLevel="0" collapsed="false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customFormat="false" ht="15.75" hidden="false" customHeight="false" outlineLevel="0" collapsed="false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customFormat="false" ht="15.75" hidden="false" customHeight="false" outlineLevel="0" collapsed="false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customFormat="false" ht="15.75" hidden="false" customHeight="false" outlineLevel="0" collapsed="false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customFormat="false" ht="15.75" hidden="false" customHeight="false" outlineLevel="0" collapsed="false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customFormat="false" ht="15.75" hidden="false" customHeight="false" outlineLevel="0" collapsed="false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customFormat="false" ht="15.75" hidden="false" customHeight="false" outlineLevel="0" collapsed="false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customFormat="false" ht="15.75" hidden="false" customHeight="false" outlineLevel="0" collapsed="false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customFormat="false" ht="15.75" hidden="false" customHeight="false" outlineLevel="0" collapsed="false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customFormat="false" ht="15.75" hidden="false" customHeight="false" outlineLevel="0" collapsed="false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customFormat="false" ht="15.75" hidden="false" customHeight="false" outlineLevel="0" collapsed="false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customFormat="false" ht="15.75" hidden="false" customHeight="false" outlineLevel="0" collapsed="false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customFormat="false" ht="15.75" hidden="false" customHeight="false" outlineLevel="0" collapsed="false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customFormat="false" ht="15.75" hidden="false" customHeight="false" outlineLevel="0" collapsed="false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customFormat="false" ht="15.75" hidden="false" customHeight="false" outlineLevel="0" collapsed="false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customFormat="false" ht="15.75" hidden="false" customHeight="false" outlineLevel="0" collapsed="false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customFormat="false" ht="15.75" hidden="false" customHeight="false" outlineLevel="0" collapsed="false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customFormat="false" ht="15.75" hidden="false" customHeight="false" outlineLevel="0" collapsed="false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customFormat="false" ht="15.75" hidden="false" customHeight="false" outlineLevel="0" collapsed="false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customFormat="false" ht="15.75" hidden="false" customHeight="false" outlineLevel="0" collapsed="false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customFormat="false" ht="15.75" hidden="false" customHeight="false" outlineLevel="0" collapsed="false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customFormat="false" ht="15.75" hidden="false" customHeight="false" outlineLevel="0" collapsed="false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customFormat="false" ht="15.75" hidden="false" customHeight="false" outlineLevel="0" collapsed="false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customFormat="false" ht="15.75" hidden="false" customHeight="false" outlineLevel="0" collapsed="false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customFormat="false" ht="15.75" hidden="false" customHeight="false" outlineLevel="0" collapsed="false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customFormat="false" ht="15.75" hidden="false" customHeight="false" outlineLevel="0" collapsed="false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customFormat="false" ht="15.75" hidden="false" customHeight="false" outlineLevel="0" collapsed="false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customFormat="false" ht="15.75" hidden="false" customHeight="false" outlineLevel="0" collapsed="false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customFormat="false" ht="15.75" hidden="false" customHeight="false" outlineLevel="0" collapsed="false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customFormat="false" ht="15.75" hidden="false" customHeight="false" outlineLevel="0" collapsed="false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customFormat="false" ht="15.75" hidden="false" customHeight="false" outlineLevel="0" collapsed="false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customFormat="false" ht="15.75" hidden="false" customHeight="false" outlineLevel="0" collapsed="false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customFormat="false" ht="15.75" hidden="false" customHeight="false" outlineLevel="0" collapsed="false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customFormat="false" ht="15.75" hidden="false" customHeight="false" outlineLevel="0" collapsed="false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customFormat="false" ht="15.75" hidden="false" customHeight="false" outlineLevel="0" collapsed="false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customFormat="false" ht="15.75" hidden="false" customHeight="false" outlineLevel="0" collapsed="false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customFormat="false" ht="15.75" hidden="false" customHeight="false" outlineLevel="0" collapsed="false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customFormat="false" ht="15.75" hidden="false" customHeight="false" outlineLevel="0" collapsed="false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customFormat="false" ht="15.75" hidden="false" customHeight="false" outlineLevel="0" collapsed="false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customFormat="false" ht="15.75" hidden="false" customHeight="false" outlineLevel="0" collapsed="false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customFormat="false" ht="15.75" hidden="false" customHeight="false" outlineLevel="0" collapsed="false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customFormat="false" ht="15.75" hidden="false" customHeight="false" outlineLevel="0" collapsed="false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customFormat="false" ht="15.75" hidden="false" customHeight="false" outlineLevel="0" collapsed="false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customFormat="false" ht="15.75" hidden="false" customHeight="false" outlineLevel="0" collapsed="false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customFormat="false" ht="15.75" hidden="false" customHeight="false" outlineLevel="0" collapsed="false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customFormat="false" ht="15.75" hidden="false" customHeight="false" outlineLevel="0" collapsed="false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customFormat="false" ht="15.75" hidden="false" customHeight="false" outlineLevel="0" collapsed="false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customFormat="false" ht="15.75" hidden="false" customHeight="false" outlineLevel="0" collapsed="false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customFormat="false" ht="15.75" hidden="false" customHeight="false" outlineLevel="0" collapsed="false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customFormat="false" ht="15.75" hidden="false" customHeight="false" outlineLevel="0" collapsed="false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customFormat="false" ht="15.75" hidden="false" customHeight="false" outlineLevel="0" collapsed="false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customFormat="false" ht="15.75" hidden="false" customHeight="false" outlineLevel="0" collapsed="false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customFormat="false" ht="15.75" hidden="false" customHeight="false" outlineLevel="0" collapsed="false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customFormat="false" ht="15.75" hidden="false" customHeight="false" outlineLevel="0" collapsed="false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customFormat="false" ht="15.75" hidden="false" customHeight="false" outlineLevel="0" collapsed="false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customFormat="false" ht="15.75" hidden="false" customHeight="false" outlineLevel="0" collapsed="false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customFormat="false" ht="15.75" hidden="false" customHeight="false" outlineLevel="0" collapsed="false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customFormat="false" ht="15.75" hidden="false" customHeight="false" outlineLevel="0" collapsed="false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customFormat="false" ht="15.75" hidden="false" customHeight="false" outlineLevel="0" collapsed="false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customFormat="false" ht="15.75" hidden="false" customHeight="false" outlineLevel="0" collapsed="false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customFormat="false" ht="15.75" hidden="false" customHeight="false" outlineLevel="0" collapsed="false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customFormat="false" ht="15.75" hidden="false" customHeight="false" outlineLevel="0" collapsed="false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customFormat="false" ht="15.75" hidden="false" customHeight="false" outlineLevel="0" collapsed="false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customFormat="false" ht="15.75" hidden="false" customHeight="false" outlineLevel="0" collapsed="false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customFormat="false" ht="15.75" hidden="false" customHeight="false" outlineLevel="0" collapsed="false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customFormat="false" ht="15.75" hidden="false" customHeight="false" outlineLevel="0" collapsed="false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customFormat="false" ht="15.75" hidden="false" customHeight="false" outlineLevel="0" collapsed="false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customFormat="false" ht="15.75" hidden="false" customHeight="false" outlineLevel="0" collapsed="false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customFormat="false" ht="15.75" hidden="false" customHeight="false" outlineLevel="0" collapsed="false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customFormat="false" ht="15.75" hidden="false" customHeight="false" outlineLevel="0" collapsed="false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customFormat="false" ht="15.75" hidden="false" customHeight="false" outlineLevel="0" collapsed="false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customFormat="false" ht="15.75" hidden="false" customHeight="false" outlineLevel="0" collapsed="false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customFormat="false" ht="15.75" hidden="false" customHeight="false" outlineLevel="0" collapsed="false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customFormat="false" ht="15.75" hidden="false" customHeight="false" outlineLevel="0" collapsed="false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customFormat="false" ht="15.75" hidden="false" customHeight="false" outlineLevel="0" collapsed="false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customFormat="false" ht="15.75" hidden="false" customHeight="false" outlineLevel="0" collapsed="false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customFormat="false" ht="15.75" hidden="false" customHeight="false" outlineLevel="0" collapsed="false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customFormat="false" ht="15.75" hidden="false" customHeight="false" outlineLevel="0" collapsed="false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customFormat="false" ht="15.75" hidden="false" customHeight="false" outlineLevel="0" collapsed="false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customFormat="false" ht="15.75" hidden="false" customHeight="false" outlineLevel="0" collapsed="false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customFormat="false" ht="15.75" hidden="false" customHeight="false" outlineLevel="0" collapsed="false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customFormat="false" ht="15.75" hidden="false" customHeight="false" outlineLevel="0" collapsed="false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customFormat="false" ht="15.75" hidden="false" customHeight="false" outlineLevel="0" collapsed="false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customFormat="false" ht="15.75" hidden="false" customHeight="false" outlineLevel="0" collapsed="false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customFormat="false" ht="15.75" hidden="false" customHeight="false" outlineLevel="0" collapsed="false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customFormat="false" ht="15.75" hidden="false" customHeight="false" outlineLevel="0" collapsed="false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customFormat="false" ht="15.75" hidden="false" customHeight="false" outlineLevel="0" collapsed="false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customFormat="false" ht="15.75" hidden="false" customHeight="false" outlineLevel="0" collapsed="false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customFormat="false" ht="15.75" hidden="false" customHeight="false" outlineLevel="0" collapsed="false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customFormat="false" ht="15.75" hidden="false" customHeight="false" outlineLevel="0" collapsed="false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customFormat="false" ht="15.75" hidden="false" customHeight="false" outlineLevel="0" collapsed="false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 customFormat="false" ht="15.75" hidden="false" customHeight="false" outlineLevel="0" collapsed="false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 customFormat="false" ht="15.75" hidden="false" customHeight="false" outlineLevel="0" collapsed="false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 customFormat="false" ht="15.75" hidden="false" customHeight="false" outlineLevel="0" collapsed="false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 customFormat="false" ht="15.75" hidden="false" customHeight="false" outlineLevel="0" collapsed="false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 customFormat="false" ht="15.75" hidden="false" customHeight="false" outlineLevel="0" collapsed="false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 customFormat="false" ht="15.75" hidden="false" customHeight="false" outlineLevel="0" collapsed="false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 customFormat="false" ht="15.75" hidden="false" customHeight="false" outlineLevel="0" collapsed="false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 customFormat="false" ht="15.75" hidden="false" customHeight="false" outlineLevel="0" collapsed="false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 customFormat="false" ht="15.75" hidden="false" customHeight="false" outlineLevel="0" collapsed="false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 customFormat="false" ht="15.75" hidden="false" customHeight="false" outlineLevel="0" collapsed="false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 customFormat="false" ht="15.75" hidden="false" customHeight="false" outlineLevel="0" collapsed="false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 customFormat="false" ht="15.75" hidden="false" customHeight="false" outlineLevel="0" collapsed="false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 customFormat="false" ht="15.75" hidden="false" customHeight="false" outlineLevel="0" collapsed="false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 customFormat="false" ht="15.75" hidden="false" customHeight="false" outlineLevel="0" collapsed="false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 customFormat="false" ht="15.75" hidden="false" customHeight="false" outlineLevel="0" collapsed="false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 customFormat="false" ht="15.75" hidden="false" customHeight="false" outlineLevel="0" collapsed="false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 customFormat="false" ht="15.75" hidden="false" customHeight="false" outlineLevel="0" collapsed="false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 customFormat="false" ht="15.75" hidden="false" customHeight="false" outlineLevel="0" collapsed="false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 customFormat="false" ht="15.75" hidden="false" customHeight="false" outlineLevel="0" collapsed="false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 customFormat="false" ht="15.75" hidden="false" customHeight="false" outlineLevel="0" collapsed="false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 customFormat="false" ht="15.75" hidden="false" customHeight="false" outlineLevel="0" collapsed="false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 customFormat="false" ht="15.75" hidden="false" customHeight="false" outlineLevel="0" collapsed="false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 customFormat="false" ht="15.75" hidden="false" customHeight="false" outlineLevel="0" collapsed="false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 customFormat="false" ht="15.75" hidden="false" customHeight="false" outlineLevel="0" collapsed="false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 customFormat="false" ht="15.75" hidden="false" customHeight="false" outlineLevel="0" collapsed="false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 customFormat="false" ht="15.75" hidden="false" customHeight="false" outlineLevel="0" collapsed="false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customFormat="false" ht="15.75" hidden="false" customHeight="false" outlineLevel="0" collapsed="false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customFormat="false" ht="15.75" hidden="false" customHeight="false" outlineLevel="0" collapsed="false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 customFormat="false" ht="15.75" hidden="false" customHeight="false" outlineLevel="0" collapsed="false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 customFormat="false" ht="15.75" hidden="false" customHeight="false" outlineLevel="0" collapsed="false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customFormat="false" ht="15.75" hidden="false" customHeight="false" outlineLevel="0" collapsed="false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 customFormat="false" ht="15.75" hidden="false" customHeight="false" outlineLevel="0" collapsed="false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 customFormat="false" ht="15.75" hidden="false" customHeight="false" outlineLevel="0" collapsed="false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 customFormat="false" ht="15.75" hidden="false" customHeight="false" outlineLevel="0" collapsed="false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 customFormat="false" ht="15.75" hidden="false" customHeight="false" outlineLevel="0" collapsed="false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 customFormat="false" ht="15.75" hidden="false" customHeight="false" outlineLevel="0" collapsed="false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 customFormat="false" ht="15.75" hidden="false" customHeight="false" outlineLevel="0" collapsed="false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 customFormat="false" ht="15.75" hidden="false" customHeight="false" outlineLevel="0" collapsed="false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 customFormat="false" ht="15.75" hidden="false" customHeight="false" outlineLevel="0" collapsed="false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 customFormat="false" ht="15.75" hidden="false" customHeight="false" outlineLevel="0" collapsed="false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 customFormat="false" ht="15.75" hidden="false" customHeight="false" outlineLevel="0" collapsed="false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 customFormat="false" ht="15.75" hidden="false" customHeight="false" outlineLevel="0" collapsed="false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 customFormat="false" ht="15.75" hidden="false" customHeight="false" outlineLevel="0" collapsed="false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customFormat="false" ht="15.75" hidden="false" customHeight="false" outlineLevel="0" collapsed="false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customFormat="false" ht="15.75" hidden="false" customHeight="false" outlineLevel="0" collapsed="false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 customFormat="false" ht="15.75" hidden="false" customHeight="false" outlineLevel="0" collapsed="false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 customFormat="false" ht="15.75" hidden="false" customHeight="false" outlineLevel="0" collapsed="false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 customFormat="false" ht="15.75" hidden="false" customHeight="false" outlineLevel="0" collapsed="false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 customFormat="false" ht="15.75" hidden="false" customHeight="false" outlineLevel="0" collapsed="false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 customFormat="false" ht="15.75" hidden="false" customHeight="false" outlineLevel="0" collapsed="false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 customFormat="false" ht="15.75" hidden="false" customHeight="false" outlineLevel="0" collapsed="false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 customFormat="false" ht="15.75" hidden="false" customHeight="false" outlineLevel="0" collapsed="false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 customFormat="false" ht="15.75" hidden="false" customHeight="false" outlineLevel="0" collapsed="false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 customFormat="false" ht="15.75" hidden="false" customHeight="false" outlineLevel="0" collapsed="false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 customFormat="false" ht="15.75" hidden="false" customHeight="false" outlineLevel="0" collapsed="false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 customFormat="false" ht="15.75" hidden="false" customHeight="false" outlineLevel="0" collapsed="false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 customFormat="false" ht="15.75" hidden="false" customHeight="false" outlineLevel="0" collapsed="false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 customFormat="false" ht="15.75" hidden="false" customHeight="false" outlineLevel="0" collapsed="false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 customFormat="false" ht="15.75" hidden="false" customHeight="false" outlineLevel="0" collapsed="false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 customFormat="false" ht="15.75" hidden="false" customHeight="false" outlineLevel="0" collapsed="false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 customFormat="false" ht="15.75" hidden="false" customHeight="false" outlineLevel="0" collapsed="false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 customFormat="false" ht="15.75" hidden="false" customHeight="false" outlineLevel="0" collapsed="false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 customFormat="false" ht="15.75" hidden="false" customHeight="false" outlineLevel="0" collapsed="false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 customFormat="false" ht="15.75" hidden="false" customHeight="false" outlineLevel="0" collapsed="false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 customFormat="false" ht="15.75" hidden="false" customHeight="false" outlineLevel="0" collapsed="false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 customFormat="false" ht="15.75" hidden="false" customHeight="false" outlineLevel="0" collapsed="false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 customFormat="false" ht="15.75" hidden="false" customHeight="false" outlineLevel="0" collapsed="false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 customFormat="false" ht="15.75" hidden="false" customHeight="false" outlineLevel="0" collapsed="false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 customFormat="false" ht="15.75" hidden="false" customHeight="false" outlineLevel="0" collapsed="false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 customFormat="false" ht="15.75" hidden="false" customHeight="false" outlineLevel="0" collapsed="false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 customFormat="false" ht="15.75" hidden="false" customHeight="false" outlineLevel="0" collapsed="false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 customFormat="false" ht="15.75" hidden="false" customHeight="false" outlineLevel="0" collapsed="false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 customFormat="false" ht="15.75" hidden="false" customHeight="false" outlineLevel="0" collapsed="false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 customFormat="false" ht="15.75" hidden="false" customHeight="false" outlineLevel="0" collapsed="false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 customFormat="false" ht="15.75" hidden="false" customHeight="false" outlineLevel="0" collapsed="false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 customFormat="false" ht="15.75" hidden="false" customHeight="false" outlineLevel="0" collapsed="false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 customFormat="false" ht="15.75" hidden="false" customHeight="false" outlineLevel="0" collapsed="false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 customFormat="false" ht="15.75" hidden="false" customHeight="false" outlineLevel="0" collapsed="false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customFormat="false" ht="15.75" hidden="false" customHeight="false" outlineLevel="0" collapsed="false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customFormat="false" ht="15.75" hidden="false" customHeight="false" outlineLevel="0" collapsed="false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 customFormat="false" ht="15.75" hidden="false" customHeight="false" outlineLevel="0" collapsed="false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 customFormat="false" ht="15.75" hidden="false" customHeight="false" outlineLevel="0" collapsed="false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 customFormat="false" ht="15.75" hidden="false" customHeight="false" outlineLevel="0" collapsed="false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 customFormat="false" ht="15.75" hidden="false" customHeight="false" outlineLevel="0" collapsed="false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 customFormat="false" ht="15.75" hidden="false" customHeight="false" outlineLevel="0" collapsed="false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 customFormat="false" ht="15.75" hidden="false" customHeight="false" outlineLevel="0" collapsed="false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 customFormat="false" ht="15.75" hidden="false" customHeight="false" outlineLevel="0" collapsed="false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 customFormat="false" ht="15.75" hidden="false" customHeight="false" outlineLevel="0" collapsed="false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 customFormat="false" ht="15.75" hidden="false" customHeight="false" outlineLevel="0" collapsed="false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 customFormat="false" ht="15.75" hidden="false" customHeight="false" outlineLevel="0" collapsed="false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 customFormat="false" ht="15.75" hidden="false" customHeight="false" outlineLevel="0" collapsed="false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 customFormat="false" ht="15.75" hidden="false" customHeight="false" outlineLevel="0" collapsed="false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 customFormat="false" ht="15.75" hidden="false" customHeight="false" outlineLevel="0" collapsed="false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 customFormat="false" ht="15.75" hidden="false" customHeight="false" outlineLevel="0" collapsed="false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customFormat="false" ht="15.75" hidden="false" customHeight="false" outlineLevel="0" collapsed="false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customFormat="false" ht="15.75" hidden="false" customHeight="false" outlineLevel="0" collapsed="false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customFormat="false" ht="15.75" hidden="false" customHeight="false" outlineLevel="0" collapsed="false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customFormat="false" ht="15.75" hidden="false" customHeight="false" outlineLevel="0" collapsed="false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 customFormat="false" ht="15.75" hidden="false" customHeight="false" outlineLevel="0" collapsed="false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 customFormat="false" ht="15.75" hidden="false" customHeight="false" outlineLevel="0" collapsed="false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 customFormat="false" ht="15.75" hidden="false" customHeight="false" outlineLevel="0" collapsed="false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 customFormat="false" ht="15.75" hidden="false" customHeight="false" outlineLevel="0" collapsed="false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 customFormat="false" ht="15.75" hidden="false" customHeight="false" outlineLevel="0" collapsed="false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 customFormat="false" ht="15.75" hidden="false" customHeight="false" outlineLevel="0" collapsed="false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 customFormat="false" ht="15.75" hidden="false" customHeight="false" outlineLevel="0" collapsed="false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 customFormat="false" ht="15.75" hidden="false" customHeight="false" outlineLevel="0" collapsed="false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 customFormat="false" ht="15.75" hidden="false" customHeight="false" outlineLevel="0" collapsed="false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customFormat="false" ht="15.75" hidden="false" customHeight="false" outlineLevel="0" collapsed="false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customFormat="false" ht="15.75" hidden="false" customHeight="false" outlineLevel="0" collapsed="false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customFormat="false" ht="15.75" hidden="false" customHeight="false" outlineLevel="0" collapsed="false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customFormat="false" ht="15.75" hidden="false" customHeight="false" outlineLevel="0" collapsed="false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 customFormat="false" ht="15.75" hidden="false" customHeight="false" outlineLevel="0" collapsed="false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 customFormat="false" ht="15.75" hidden="false" customHeight="false" outlineLevel="0" collapsed="false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 customFormat="false" ht="15.75" hidden="false" customHeight="false" outlineLevel="0" collapsed="false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customFormat="false" ht="15.75" hidden="false" customHeight="false" outlineLevel="0" collapsed="false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 customFormat="false" ht="15.75" hidden="false" customHeight="false" outlineLevel="0" collapsed="false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customFormat="false" ht="15.75" hidden="false" customHeight="false" outlineLevel="0" collapsed="false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customFormat="false" ht="15.75" hidden="false" customHeight="false" outlineLevel="0" collapsed="false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customFormat="false" ht="15.75" hidden="false" customHeight="false" outlineLevel="0" collapsed="false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customFormat="false" ht="15.75" hidden="false" customHeight="false" outlineLevel="0" collapsed="false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customFormat="false" ht="15.75" hidden="false" customHeight="false" outlineLevel="0" collapsed="false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 customFormat="false" ht="15.75" hidden="false" customHeight="false" outlineLevel="0" collapsed="false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 customFormat="false" ht="15.75" hidden="false" customHeight="false" outlineLevel="0" collapsed="false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 customFormat="false" ht="15.75" hidden="false" customHeight="false" outlineLevel="0" collapsed="false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 customFormat="false" ht="15.75" hidden="false" customHeight="false" outlineLevel="0" collapsed="false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 customFormat="false" ht="15.75" hidden="false" customHeight="false" outlineLevel="0" collapsed="false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 customFormat="false" ht="15.75" hidden="false" customHeight="false" outlineLevel="0" collapsed="false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 customFormat="false" ht="15.75" hidden="false" customHeight="false" outlineLevel="0" collapsed="false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 customFormat="false" ht="15.75" hidden="false" customHeight="false" outlineLevel="0" collapsed="false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 customFormat="false" ht="15.75" hidden="false" customHeight="false" outlineLevel="0" collapsed="false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 customFormat="false" ht="15.75" hidden="false" customHeight="false" outlineLevel="0" collapsed="false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 customFormat="false" ht="15.75" hidden="false" customHeight="false" outlineLevel="0" collapsed="false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 customFormat="false" ht="15.75" hidden="false" customHeight="false" outlineLevel="0" collapsed="false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 customFormat="false" ht="15.75" hidden="false" customHeight="false" outlineLevel="0" collapsed="false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 customFormat="false" ht="15.75" hidden="false" customHeight="false" outlineLevel="0" collapsed="false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 customFormat="false" ht="15.75" hidden="false" customHeight="false" outlineLevel="0" collapsed="false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 customFormat="false" ht="15.75" hidden="false" customHeight="false" outlineLevel="0" collapsed="false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 customFormat="false" ht="15.75" hidden="false" customHeight="false" outlineLevel="0" collapsed="false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 customFormat="false" ht="15.75" hidden="false" customHeight="false" outlineLevel="0" collapsed="false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 customFormat="false" ht="15.75" hidden="false" customHeight="false" outlineLevel="0" collapsed="false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 customFormat="false" ht="15.75" hidden="false" customHeight="false" outlineLevel="0" collapsed="false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 customFormat="false" ht="15.75" hidden="false" customHeight="false" outlineLevel="0" collapsed="false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 customFormat="false" ht="15.75" hidden="false" customHeight="false" outlineLevel="0" collapsed="false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 customFormat="false" ht="15.75" hidden="false" customHeight="false" outlineLevel="0" collapsed="false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 customFormat="false" ht="15.75" hidden="false" customHeight="false" outlineLevel="0" collapsed="false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 customFormat="false" ht="15.75" hidden="false" customHeight="false" outlineLevel="0" collapsed="false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 customFormat="false" ht="15.75" hidden="false" customHeight="false" outlineLevel="0" collapsed="false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 customFormat="false" ht="15.75" hidden="false" customHeight="false" outlineLevel="0" collapsed="false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 customFormat="false" ht="15.75" hidden="false" customHeight="false" outlineLevel="0" collapsed="false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 customFormat="false" ht="15.75" hidden="false" customHeight="false" outlineLevel="0" collapsed="false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 customFormat="false" ht="15.75" hidden="false" customHeight="false" outlineLevel="0" collapsed="false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 customFormat="false" ht="15.75" hidden="false" customHeight="false" outlineLevel="0" collapsed="false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 customFormat="false" ht="15.75" hidden="false" customHeight="false" outlineLevel="0" collapsed="false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 customFormat="false" ht="15.75" hidden="false" customHeight="false" outlineLevel="0" collapsed="false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 customFormat="false" ht="15.75" hidden="false" customHeight="false" outlineLevel="0" collapsed="false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 customFormat="false" ht="15.75" hidden="false" customHeight="false" outlineLevel="0" collapsed="false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 customFormat="false" ht="15.75" hidden="false" customHeight="false" outlineLevel="0" collapsed="false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 customFormat="false" ht="15.75" hidden="false" customHeight="false" outlineLevel="0" collapsed="false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 customFormat="false" ht="15.75" hidden="false" customHeight="false" outlineLevel="0" collapsed="false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 customFormat="false" ht="15.75" hidden="false" customHeight="false" outlineLevel="0" collapsed="false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 customFormat="false" ht="15.75" hidden="false" customHeight="false" outlineLevel="0" collapsed="false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 customFormat="false" ht="15.75" hidden="false" customHeight="false" outlineLevel="0" collapsed="false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 customFormat="false" ht="15.75" hidden="false" customHeight="false" outlineLevel="0" collapsed="false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 customFormat="false" ht="15.75" hidden="false" customHeight="false" outlineLevel="0" collapsed="false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 customFormat="false" ht="15.75" hidden="false" customHeight="false" outlineLevel="0" collapsed="false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 customFormat="false" ht="15.75" hidden="false" customHeight="false" outlineLevel="0" collapsed="false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 customFormat="false" ht="15.75" hidden="false" customHeight="false" outlineLevel="0" collapsed="false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 customFormat="false" ht="15.75" hidden="false" customHeight="false" outlineLevel="0" collapsed="false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 customFormat="false" ht="15.75" hidden="false" customHeight="false" outlineLevel="0" collapsed="false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 customFormat="false" ht="15.75" hidden="false" customHeight="false" outlineLevel="0" collapsed="false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 customFormat="false" ht="15.75" hidden="false" customHeight="false" outlineLevel="0" collapsed="false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 customFormat="false" ht="15.75" hidden="false" customHeight="false" outlineLevel="0" collapsed="false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 customFormat="false" ht="15.75" hidden="false" customHeight="false" outlineLevel="0" collapsed="false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 customFormat="false" ht="15.75" hidden="false" customHeight="false" outlineLevel="0" collapsed="false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 customFormat="false" ht="15.75" hidden="false" customHeight="false" outlineLevel="0" collapsed="false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 customFormat="false" ht="15.75" hidden="false" customHeight="false" outlineLevel="0" collapsed="false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 customFormat="false" ht="15.75" hidden="false" customHeight="false" outlineLevel="0" collapsed="false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 customFormat="false" ht="15.75" hidden="false" customHeight="false" outlineLevel="0" collapsed="false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 customFormat="false" ht="15.75" hidden="false" customHeight="false" outlineLevel="0" collapsed="false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 customFormat="false" ht="15.75" hidden="false" customHeight="false" outlineLevel="0" collapsed="false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 customFormat="false" ht="15.75" hidden="false" customHeight="false" outlineLevel="0" collapsed="false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 customFormat="false" ht="15.75" hidden="false" customHeight="false" outlineLevel="0" collapsed="false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 customFormat="false" ht="15.75" hidden="false" customHeight="false" outlineLevel="0" collapsed="false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 customFormat="false" ht="15.75" hidden="false" customHeight="false" outlineLevel="0" collapsed="false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 customFormat="false" ht="15.75" hidden="false" customHeight="false" outlineLevel="0" collapsed="false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 customFormat="false" ht="15.75" hidden="false" customHeight="false" outlineLevel="0" collapsed="false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 customFormat="false" ht="15.75" hidden="false" customHeight="false" outlineLevel="0" collapsed="false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 customFormat="false" ht="15.75" hidden="false" customHeight="false" outlineLevel="0" collapsed="false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 customFormat="false" ht="15.75" hidden="false" customHeight="false" outlineLevel="0" collapsed="false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 customFormat="false" ht="15.75" hidden="false" customHeight="false" outlineLevel="0" collapsed="false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 customFormat="false" ht="15.75" hidden="false" customHeight="false" outlineLevel="0" collapsed="false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 customFormat="false" ht="15.75" hidden="false" customHeight="false" outlineLevel="0" collapsed="false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 customFormat="false" ht="15.75" hidden="false" customHeight="false" outlineLevel="0" collapsed="false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 customFormat="false" ht="15.75" hidden="false" customHeight="false" outlineLevel="0" collapsed="false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 customFormat="false" ht="15.75" hidden="false" customHeight="false" outlineLevel="0" collapsed="false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 customFormat="false" ht="15.75" hidden="false" customHeight="false" outlineLevel="0" collapsed="false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 customFormat="false" ht="15.75" hidden="false" customHeight="false" outlineLevel="0" collapsed="false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 customFormat="false" ht="15.75" hidden="false" customHeight="false" outlineLevel="0" collapsed="false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 customFormat="false" ht="15.75" hidden="false" customHeight="false" outlineLevel="0" collapsed="false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 customFormat="false" ht="15.75" hidden="false" customHeight="false" outlineLevel="0" collapsed="false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 customFormat="false" ht="15.75" hidden="false" customHeight="false" outlineLevel="0" collapsed="false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 customFormat="false" ht="15.75" hidden="false" customHeight="false" outlineLevel="0" collapsed="false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 customFormat="false" ht="15.75" hidden="false" customHeight="false" outlineLevel="0" collapsed="false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 customFormat="false" ht="15.75" hidden="false" customHeight="false" outlineLevel="0" collapsed="false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 customFormat="false" ht="15.75" hidden="false" customHeight="false" outlineLevel="0" collapsed="false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 customFormat="false" ht="15.75" hidden="false" customHeight="false" outlineLevel="0" collapsed="false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 customFormat="false" ht="15.75" hidden="false" customHeight="false" outlineLevel="0" collapsed="false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 customFormat="false" ht="15.75" hidden="false" customHeight="false" outlineLevel="0" collapsed="false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 customFormat="false" ht="15.75" hidden="false" customHeight="false" outlineLevel="0" collapsed="false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 customFormat="false" ht="15.75" hidden="false" customHeight="false" outlineLevel="0" collapsed="false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 customFormat="false" ht="15.75" hidden="false" customHeight="false" outlineLevel="0" collapsed="false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 customFormat="false" ht="15.75" hidden="false" customHeight="false" outlineLevel="0" collapsed="false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 customFormat="false" ht="15.75" hidden="false" customHeight="false" outlineLevel="0" collapsed="false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 customFormat="false" ht="15.75" hidden="false" customHeight="false" outlineLevel="0" collapsed="false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 customFormat="false" ht="15.75" hidden="false" customHeight="false" outlineLevel="0" collapsed="false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 customFormat="false" ht="15.75" hidden="false" customHeight="false" outlineLevel="0" collapsed="false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 customFormat="false" ht="15.75" hidden="false" customHeight="false" outlineLevel="0" collapsed="false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 customFormat="false" ht="15.75" hidden="false" customHeight="false" outlineLevel="0" collapsed="false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 customFormat="false" ht="15.75" hidden="false" customHeight="false" outlineLevel="0" collapsed="false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 customFormat="false" ht="15.75" hidden="false" customHeight="false" outlineLevel="0" collapsed="false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 customFormat="false" ht="15.75" hidden="false" customHeight="false" outlineLevel="0" collapsed="false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 customFormat="false" ht="15.75" hidden="false" customHeight="false" outlineLevel="0" collapsed="false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 customFormat="false" ht="15.75" hidden="false" customHeight="false" outlineLevel="0" collapsed="false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 customFormat="false" ht="15.75" hidden="false" customHeight="false" outlineLevel="0" collapsed="false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 customFormat="false" ht="15.75" hidden="false" customHeight="false" outlineLevel="0" collapsed="false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 customFormat="false" ht="15.75" hidden="false" customHeight="false" outlineLevel="0" collapsed="false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 customFormat="false" ht="15.75" hidden="false" customHeight="false" outlineLevel="0" collapsed="false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 customFormat="false" ht="15.75" hidden="false" customHeight="false" outlineLevel="0" collapsed="false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 customFormat="false" ht="15.75" hidden="false" customHeight="false" outlineLevel="0" collapsed="false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 customFormat="false" ht="15.75" hidden="false" customHeight="false" outlineLevel="0" collapsed="false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 customFormat="false" ht="15.75" hidden="false" customHeight="false" outlineLevel="0" collapsed="false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 customFormat="false" ht="15.75" hidden="false" customHeight="false" outlineLevel="0" collapsed="false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 customFormat="false" ht="15.75" hidden="false" customHeight="false" outlineLevel="0" collapsed="false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 customFormat="false" ht="15.75" hidden="false" customHeight="false" outlineLevel="0" collapsed="false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 customFormat="false" ht="15.75" hidden="false" customHeight="false" outlineLevel="0" collapsed="false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 customFormat="false" ht="15.75" hidden="false" customHeight="false" outlineLevel="0" collapsed="false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 customFormat="false" ht="15.75" hidden="false" customHeight="false" outlineLevel="0" collapsed="false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 customFormat="false" ht="15.75" hidden="false" customHeight="false" outlineLevel="0" collapsed="false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 customFormat="false" ht="15.75" hidden="false" customHeight="false" outlineLevel="0" collapsed="false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 customFormat="false" ht="15.75" hidden="false" customHeight="false" outlineLevel="0" collapsed="false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 customFormat="false" ht="15.75" hidden="false" customHeight="false" outlineLevel="0" collapsed="false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 customFormat="false" ht="15.75" hidden="false" customHeight="false" outlineLevel="0" collapsed="false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 customFormat="false" ht="15.75" hidden="false" customHeight="false" outlineLevel="0" collapsed="false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 customFormat="false" ht="15.75" hidden="false" customHeight="false" outlineLevel="0" collapsed="false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 customFormat="false" ht="15.75" hidden="false" customHeight="false" outlineLevel="0" collapsed="false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 customFormat="false" ht="15.75" hidden="false" customHeight="false" outlineLevel="0" collapsed="false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 customFormat="false" ht="15.75" hidden="false" customHeight="false" outlineLevel="0" collapsed="false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 customFormat="false" ht="15.75" hidden="false" customHeight="false" outlineLevel="0" collapsed="false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 customFormat="false" ht="15.75" hidden="false" customHeight="false" outlineLevel="0" collapsed="false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 customFormat="false" ht="15.75" hidden="false" customHeight="false" outlineLevel="0" collapsed="false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 customFormat="false" ht="15.75" hidden="false" customHeight="false" outlineLevel="0" collapsed="false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 customFormat="false" ht="15.75" hidden="false" customHeight="false" outlineLevel="0" collapsed="false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 customFormat="false" ht="15.75" hidden="false" customHeight="false" outlineLevel="0" collapsed="false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 customFormat="false" ht="15.75" hidden="false" customHeight="false" outlineLevel="0" collapsed="false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 customFormat="false" ht="15.75" hidden="false" customHeight="false" outlineLevel="0" collapsed="false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 customFormat="false" ht="15.75" hidden="false" customHeight="false" outlineLevel="0" collapsed="false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 customFormat="false" ht="15.75" hidden="false" customHeight="false" outlineLevel="0" collapsed="false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 customFormat="false" ht="15.75" hidden="false" customHeight="false" outlineLevel="0" collapsed="false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 customFormat="false" ht="15.75" hidden="false" customHeight="false" outlineLevel="0" collapsed="false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 customFormat="false" ht="15.75" hidden="false" customHeight="false" outlineLevel="0" collapsed="false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 customFormat="false" ht="15.75" hidden="false" customHeight="false" outlineLevel="0" collapsed="false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 customFormat="false" ht="15.75" hidden="false" customHeight="false" outlineLevel="0" collapsed="false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 customFormat="false" ht="15.75" hidden="false" customHeight="false" outlineLevel="0" collapsed="false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 customFormat="false" ht="15.75" hidden="false" customHeight="false" outlineLevel="0" collapsed="false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 customFormat="false" ht="15.75" hidden="false" customHeight="false" outlineLevel="0" collapsed="false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 customFormat="false" ht="15.75" hidden="false" customHeight="false" outlineLevel="0" collapsed="false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 customFormat="false" ht="15.75" hidden="false" customHeight="false" outlineLevel="0" collapsed="false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 customFormat="false" ht="15.75" hidden="false" customHeight="false" outlineLevel="0" collapsed="false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 customFormat="false" ht="15.75" hidden="false" customHeight="false" outlineLevel="0" collapsed="false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 customFormat="false" ht="15.75" hidden="false" customHeight="false" outlineLevel="0" collapsed="false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 customFormat="false" ht="15.75" hidden="false" customHeight="false" outlineLevel="0" collapsed="false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 customFormat="false" ht="15.75" hidden="false" customHeight="false" outlineLevel="0" collapsed="false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 customFormat="false" ht="15.75" hidden="false" customHeight="false" outlineLevel="0" collapsed="false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 customFormat="false" ht="15.75" hidden="false" customHeight="false" outlineLevel="0" collapsed="false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 customFormat="false" ht="15.75" hidden="false" customHeight="false" outlineLevel="0" collapsed="false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 customFormat="false" ht="15.75" hidden="false" customHeight="false" outlineLevel="0" collapsed="false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 customFormat="false" ht="15.75" hidden="false" customHeight="false" outlineLevel="0" collapsed="false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 customFormat="false" ht="15.75" hidden="false" customHeight="false" outlineLevel="0" collapsed="false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 customFormat="false" ht="15.75" hidden="false" customHeight="false" outlineLevel="0" collapsed="false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 customFormat="false" ht="15.75" hidden="false" customHeight="false" outlineLevel="0" collapsed="false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 customFormat="false" ht="15.75" hidden="false" customHeight="false" outlineLevel="0" collapsed="false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 customFormat="false" ht="15.75" hidden="false" customHeight="false" outlineLevel="0" collapsed="false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 customFormat="false" ht="15.75" hidden="false" customHeight="false" outlineLevel="0" collapsed="false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 customFormat="false" ht="15.75" hidden="false" customHeight="false" outlineLevel="0" collapsed="false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 customFormat="false" ht="15.75" hidden="false" customHeight="false" outlineLevel="0" collapsed="false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 customFormat="false" ht="15.75" hidden="false" customHeight="false" outlineLevel="0" collapsed="false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 customFormat="false" ht="15.75" hidden="false" customHeight="false" outlineLevel="0" collapsed="false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 customFormat="false" ht="15.75" hidden="false" customHeight="false" outlineLevel="0" collapsed="false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 customFormat="false" ht="15.75" hidden="false" customHeight="false" outlineLevel="0" collapsed="false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 customFormat="false" ht="15.75" hidden="false" customHeight="false" outlineLevel="0" collapsed="false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 customFormat="false" ht="15.75" hidden="false" customHeight="false" outlineLevel="0" collapsed="false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 customFormat="false" ht="15.75" hidden="false" customHeight="false" outlineLevel="0" collapsed="false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 customFormat="false" ht="15.75" hidden="false" customHeight="false" outlineLevel="0" collapsed="false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 customFormat="false" ht="15.75" hidden="false" customHeight="false" outlineLevel="0" collapsed="false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 customFormat="false" ht="15.75" hidden="false" customHeight="false" outlineLevel="0" collapsed="false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 customFormat="false" ht="15.75" hidden="false" customHeight="false" outlineLevel="0" collapsed="false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 customFormat="false" ht="15.75" hidden="false" customHeight="false" outlineLevel="0" collapsed="false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 customFormat="false" ht="15.75" hidden="false" customHeight="false" outlineLevel="0" collapsed="false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 customFormat="false" ht="15.75" hidden="false" customHeight="false" outlineLevel="0" collapsed="false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 customFormat="false" ht="15.75" hidden="false" customHeight="false" outlineLevel="0" collapsed="false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 customFormat="false" ht="15.75" hidden="false" customHeight="false" outlineLevel="0" collapsed="false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 customFormat="false" ht="15.75" hidden="false" customHeight="false" outlineLevel="0" collapsed="false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 customFormat="false" ht="15.75" hidden="false" customHeight="false" outlineLevel="0" collapsed="false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 customFormat="false" ht="15.75" hidden="false" customHeight="false" outlineLevel="0" collapsed="false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 customFormat="false" ht="15.75" hidden="false" customHeight="false" outlineLevel="0" collapsed="false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 customFormat="false" ht="15.75" hidden="false" customHeight="false" outlineLevel="0" collapsed="false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 customFormat="false" ht="15.75" hidden="false" customHeight="false" outlineLevel="0" collapsed="false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 customFormat="false" ht="15.75" hidden="false" customHeight="false" outlineLevel="0" collapsed="false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 customFormat="false" ht="15.75" hidden="false" customHeight="false" outlineLevel="0" collapsed="false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 customFormat="false" ht="15.75" hidden="false" customHeight="false" outlineLevel="0" collapsed="false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 customFormat="false" ht="15.75" hidden="false" customHeight="false" outlineLevel="0" collapsed="false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 customFormat="false" ht="15.75" hidden="false" customHeight="false" outlineLevel="0" collapsed="false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 customFormat="false" ht="15.75" hidden="false" customHeight="false" outlineLevel="0" collapsed="false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 customFormat="false" ht="15.75" hidden="false" customHeight="false" outlineLevel="0" collapsed="false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 customFormat="false" ht="15.75" hidden="false" customHeight="false" outlineLevel="0" collapsed="false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 customFormat="false" ht="15.75" hidden="false" customHeight="false" outlineLevel="0" collapsed="false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 customFormat="false" ht="15.75" hidden="false" customHeight="false" outlineLevel="0" collapsed="false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 customFormat="false" ht="15.75" hidden="false" customHeight="false" outlineLevel="0" collapsed="false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 customFormat="false" ht="15.75" hidden="false" customHeight="false" outlineLevel="0" collapsed="false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 customFormat="false" ht="15.75" hidden="false" customHeight="false" outlineLevel="0" collapsed="false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 customFormat="false" ht="15.75" hidden="false" customHeight="false" outlineLevel="0" collapsed="false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 customFormat="false" ht="15.75" hidden="false" customHeight="false" outlineLevel="0" collapsed="false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 customFormat="false" ht="15.75" hidden="false" customHeight="false" outlineLevel="0" collapsed="false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 customFormat="false" ht="15.75" hidden="false" customHeight="false" outlineLevel="0" collapsed="false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 customFormat="false" ht="15.75" hidden="false" customHeight="false" outlineLevel="0" collapsed="false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 customFormat="false" ht="15.75" hidden="false" customHeight="false" outlineLevel="0" collapsed="false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 customFormat="false" ht="15.75" hidden="false" customHeight="false" outlineLevel="0" collapsed="false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 customFormat="false" ht="15.75" hidden="false" customHeight="false" outlineLevel="0" collapsed="false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 customFormat="false" ht="15.75" hidden="false" customHeight="false" outlineLevel="0" collapsed="false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 customFormat="false" ht="15.75" hidden="false" customHeight="false" outlineLevel="0" collapsed="false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 customFormat="false" ht="15.75" hidden="false" customHeight="false" outlineLevel="0" collapsed="false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 customFormat="false" ht="15.75" hidden="false" customHeight="false" outlineLevel="0" collapsed="false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 customFormat="false" ht="15.75" hidden="false" customHeight="false" outlineLevel="0" collapsed="false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 customFormat="false" ht="15.75" hidden="false" customHeight="false" outlineLevel="0" collapsed="false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 customFormat="false" ht="15.75" hidden="false" customHeight="false" outlineLevel="0" collapsed="false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 customFormat="false" ht="15.75" hidden="false" customHeight="false" outlineLevel="0" collapsed="false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 customFormat="false" ht="15.75" hidden="false" customHeight="false" outlineLevel="0" collapsed="false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 customFormat="false" ht="15.75" hidden="false" customHeight="false" outlineLevel="0" collapsed="false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 customFormat="false" ht="15.75" hidden="false" customHeight="false" outlineLevel="0" collapsed="false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 customFormat="false" ht="15.75" hidden="false" customHeight="false" outlineLevel="0" collapsed="false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 customFormat="false" ht="15.75" hidden="false" customHeight="false" outlineLevel="0" collapsed="false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 customFormat="false" ht="15.75" hidden="false" customHeight="false" outlineLevel="0" collapsed="false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 customFormat="false" ht="15.75" hidden="false" customHeight="false" outlineLevel="0" collapsed="false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 customFormat="false" ht="15.75" hidden="false" customHeight="false" outlineLevel="0" collapsed="false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 customFormat="false" ht="15.75" hidden="false" customHeight="false" outlineLevel="0" collapsed="false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 customFormat="false" ht="15.75" hidden="false" customHeight="false" outlineLevel="0" collapsed="false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 customFormat="false" ht="15.75" hidden="false" customHeight="false" outlineLevel="0" collapsed="false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 customFormat="false" ht="15.75" hidden="false" customHeight="false" outlineLevel="0" collapsed="false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 customFormat="false" ht="15.75" hidden="false" customHeight="false" outlineLevel="0" collapsed="false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 customFormat="false" ht="15.75" hidden="false" customHeight="false" outlineLevel="0" collapsed="false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 customFormat="false" ht="15.75" hidden="false" customHeight="false" outlineLevel="0" collapsed="false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 customFormat="false" ht="15.75" hidden="false" customHeight="false" outlineLevel="0" collapsed="false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 customFormat="false" ht="15.75" hidden="false" customHeight="false" outlineLevel="0" collapsed="false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 customFormat="false" ht="15.75" hidden="false" customHeight="false" outlineLevel="0" collapsed="false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 customFormat="false" ht="15.75" hidden="false" customHeight="false" outlineLevel="0" collapsed="false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 customFormat="false" ht="15.75" hidden="false" customHeight="false" outlineLevel="0" collapsed="false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 customFormat="false" ht="15.75" hidden="false" customHeight="false" outlineLevel="0" collapsed="false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 customFormat="false" ht="15.75" hidden="false" customHeight="false" outlineLevel="0" collapsed="false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 customFormat="false" ht="15.75" hidden="false" customHeight="false" outlineLevel="0" collapsed="false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 customFormat="false" ht="15.75" hidden="false" customHeight="false" outlineLevel="0" collapsed="false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 customFormat="false" ht="15.75" hidden="false" customHeight="false" outlineLevel="0" collapsed="false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 customFormat="false" ht="15.75" hidden="false" customHeight="false" outlineLevel="0" collapsed="false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 customFormat="false" ht="15.75" hidden="false" customHeight="false" outlineLevel="0" collapsed="false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 customFormat="false" ht="15.75" hidden="false" customHeight="false" outlineLevel="0" collapsed="false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 customFormat="false" ht="15.75" hidden="false" customHeight="false" outlineLevel="0" collapsed="false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 customFormat="false" ht="15.75" hidden="false" customHeight="false" outlineLevel="0" collapsed="false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 customFormat="false" ht="15.75" hidden="false" customHeight="false" outlineLevel="0" collapsed="false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 customFormat="false" ht="15.75" hidden="false" customHeight="false" outlineLevel="0" collapsed="false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 customFormat="false" ht="15.75" hidden="false" customHeight="false" outlineLevel="0" collapsed="false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 customFormat="false" ht="15.75" hidden="false" customHeight="false" outlineLevel="0" collapsed="false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 customFormat="false" ht="15.75" hidden="false" customHeight="false" outlineLevel="0" collapsed="false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 customFormat="false" ht="15.75" hidden="false" customHeight="false" outlineLevel="0" collapsed="false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 customFormat="false" ht="15.75" hidden="false" customHeight="false" outlineLevel="0" collapsed="false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 customFormat="false" ht="15.75" hidden="false" customHeight="false" outlineLevel="0" collapsed="false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 customFormat="false" ht="15.75" hidden="false" customHeight="false" outlineLevel="0" collapsed="false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 customFormat="false" ht="15.75" hidden="false" customHeight="false" outlineLevel="0" collapsed="false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 customFormat="false" ht="15.75" hidden="false" customHeight="false" outlineLevel="0" collapsed="false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 customFormat="false" ht="15.75" hidden="false" customHeight="false" outlineLevel="0" collapsed="false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 customFormat="false" ht="15.75" hidden="false" customHeight="false" outlineLevel="0" collapsed="false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 customFormat="false" ht="15.75" hidden="false" customHeight="false" outlineLevel="0" collapsed="false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 customFormat="false" ht="15.75" hidden="false" customHeight="false" outlineLevel="0" collapsed="false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 customFormat="false" ht="15.75" hidden="false" customHeight="false" outlineLevel="0" collapsed="false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 customFormat="false" ht="15.75" hidden="false" customHeight="false" outlineLevel="0" collapsed="false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 customFormat="false" ht="15.75" hidden="false" customHeight="false" outlineLevel="0" collapsed="false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 customFormat="false" ht="15.75" hidden="false" customHeight="false" outlineLevel="0" collapsed="false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 customFormat="false" ht="15.75" hidden="false" customHeight="false" outlineLevel="0" collapsed="false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 customFormat="false" ht="15.75" hidden="false" customHeight="false" outlineLevel="0" collapsed="false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 customFormat="false" ht="15.75" hidden="false" customHeight="false" outlineLevel="0" collapsed="false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 customFormat="false" ht="15.75" hidden="false" customHeight="false" outlineLevel="0" collapsed="false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 customFormat="false" ht="15.75" hidden="false" customHeight="false" outlineLevel="0" collapsed="false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 customFormat="false" ht="15.75" hidden="false" customHeight="false" outlineLevel="0" collapsed="false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 customFormat="false" ht="15.75" hidden="false" customHeight="false" outlineLevel="0" collapsed="false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 customFormat="false" ht="15.75" hidden="false" customHeight="false" outlineLevel="0" collapsed="false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 customFormat="false" ht="15.75" hidden="false" customHeight="false" outlineLevel="0" collapsed="false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 customFormat="false" ht="15.75" hidden="false" customHeight="false" outlineLevel="0" collapsed="false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 customFormat="false" ht="15.75" hidden="false" customHeight="false" outlineLevel="0" collapsed="false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 customFormat="false" ht="15.75" hidden="false" customHeight="false" outlineLevel="0" collapsed="false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 customFormat="false" ht="15.75" hidden="false" customHeight="false" outlineLevel="0" collapsed="false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 customFormat="false" ht="15.75" hidden="false" customHeight="false" outlineLevel="0" collapsed="false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 customFormat="false" ht="15.75" hidden="false" customHeight="false" outlineLevel="0" collapsed="false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 customFormat="false" ht="15.75" hidden="false" customHeight="false" outlineLevel="0" collapsed="false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 customFormat="false" ht="15.75" hidden="false" customHeight="false" outlineLevel="0" collapsed="false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 customFormat="false" ht="15.75" hidden="false" customHeight="false" outlineLevel="0" collapsed="false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 customFormat="false" ht="15.75" hidden="false" customHeight="false" outlineLevel="0" collapsed="false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 customFormat="false" ht="15.75" hidden="false" customHeight="false" outlineLevel="0" collapsed="false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 customFormat="false" ht="15.75" hidden="false" customHeight="false" outlineLevel="0" collapsed="false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 customFormat="false" ht="15.75" hidden="false" customHeight="false" outlineLevel="0" collapsed="false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 customFormat="false" ht="15.75" hidden="false" customHeight="false" outlineLevel="0" collapsed="false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 customFormat="false" ht="15.75" hidden="false" customHeight="false" outlineLevel="0" collapsed="false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 customFormat="false" ht="15.75" hidden="false" customHeight="false" outlineLevel="0" collapsed="false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 customFormat="false" ht="15.75" hidden="false" customHeight="false" outlineLevel="0" collapsed="false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 customFormat="false" ht="15.75" hidden="false" customHeight="false" outlineLevel="0" collapsed="false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 customFormat="false" ht="15.75" hidden="false" customHeight="false" outlineLevel="0" collapsed="false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 customFormat="false" ht="15.75" hidden="false" customHeight="false" outlineLevel="0" collapsed="false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 customFormat="false" ht="15.75" hidden="false" customHeight="false" outlineLevel="0" collapsed="false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 customFormat="false" ht="15.75" hidden="false" customHeight="false" outlineLevel="0" collapsed="false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 customFormat="false" ht="15.75" hidden="false" customHeight="false" outlineLevel="0" collapsed="false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 customFormat="false" ht="15.75" hidden="false" customHeight="false" outlineLevel="0" collapsed="false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 customFormat="false" ht="15.75" hidden="false" customHeight="false" outlineLevel="0" collapsed="false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 customFormat="false" ht="15.75" hidden="false" customHeight="false" outlineLevel="0" collapsed="false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 customFormat="false" ht="15.75" hidden="false" customHeight="false" outlineLevel="0" collapsed="false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 customFormat="false" ht="15.75" hidden="false" customHeight="false" outlineLevel="0" collapsed="false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 customFormat="false" ht="15.75" hidden="false" customHeight="false" outlineLevel="0" collapsed="false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 customFormat="false" ht="15.75" hidden="false" customHeight="false" outlineLevel="0" collapsed="false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 customFormat="false" ht="15.75" hidden="false" customHeight="false" outlineLevel="0" collapsed="false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 customFormat="false" ht="15.75" hidden="false" customHeight="false" outlineLevel="0" collapsed="false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 customFormat="false" ht="15.75" hidden="false" customHeight="false" outlineLevel="0" collapsed="false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 customFormat="false" ht="15.75" hidden="false" customHeight="false" outlineLevel="0" collapsed="false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 customFormat="false" ht="15.75" hidden="false" customHeight="false" outlineLevel="0" collapsed="false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 customFormat="false" ht="15.75" hidden="false" customHeight="false" outlineLevel="0" collapsed="false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 customFormat="false" ht="15.75" hidden="false" customHeight="false" outlineLevel="0" collapsed="false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 customFormat="false" ht="15.75" hidden="false" customHeight="false" outlineLevel="0" collapsed="false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 customFormat="false" ht="15.75" hidden="false" customHeight="false" outlineLevel="0" collapsed="false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 customFormat="false" ht="15.75" hidden="false" customHeight="false" outlineLevel="0" collapsed="false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 customFormat="false" ht="15.75" hidden="false" customHeight="false" outlineLevel="0" collapsed="false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 customFormat="false" ht="15.75" hidden="false" customHeight="false" outlineLevel="0" collapsed="false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 customFormat="false" ht="15.75" hidden="false" customHeight="false" outlineLevel="0" collapsed="false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 customFormat="false" ht="15.75" hidden="false" customHeight="false" outlineLevel="0" collapsed="false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 customFormat="false" ht="15.75" hidden="false" customHeight="false" outlineLevel="0" collapsed="false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 customFormat="false" ht="15.75" hidden="false" customHeight="false" outlineLevel="0" collapsed="false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 customFormat="false" ht="15.75" hidden="false" customHeight="false" outlineLevel="0" collapsed="false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 customFormat="false" ht="15.75" hidden="false" customHeight="false" outlineLevel="0" collapsed="false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 customFormat="false" ht="15.75" hidden="false" customHeight="false" outlineLevel="0" collapsed="false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 customFormat="false" ht="15.75" hidden="false" customHeight="false" outlineLevel="0" collapsed="false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 customFormat="false" ht="15.75" hidden="false" customHeight="false" outlineLevel="0" collapsed="false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 customFormat="false" ht="15.75" hidden="false" customHeight="false" outlineLevel="0" collapsed="false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 customFormat="false" ht="15.75" hidden="false" customHeight="false" outlineLevel="0" collapsed="false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 customFormat="false" ht="15.75" hidden="false" customHeight="false" outlineLevel="0" collapsed="false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 customFormat="false" ht="15.75" hidden="false" customHeight="false" outlineLevel="0" collapsed="false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 customFormat="false" ht="15.75" hidden="false" customHeight="false" outlineLevel="0" collapsed="false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 customFormat="false" ht="15.75" hidden="false" customHeight="false" outlineLevel="0" collapsed="false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 customFormat="false" ht="15.75" hidden="false" customHeight="false" outlineLevel="0" collapsed="false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 customFormat="false" ht="15.75" hidden="false" customHeight="false" outlineLevel="0" collapsed="false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 customFormat="false" ht="15.75" hidden="false" customHeight="false" outlineLevel="0" collapsed="false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 customFormat="false" ht="15.75" hidden="false" customHeight="false" outlineLevel="0" collapsed="false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 customFormat="false" ht="15.75" hidden="false" customHeight="false" outlineLevel="0" collapsed="false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 customFormat="false" ht="15.75" hidden="false" customHeight="false" outlineLevel="0" collapsed="false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 customFormat="false" ht="15.75" hidden="false" customHeight="false" outlineLevel="0" collapsed="false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 customFormat="false" ht="15.75" hidden="false" customHeight="false" outlineLevel="0" collapsed="false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 customFormat="false" ht="15.75" hidden="false" customHeight="false" outlineLevel="0" collapsed="false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 customFormat="false" ht="15.75" hidden="false" customHeight="false" outlineLevel="0" collapsed="false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 customFormat="false" ht="15.75" hidden="false" customHeight="false" outlineLevel="0" collapsed="false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 customFormat="false" ht="15.75" hidden="false" customHeight="false" outlineLevel="0" collapsed="false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 customFormat="false" ht="15.75" hidden="false" customHeight="false" outlineLevel="0" collapsed="false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 customFormat="false" ht="15.75" hidden="false" customHeight="false" outlineLevel="0" collapsed="false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 customFormat="false" ht="15.75" hidden="false" customHeight="false" outlineLevel="0" collapsed="false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 customFormat="false" ht="15.75" hidden="false" customHeight="false" outlineLevel="0" collapsed="false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 customFormat="false" ht="15.75" hidden="false" customHeight="false" outlineLevel="0" collapsed="false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 customFormat="false" ht="15.75" hidden="false" customHeight="false" outlineLevel="0" collapsed="false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 customFormat="false" ht="15.75" hidden="false" customHeight="false" outlineLevel="0" collapsed="false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 customFormat="false" ht="15.75" hidden="false" customHeight="false" outlineLevel="0" collapsed="false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 customFormat="false" ht="15.75" hidden="false" customHeight="false" outlineLevel="0" collapsed="false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 customFormat="false" ht="15.75" hidden="false" customHeight="false" outlineLevel="0" collapsed="false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 customFormat="false" ht="15.75" hidden="false" customHeight="false" outlineLevel="0" collapsed="false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 customFormat="false" ht="15.75" hidden="false" customHeight="false" outlineLevel="0" collapsed="false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 customFormat="false" ht="15.75" hidden="false" customHeight="false" outlineLevel="0" collapsed="false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 customFormat="false" ht="15.75" hidden="false" customHeight="false" outlineLevel="0" collapsed="false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 customFormat="false" ht="15.75" hidden="false" customHeight="false" outlineLevel="0" collapsed="false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 customFormat="false" ht="15.75" hidden="false" customHeight="false" outlineLevel="0" collapsed="false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 customFormat="false" ht="15.75" hidden="false" customHeight="false" outlineLevel="0" collapsed="false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 customFormat="false" ht="15.75" hidden="false" customHeight="false" outlineLevel="0" collapsed="false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 customFormat="false" ht="15.75" hidden="false" customHeight="false" outlineLevel="0" collapsed="false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 customFormat="false" ht="15.75" hidden="false" customHeight="false" outlineLevel="0" collapsed="false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 customFormat="false" ht="15.75" hidden="false" customHeight="false" outlineLevel="0" collapsed="false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 customFormat="false" ht="15.75" hidden="false" customHeight="false" outlineLevel="0" collapsed="false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 customFormat="false" ht="15.75" hidden="false" customHeight="false" outlineLevel="0" collapsed="false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 customFormat="false" ht="15.75" hidden="false" customHeight="false" outlineLevel="0" collapsed="false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 customFormat="false" ht="15.75" hidden="false" customHeight="false" outlineLevel="0" collapsed="false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 customFormat="false" ht="15.75" hidden="false" customHeight="false" outlineLevel="0" collapsed="false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 customFormat="false" ht="15.75" hidden="false" customHeight="false" outlineLevel="0" collapsed="false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 customFormat="false" ht="15.75" hidden="false" customHeight="false" outlineLevel="0" collapsed="false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 customFormat="false" ht="15.75" hidden="false" customHeight="false" outlineLevel="0" collapsed="false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 customFormat="false" ht="15.75" hidden="false" customHeight="false" outlineLevel="0" collapsed="false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 customFormat="false" ht="15.75" hidden="false" customHeight="false" outlineLevel="0" collapsed="false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 customFormat="false" ht="15.75" hidden="false" customHeight="false" outlineLevel="0" collapsed="false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 customFormat="false" ht="15.75" hidden="false" customHeight="false" outlineLevel="0" collapsed="false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 customFormat="false" ht="15.75" hidden="false" customHeight="false" outlineLevel="0" collapsed="false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 customFormat="false" ht="15.75" hidden="false" customHeight="false" outlineLevel="0" collapsed="false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 customFormat="false" ht="15.75" hidden="false" customHeight="false" outlineLevel="0" collapsed="false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 customFormat="false" ht="15.75" hidden="false" customHeight="false" outlineLevel="0" collapsed="false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 customFormat="false" ht="15.75" hidden="false" customHeight="false" outlineLevel="0" collapsed="false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 customFormat="false" ht="15.75" hidden="false" customHeight="false" outlineLevel="0" collapsed="false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 customFormat="false" ht="15.75" hidden="false" customHeight="false" outlineLevel="0" collapsed="false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 customFormat="false" ht="15.75" hidden="false" customHeight="false" outlineLevel="0" collapsed="false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 customFormat="false" ht="15.75" hidden="false" customHeight="false" outlineLevel="0" collapsed="false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 customFormat="false" ht="15.75" hidden="false" customHeight="false" outlineLevel="0" collapsed="false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 customFormat="false" ht="15.75" hidden="false" customHeight="false" outlineLevel="0" collapsed="false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 customFormat="false" ht="15.75" hidden="false" customHeight="false" outlineLevel="0" collapsed="false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 customFormat="false" ht="15.75" hidden="false" customHeight="false" outlineLevel="0" collapsed="false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 customFormat="false" ht="15.75" hidden="false" customHeight="false" outlineLevel="0" collapsed="false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 customFormat="false" ht="15.75" hidden="false" customHeight="false" outlineLevel="0" collapsed="false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 customFormat="false" ht="15.75" hidden="false" customHeight="false" outlineLevel="0" collapsed="false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 customFormat="false" ht="15.75" hidden="false" customHeight="false" outlineLevel="0" collapsed="false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 customFormat="false" ht="15.75" hidden="false" customHeight="false" outlineLevel="0" collapsed="false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 customFormat="false" ht="15.75" hidden="false" customHeight="false" outlineLevel="0" collapsed="false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 customFormat="false" ht="15.75" hidden="false" customHeight="false" outlineLevel="0" collapsed="false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 customFormat="false" ht="15.75" hidden="false" customHeight="false" outlineLevel="0" collapsed="false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 customFormat="false" ht="15.75" hidden="false" customHeight="false" outlineLevel="0" collapsed="false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 customFormat="false" ht="15.75" hidden="false" customHeight="false" outlineLevel="0" collapsed="false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 customFormat="false" ht="15.75" hidden="false" customHeight="false" outlineLevel="0" collapsed="false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 customFormat="false" ht="15.75" hidden="false" customHeight="false" outlineLevel="0" collapsed="false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 customFormat="false" ht="15.75" hidden="false" customHeight="false" outlineLevel="0" collapsed="false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 customFormat="false" ht="15.75" hidden="false" customHeight="false" outlineLevel="0" collapsed="false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 customFormat="false" ht="15.75" hidden="false" customHeight="false" outlineLevel="0" collapsed="false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 customFormat="false" ht="15.75" hidden="false" customHeight="false" outlineLevel="0" collapsed="false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 customFormat="false" ht="15.75" hidden="false" customHeight="false" outlineLevel="0" collapsed="false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 customFormat="false" ht="15.75" hidden="false" customHeight="false" outlineLevel="0" collapsed="false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 customFormat="false" ht="15.75" hidden="false" customHeight="false" outlineLevel="0" collapsed="false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 customFormat="false" ht="15.75" hidden="false" customHeight="false" outlineLevel="0" collapsed="false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 customFormat="false" ht="15.75" hidden="false" customHeight="false" outlineLevel="0" collapsed="false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 customFormat="false" ht="15.75" hidden="false" customHeight="false" outlineLevel="0" collapsed="false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 customFormat="false" ht="15.75" hidden="false" customHeight="false" outlineLevel="0" collapsed="false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 customFormat="false" ht="15.75" hidden="false" customHeight="false" outlineLevel="0" collapsed="false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 customFormat="false" ht="15.75" hidden="false" customHeight="false" outlineLevel="0" collapsed="false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 customFormat="false" ht="15.75" hidden="false" customHeight="false" outlineLevel="0" collapsed="false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 customFormat="false" ht="15.75" hidden="false" customHeight="false" outlineLevel="0" collapsed="false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 customFormat="false" ht="15.75" hidden="false" customHeight="false" outlineLevel="0" collapsed="false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 customFormat="false" ht="15.75" hidden="false" customHeight="false" outlineLevel="0" collapsed="false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 customFormat="false" ht="15.75" hidden="false" customHeight="false" outlineLevel="0" collapsed="false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 customFormat="false" ht="15.75" hidden="false" customHeight="false" outlineLevel="0" collapsed="false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 customFormat="false" ht="15.75" hidden="false" customHeight="false" outlineLevel="0" collapsed="false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 customFormat="false" ht="15.75" hidden="false" customHeight="false" outlineLevel="0" collapsed="false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 customFormat="false" ht="15.75" hidden="false" customHeight="false" outlineLevel="0" collapsed="false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 customFormat="false" ht="15.75" hidden="false" customHeight="false" outlineLevel="0" collapsed="false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 customFormat="false" ht="15.75" hidden="false" customHeight="false" outlineLevel="0" collapsed="false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 customFormat="false" ht="15.75" hidden="false" customHeight="false" outlineLevel="0" collapsed="false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 customFormat="false" ht="15.75" hidden="false" customHeight="false" outlineLevel="0" collapsed="false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 customFormat="false" ht="15.75" hidden="false" customHeight="false" outlineLevel="0" collapsed="false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 customFormat="false" ht="15.75" hidden="false" customHeight="false" outlineLevel="0" collapsed="false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 customFormat="false" ht="15.75" hidden="false" customHeight="false" outlineLevel="0" collapsed="false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 customFormat="false" ht="15.75" hidden="false" customHeight="false" outlineLevel="0" collapsed="false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 customFormat="false" ht="15.75" hidden="false" customHeight="false" outlineLevel="0" collapsed="false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 customFormat="false" ht="15.75" hidden="false" customHeight="false" outlineLevel="0" collapsed="false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 customFormat="false" ht="15.75" hidden="false" customHeight="false" outlineLevel="0" collapsed="false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 customFormat="false" ht="15.75" hidden="false" customHeight="false" outlineLevel="0" collapsed="false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 customFormat="false" ht="15.75" hidden="false" customHeight="false" outlineLevel="0" collapsed="false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 customFormat="false" ht="15.75" hidden="false" customHeight="false" outlineLevel="0" collapsed="false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 customFormat="false" ht="15.75" hidden="false" customHeight="false" outlineLevel="0" collapsed="false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 customFormat="false" ht="15.75" hidden="false" customHeight="false" outlineLevel="0" collapsed="false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 customFormat="false" ht="15.75" hidden="false" customHeight="false" outlineLevel="0" collapsed="false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 customFormat="false" ht="15.75" hidden="false" customHeight="false" outlineLevel="0" collapsed="false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 customFormat="false" ht="15.75" hidden="false" customHeight="false" outlineLevel="0" collapsed="false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 customFormat="false" ht="15.75" hidden="false" customHeight="false" outlineLevel="0" collapsed="false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 customFormat="false" ht="15.75" hidden="false" customHeight="false" outlineLevel="0" collapsed="false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 customFormat="false" ht="15.75" hidden="false" customHeight="false" outlineLevel="0" collapsed="false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 customFormat="false" ht="15.75" hidden="false" customHeight="false" outlineLevel="0" collapsed="false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 customFormat="false" ht="15.75" hidden="false" customHeight="false" outlineLevel="0" collapsed="false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 customFormat="false" ht="15.75" hidden="false" customHeight="false" outlineLevel="0" collapsed="false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 customFormat="false" ht="15.75" hidden="false" customHeight="false" outlineLevel="0" collapsed="false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 customFormat="false" ht="15.75" hidden="false" customHeight="false" outlineLevel="0" collapsed="false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 customFormat="false" ht="15.75" hidden="false" customHeight="false" outlineLevel="0" collapsed="false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 customFormat="false" ht="15.75" hidden="false" customHeight="false" outlineLevel="0" collapsed="false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 customFormat="false" ht="15.75" hidden="false" customHeight="false" outlineLevel="0" collapsed="false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 customFormat="false" ht="15.75" hidden="false" customHeight="false" outlineLevel="0" collapsed="false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 customFormat="false" ht="15.75" hidden="false" customHeight="false" outlineLevel="0" collapsed="false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 customFormat="false" ht="15.75" hidden="false" customHeight="false" outlineLevel="0" collapsed="false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 customFormat="false" ht="15.75" hidden="false" customHeight="false" outlineLevel="0" collapsed="false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 customFormat="false" ht="15.75" hidden="false" customHeight="false" outlineLevel="0" collapsed="false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 customFormat="false" ht="15.75" hidden="false" customHeight="false" outlineLevel="0" collapsed="false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 customFormat="false" ht="15.75" hidden="false" customHeight="false" outlineLevel="0" collapsed="false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 customFormat="false" ht="15.75" hidden="false" customHeight="false" outlineLevel="0" collapsed="false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 customFormat="false" ht="15.75" hidden="false" customHeight="false" outlineLevel="0" collapsed="false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 customFormat="false" ht="15.75" hidden="false" customHeight="false" outlineLevel="0" collapsed="false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 customFormat="false" ht="15.75" hidden="false" customHeight="false" outlineLevel="0" collapsed="false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 customFormat="false" ht="15.75" hidden="false" customHeight="false" outlineLevel="0" collapsed="false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 customFormat="false" ht="15.75" hidden="false" customHeight="false" outlineLevel="0" collapsed="false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 customFormat="false" ht="15.75" hidden="false" customHeight="false" outlineLevel="0" collapsed="false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 customFormat="false" ht="15.75" hidden="false" customHeight="false" outlineLevel="0" collapsed="false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 customFormat="false" ht="15.75" hidden="false" customHeight="false" outlineLevel="0" collapsed="false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 customFormat="false" ht="15.75" hidden="false" customHeight="false" outlineLevel="0" collapsed="false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 customFormat="false" ht="15.75" hidden="false" customHeight="false" outlineLevel="0" collapsed="false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 customFormat="false" ht="15.75" hidden="false" customHeight="false" outlineLevel="0" collapsed="false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 customFormat="false" ht="15.75" hidden="false" customHeight="false" outlineLevel="0" collapsed="false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 customFormat="false" ht="15.75" hidden="false" customHeight="false" outlineLevel="0" collapsed="false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 customFormat="false" ht="15.75" hidden="false" customHeight="false" outlineLevel="0" collapsed="false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 customFormat="false" ht="15.75" hidden="false" customHeight="false" outlineLevel="0" collapsed="false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 customFormat="false" ht="15.75" hidden="false" customHeight="false" outlineLevel="0" collapsed="false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 customFormat="false" ht="15.75" hidden="false" customHeight="false" outlineLevel="0" collapsed="false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 customFormat="false" ht="15.75" hidden="false" customHeight="false" outlineLevel="0" collapsed="false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 customFormat="false" ht="15.75" hidden="false" customHeight="false" outlineLevel="0" collapsed="false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 customFormat="false" ht="15.75" hidden="false" customHeight="false" outlineLevel="0" collapsed="false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 customFormat="false" ht="15.75" hidden="false" customHeight="false" outlineLevel="0" collapsed="false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 customFormat="false" ht="15.75" hidden="false" customHeight="false" outlineLevel="0" collapsed="false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 customFormat="false" ht="15.75" hidden="false" customHeight="false" outlineLevel="0" collapsed="false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 customFormat="false" ht="15.75" hidden="false" customHeight="false" outlineLevel="0" collapsed="false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 customFormat="false" ht="15.75" hidden="false" customHeight="false" outlineLevel="0" collapsed="false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 customFormat="false" ht="15.75" hidden="false" customHeight="false" outlineLevel="0" collapsed="false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 customFormat="false" ht="15.75" hidden="false" customHeight="false" outlineLevel="0" collapsed="false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 customFormat="false" ht="15.75" hidden="false" customHeight="false" outlineLevel="0" collapsed="false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 customFormat="false" ht="15.75" hidden="false" customHeight="false" outlineLevel="0" collapsed="false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 customFormat="false" ht="15.75" hidden="false" customHeight="false" outlineLevel="0" collapsed="false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 customFormat="false" ht="15.75" hidden="false" customHeight="false" outlineLevel="0" collapsed="false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 customFormat="false" ht="15.75" hidden="false" customHeight="false" outlineLevel="0" collapsed="false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 customFormat="false" ht="15.75" hidden="false" customHeight="false" outlineLevel="0" collapsed="false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 customFormat="false" ht="15.75" hidden="false" customHeight="false" outlineLevel="0" collapsed="false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 customFormat="false" ht="15.75" hidden="false" customHeight="false" outlineLevel="0" collapsed="false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 customFormat="false" ht="15.75" hidden="false" customHeight="false" outlineLevel="0" collapsed="false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 customFormat="false" ht="15.75" hidden="false" customHeight="false" outlineLevel="0" collapsed="false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 customFormat="false" ht="15.75" hidden="false" customHeight="false" outlineLevel="0" collapsed="false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 customFormat="false" ht="15.75" hidden="false" customHeight="false" outlineLevel="0" collapsed="false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 customFormat="false" ht="15.75" hidden="false" customHeight="false" outlineLevel="0" collapsed="false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 customFormat="false" ht="15.75" hidden="false" customHeight="false" outlineLevel="0" collapsed="false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 customFormat="false" ht="15.75" hidden="false" customHeight="false" outlineLevel="0" collapsed="false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 customFormat="false" ht="15.75" hidden="false" customHeight="false" outlineLevel="0" collapsed="false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 customFormat="false" ht="15.75" hidden="false" customHeight="false" outlineLevel="0" collapsed="false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 customFormat="false" ht="15.75" hidden="false" customHeight="false" outlineLevel="0" collapsed="false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 customFormat="false" ht="15.75" hidden="false" customHeight="false" outlineLevel="0" collapsed="false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 customFormat="false" ht="15.75" hidden="false" customHeight="false" outlineLevel="0" collapsed="false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 customFormat="false" ht="15.75" hidden="false" customHeight="false" outlineLevel="0" collapsed="false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 customFormat="false" ht="15.75" hidden="false" customHeight="false" outlineLevel="0" collapsed="false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 customFormat="false" ht="15.75" hidden="false" customHeight="false" outlineLevel="0" collapsed="false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 customFormat="false" ht="15.75" hidden="false" customHeight="false" outlineLevel="0" collapsed="false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 customFormat="false" ht="15.75" hidden="false" customHeight="false" outlineLevel="0" collapsed="false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 customFormat="false" ht="15.75" hidden="false" customHeight="false" outlineLevel="0" collapsed="false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 customFormat="false" ht="15.75" hidden="false" customHeight="false" outlineLevel="0" collapsed="false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 customFormat="false" ht="15.75" hidden="false" customHeight="false" outlineLevel="0" collapsed="false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 customFormat="false" ht="15.75" hidden="false" customHeight="false" outlineLevel="0" collapsed="false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 customFormat="false" ht="15.75" hidden="false" customHeight="false" outlineLevel="0" collapsed="false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 customFormat="false" ht="15.75" hidden="false" customHeight="false" outlineLevel="0" collapsed="false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 customFormat="false" ht="15.75" hidden="false" customHeight="false" outlineLevel="0" collapsed="false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 customFormat="false" ht="15.75" hidden="false" customHeight="false" outlineLevel="0" collapsed="false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 customFormat="false" ht="15.75" hidden="false" customHeight="false" outlineLevel="0" collapsed="false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 customFormat="false" ht="15.75" hidden="false" customHeight="false" outlineLevel="0" collapsed="false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 customFormat="false" ht="15.75" hidden="false" customHeight="false" outlineLevel="0" collapsed="false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 customFormat="false" ht="15.75" hidden="false" customHeight="false" outlineLevel="0" collapsed="false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 customFormat="false" ht="15.75" hidden="false" customHeight="false" outlineLevel="0" collapsed="false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 customFormat="false" ht="15.75" hidden="false" customHeight="false" outlineLevel="0" collapsed="false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 customFormat="false" ht="15.75" hidden="false" customHeight="false" outlineLevel="0" collapsed="false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 customFormat="false" ht="15.75" hidden="false" customHeight="false" outlineLevel="0" collapsed="false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 customFormat="false" ht="15.75" hidden="false" customHeight="false" outlineLevel="0" collapsed="false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 customFormat="false" ht="15.75" hidden="false" customHeight="false" outlineLevel="0" collapsed="false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 customFormat="false" ht="15.75" hidden="false" customHeight="false" outlineLevel="0" collapsed="false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 customFormat="false" ht="15.75" hidden="false" customHeight="false" outlineLevel="0" collapsed="false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 customFormat="false" ht="15.75" hidden="false" customHeight="false" outlineLevel="0" collapsed="false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 customFormat="false" ht="15.75" hidden="false" customHeight="false" outlineLevel="0" collapsed="false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 customFormat="false" ht="15.75" hidden="false" customHeight="false" outlineLevel="0" collapsed="false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 customFormat="false" ht="15.75" hidden="false" customHeight="false" outlineLevel="0" collapsed="false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 customFormat="false" ht="15.75" hidden="false" customHeight="false" outlineLevel="0" collapsed="false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 customFormat="false" ht="15.75" hidden="false" customHeight="false" outlineLevel="0" collapsed="false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 customFormat="false" ht="15.75" hidden="false" customHeight="false" outlineLevel="0" collapsed="false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 customFormat="false" ht="15.75" hidden="false" customHeight="false" outlineLevel="0" collapsed="false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 customFormat="false" ht="15.75" hidden="false" customHeight="false" outlineLevel="0" collapsed="false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 customFormat="false" ht="15.75" hidden="false" customHeight="false" outlineLevel="0" collapsed="false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 customFormat="false" ht="15.75" hidden="false" customHeight="false" outlineLevel="0" collapsed="false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 customFormat="false" ht="15.75" hidden="false" customHeight="false" outlineLevel="0" collapsed="false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 customFormat="false" ht="15.75" hidden="false" customHeight="false" outlineLevel="0" collapsed="false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 customFormat="false" ht="15.75" hidden="false" customHeight="false" outlineLevel="0" collapsed="false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 customFormat="false" ht="15.75" hidden="false" customHeight="false" outlineLevel="0" collapsed="false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 customFormat="false" ht="15.75" hidden="false" customHeight="false" outlineLevel="0" collapsed="false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 customFormat="false" ht="15.75" hidden="false" customHeight="false" outlineLevel="0" collapsed="false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 customFormat="false" ht="15.75" hidden="false" customHeight="false" outlineLevel="0" collapsed="false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 customFormat="false" ht="15.75" hidden="false" customHeight="false" outlineLevel="0" collapsed="false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 customFormat="false" ht="15.75" hidden="false" customHeight="false" outlineLevel="0" collapsed="false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 customFormat="false" ht="15.75" hidden="false" customHeight="false" outlineLevel="0" collapsed="false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 customFormat="false" ht="15.75" hidden="false" customHeight="false" outlineLevel="0" collapsed="false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 customFormat="false" ht="15.75" hidden="false" customHeight="false" outlineLevel="0" collapsed="false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 customFormat="false" ht="15.75" hidden="false" customHeight="false" outlineLevel="0" collapsed="false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 customFormat="false" ht="15.75" hidden="false" customHeight="false" outlineLevel="0" collapsed="false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 customFormat="false" ht="15.75" hidden="false" customHeight="false" outlineLevel="0" collapsed="false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 customFormat="false" ht="15.75" hidden="false" customHeight="false" outlineLevel="0" collapsed="false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 customFormat="false" ht="15.75" hidden="false" customHeight="false" outlineLevel="0" collapsed="false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 customFormat="false" ht="15.75" hidden="false" customHeight="false" outlineLevel="0" collapsed="false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 customFormat="false" ht="15.75" hidden="false" customHeight="false" outlineLevel="0" collapsed="false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 customFormat="false" ht="15.75" hidden="false" customHeight="false" outlineLevel="0" collapsed="false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 customFormat="false" ht="15.75" hidden="false" customHeight="false" outlineLevel="0" collapsed="false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 customFormat="false" ht="15.75" hidden="false" customHeight="false" outlineLevel="0" collapsed="false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 customFormat="false" ht="15.75" hidden="false" customHeight="false" outlineLevel="0" collapsed="false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 customFormat="false" ht="15.75" hidden="false" customHeight="false" outlineLevel="0" collapsed="false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 customFormat="false" ht="15.75" hidden="false" customHeight="false" outlineLevel="0" collapsed="false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 customFormat="false" ht="15.75" hidden="false" customHeight="false" outlineLevel="0" collapsed="false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 customFormat="false" ht="15.75" hidden="false" customHeight="false" outlineLevel="0" collapsed="false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 customFormat="false" ht="15.75" hidden="false" customHeight="false" outlineLevel="0" collapsed="false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 customFormat="false" ht="15.75" hidden="false" customHeight="false" outlineLevel="0" collapsed="false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 customFormat="false" ht="15.75" hidden="false" customHeight="false" outlineLevel="0" collapsed="false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 customFormat="false" ht="15.75" hidden="false" customHeight="false" outlineLevel="0" collapsed="false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 customFormat="false" ht="15.75" hidden="false" customHeight="false" outlineLevel="0" collapsed="false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 customFormat="false" ht="15.75" hidden="false" customHeight="false" outlineLevel="0" collapsed="false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 customFormat="false" ht="15.75" hidden="false" customHeight="false" outlineLevel="0" collapsed="false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 customFormat="false" ht="15.75" hidden="false" customHeight="false" outlineLevel="0" collapsed="false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 customFormat="false" ht="15.75" hidden="false" customHeight="false" outlineLevel="0" collapsed="false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 customFormat="false" ht="15.75" hidden="false" customHeight="false" outlineLevel="0" collapsed="false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 customFormat="false" ht="15.75" hidden="false" customHeight="false" outlineLevel="0" collapsed="false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 customFormat="false" ht="15.75" hidden="false" customHeight="false" outlineLevel="0" collapsed="false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 customFormat="false" ht="15.75" hidden="false" customHeight="false" outlineLevel="0" collapsed="false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 customFormat="false" ht="15.75" hidden="false" customHeight="false" outlineLevel="0" collapsed="false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 customFormat="false" ht="15.75" hidden="false" customHeight="false" outlineLevel="0" collapsed="false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 customFormat="false" ht="15.75" hidden="false" customHeight="false" outlineLevel="0" collapsed="false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 customFormat="false" ht="15.75" hidden="false" customHeight="false" outlineLevel="0" collapsed="false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 customFormat="false" ht="15.75" hidden="false" customHeight="false" outlineLevel="0" collapsed="false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 customFormat="false" ht="15.75" hidden="false" customHeight="false" outlineLevel="0" collapsed="false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 customFormat="false" ht="15.75" hidden="false" customHeight="false" outlineLevel="0" collapsed="false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 customFormat="false" ht="15.75" hidden="false" customHeight="false" outlineLevel="0" collapsed="false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 customFormat="false" ht="15.75" hidden="false" customHeight="false" outlineLevel="0" collapsed="false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 customFormat="false" ht="15.75" hidden="false" customHeight="false" outlineLevel="0" collapsed="false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 customFormat="false" ht="15.75" hidden="false" customHeight="false" outlineLevel="0" collapsed="false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 customFormat="false" ht="15.75" hidden="false" customHeight="false" outlineLevel="0" collapsed="false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 customFormat="false" ht="15.75" hidden="false" customHeight="false" outlineLevel="0" collapsed="false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 customFormat="false" ht="15.75" hidden="false" customHeight="false" outlineLevel="0" collapsed="false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 customFormat="false" ht="15.75" hidden="false" customHeight="false" outlineLevel="0" collapsed="false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 customFormat="false" ht="15.75" hidden="false" customHeight="false" outlineLevel="0" collapsed="false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 customFormat="false" ht="15.75" hidden="false" customHeight="false" outlineLevel="0" collapsed="false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 customFormat="false" ht="15.75" hidden="false" customHeight="false" outlineLevel="0" collapsed="false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6" min="6" style="0" width="11.63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146</v>
      </c>
      <c r="C6" s="29" t="n">
        <f aca="false">SUM(H6:AW6)</f>
        <v>25</v>
      </c>
      <c r="D6" s="79" t="n">
        <f aca="false">E6/2.5</f>
        <v>2</v>
      </c>
      <c r="E6" s="80" t="n">
        <f aca="false">SUM(H6+N6+T6+Z6+AF6+AL6+AR6)</f>
        <v>5</v>
      </c>
      <c r="F6" s="138" t="n">
        <f aca="false">C6-E6-AW6</f>
        <v>20</v>
      </c>
      <c r="G6" s="33" t="s">
        <v>34</v>
      </c>
      <c r="H6" s="34"/>
      <c r="I6" s="34" t="n">
        <v>3</v>
      </c>
      <c r="J6" s="35"/>
      <c r="K6" s="36"/>
      <c r="L6" s="37"/>
      <c r="M6" s="33" t="s">
        <v>28</v>
      </c>
      <c r="N6" s="34"/>
      <c r="O6" s="34" t="n">
        <v>2</v>
      </c>
      <c r="P6" s="35"/>
      <c r="Q6" s="36"/>
      <c r="R6" s="37"/>
      <c r="S6" s="35" t="s">
        <v>30</v>
      </c>
      <c r="T6" s="34" t="n">
        <v>2.5</v>
      </c>
      <c r="U6" s="34" t="n">
        <v>3.25</v>
      </c>
      <c r="V6" s="35"/>
      <c r="W6" s="36"/>
      <c r="X6" s="37"/>
      <c r="Y6" s="35" t="s">
        <v>28</v>
      </c>
      <c r="Z6" s="34"/>
      <c r="AA6" s="34" t="n">
        <v>3.25</v>
      </c>
      <c r="AB6" s="35"/>
      <c r="AC6" s="36"/>
      <c r="AD6" s="37"/>
      <c r="AE6" s="35" t="s">
        <v>28</v>
      </c>
      <c r="AF6" s="34" t="n">
        <v>2.5</v>
      </c>
      <c r="AG6" s="139" t="n">
        <v>2.5</v>
      </c>
      <c r="AH6" s="35"/>
      <c r="AI6" s="36"/>
      <c r="AJ6" s="37"/>
      <c r="AK6" s="35" t="s">
        <v>28</v>
      </c>
      <c r="AL6" s="34"/>
      <c r="AM6" s="34" t="n">
        <v>3.25</v>
      </c>
      <c r="AN6" s="35" t="s">
        <v>29</v>
      </c>
      <c r="AO6" s="36" t="n">
        <v>0.5</v>
      </c>
      <c r="AP6" s="37" t="n">
        <v>0.5</v>
      </c>
      <c r="AQ6" s="35" t="s">
        <v>28</v>
      </c>
      <c r="AR6" s="34"/>
      <c r="AS6" s="34" t="n">
        <v>1.75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27</v>
      </c>
      <c r="C7" s="29" t="n">
        <f aca="false">SUM(H7:AW7)</f>
        <v>35.75</v>
      </c>
      <c r="D7" s="82" t="n">
        <f aca="false">E7/2.5</f>
        <v>5</v>
      </c>
      <c r="E7" s="31" t="n">
        <f aca="false">SUM(H7+N7+T7+Z7+AF7+AL7+AR7)</f>
        <v>12.5</v>
      </c>
      <c r="F7" s="138" t="n">
        <f aca="false">C7-E7-AW7</f>
        <v>23.25</v>
      </c>
      <c r="G7" s="33" t="s">
        <v>28</v>
      </c>
      <c r="H7" s="34" t="n">
        <v>2.5</v>
      </c>
      <c r="I7" s="34" t="n">
        <v>3</v>
      </c>
      <c r="J7" s="35" t="s">
        <v>29</v>
      </c>
      <c r="K7" s="36" t="n">
        <v>0.5</v>
      </c>
      <c r="L7" s="37" t="n">
        <v>0.5</v>
      </c>
      <c r="M7" s="33" t="s">
        <v>31</v>
      </c>
      <c r="N7" s="34" t="n">
        <v>2.5</v>
      </c>
      <c r="O7" s="34" t="n">
        <v>3.75</v>
      </c>
      <c r="P7" s="35"/>
      <c r="Q7" s="36"/>
      <c r="R7" s="37"/>
      <c r="S7" s="35" t="s">
        <v>28</v>
      </c>
      <c r="T7" s="34" t="n">
        <v>2.5</v>
      </c>
      <c r="U7" s="34" t="n">
        <v>3</v>
      </c>
      <c r="V7" s="35"/>
      <c r="W7" s="36"/>
      <c r="X7" s="37"/>
      <c r="Y7" s="35" t="s">
        <v>34</v>
      </c>
      <c r="Z7" s="34" t="n">
        <v>2.5</v>
      </c>
      <c r="AA7" s="34" t="n">
        <v>3.75</v>
      </c>
      <c r="AB7" s="35"/>
      <c r="AC7" s="34"/>
      <c r="AD7" s="45"/>
      <c r="AE7" s="35" t="s">
        <v>30</v>
      </c>
      <c r="AF7" s="34" t="n">
        <v>2.5</v>
      </c>
      <c r="AG7" s="34" t="n">
        <v>4.25</v>
      </c>
      <c r="AH7" s="35"/>
      <c r="AI7" s="36"/>
      <c r="AJ7" s="45"/>
      <c r="AK7" s="35" t="s">
        <v>28</v>
      </c>
      <c r="AL7" s="34"/>
      <c r="AM7" s="34" t="n">
        <v>3</v>
      </c>
      <c r="AN7" s="35"/>
      <c r="AO7" s="34"/>
      <c r="AP7" s="45"/>
      <c r="AQ7" s="35" t="s">
        <v>28</v>
      </c>
      <c r="AR7" s="34"/>
      <c r="AS7" s="34" t="n">
        <v>1.5</v>
      </c>
      <c r="AT7" s="35"/>
      <c r="AU7" s="36"/>
      <c r="AV7" s="45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147</v>
      </c>
      <c r="C8" s="29" t="n">
        <f aca="false">SUM(H8:AW8)</f>
        <v>33</v>
      </c>
      <c r="D8" s="82" t="n">
        <f aca="false">E8/2.5</f>
        <v>5</v>
      </c>
      <c r="E8" s="31" t="n">
        <f aca="false">SUM(H8+N8+T8+Z8+AF8+AL8+AR8)</f>
        <v>12.5</v>
      </c>
      <c r="F8" s="138" t="n">
        <f aca="false">C8-E8-AW8</f>
        <v>20.5</v>
      </c>
      <c r="G8" s="33" t="s">
        <v>28</v>
      </c>
      <c r="H8" s="34" t="n">
        <v>2.5</v>
      </c>
      <c r="I8" s="34" t="n">
        <v>3.75</v>
      </c>
      <c r="J8" s="35"/>
      <c r="K8" s="36"/>
      <c r="L8" s="37"/>
      <c r="M8" s="33" t="s">
        <v>31</v>
      </c>
      <c r="N8" s="34" t="n">
        <v>2.5</v>
      </c>
      <c r="O8" s="34" t="n">
        <v>3.25</v>
      </c>
      <c r="P8" s="35"/>
      <c r="Q8" s="36"/>
      <c r="R8" s="37"/>
      <c r="S8" s="35" t="s">
        <v>28</v>
      </c>
      <c r="T8" s="34" t="n">
        <v>2.5</v>
      </c>
      <c r="U8" s="34" t="n">
        <v>2.5</v>
      </c>
      <c r="V8" s="35"/>
      <c r="W8" s="36"/>
      <c r="X8" s="45"/>
      <c r="Y8" s="35" t="s">
        <v>31</v>
      </c>
      <c r="Z8" s="34" t="n">
        <v>2.5</v>
      </c>
      <c r="AA8" s="34" t="n">
        <v>3</v>
      </c>
      <c r="AB8" s="35"/>
      <c r="AC8" s="36"/>
      <c r="AD8" s="37"/>
      <c r="AE8" s="35" t="s">
        <v>28</v>
      </c>
      <c r="AF8" s="34" t="n">
        <v>2.5</v>
      </c>
      <c r="AG8" s="34" t="n">
        <v>2.75</v>
      </c>
      <c r="AH8" s="35"/>
      <c r="AI8" s="36"/>
      <c r="AJ8" s="37"/>
      <c r="AK8" s="35" t="s">
        <v>28</v>
      </c>
      <c r="AL8" s="34"/>
      <c r="AM8" s="34" t="n">
        <v>2</v>
      </c>
      <c r="AN8" s="35"/>
      <c r="AO8" s="36"/>
      <c r="AP8" s="37"/>
      <c r="AQ8" s="35" t="s">
        <v>28</v>
      </c>
      <c r="AR8" s="34"/>
      <c r="AS8" s="34" t="n">
        <v>2.75</v>
      </c>
      <c r="AT8" s="35" t="s">
        <v>29</v>
      </c>
      <c r="AU8" s="36"/>
      <c r="AV8" s="37" t="n">
        <v>0.5</v>
      </c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148</v>
      </c>
      <c r="C9" s="29" t="n">
        <f aca="false">SUM(H9:AW9)</f>
        <v>20</v>
      </c>
      <c r="D9" s="82" t="n">
        <f aca="false">E9/2.5</f>
        <v>2</v>
      </c>
      <c r="E9" s="31" t="n">
        <f aca="false">SUM(H9+N9+T9+Z9+AF9+AL9+AR9)</f>
        <v>5</v>
      </c>
      <c r="F9" s="138" t="n">
        <f aca="false">C9-E9-AW9</f>
        <v>15</v>
      </c>
      <c r="G9" s="33" t="s">
        <v>28</v>
      </c>
      <c r="H9" s="34" t="n">
        <v>2.5</v>
      </c>
      <c r="I9" s="34" t="n">
        <v>2.5</v>
      </c>
      <c r="J9" s="35"/>
      <c r="K9" s="36"/>
      <c r="L9" s="37"/>
      <c r="M9" s="33" t="s">
        <v>30</v>
      </c>
      <c r="N9" s="34"/>
      <c r="O9" s="34" t="n">
        <v>2.25</v>
      </c>
      <c r="P9" s="35"/>
      <c r="Q9" s="36"/>
      <c r="R9" s="37"/>
      <c r="S9" s="35" t="s">
        <v>31</v>
      </c>
      <c r="T9" s="34"/>
      <c r="U9" s="34" t="n">
        <v>2.5</v>
      </c>
      <c r="V9" s="35"/>
      <c r="W9" s="36"/>
      <c r="X9" s="37"/>
      <c r="Y9" s="35" t="s">
        <v>28</v>
      </c>
      <c r="Z9" s="34"/>
      <c r="AA9" s="34" t="n">
        <v>1.25</v>
      </c>
      <c r="AB9" s="35"/>
      <c r="AC9" s="36"/>
      <c r="AD9" s="37"/>
      <c r="AE9" s="35" t="s">
        <v>34</v>
      </c>
      <c r="AF9" s="34"/>
      <c r="AG9" s="34" t="n">
        <v>1.75</v>
      </c>
      <c r="AH9" s="35"/>
      <c r="AI9" s="36"/>
      <c r="AJ9" s="37"/>
      <c r="AK9" s="35" t="s">
        <v>28</v>
      </c>
      <c r="AL9" s="34"/>
      <c r="AM9" s="34" t="n">
        <v>1.75</v>
      </c>
      <c r="AN9" s="35"/>
      <c r="AO9" s="36"/>
      <c r="AP9" s="37"/>
      <c r="AQ9" s="35" t="s">
        <v>31</v>
      </c>
      <c r="AR9" s="34" t="n">
        <v>2.5</v>
      </c>
      <c r="AS9" s="34" t="n">
        <v>3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41</v>
      </c>
      <c r="C10" s="29" t="n">
        <f aca="false">SUM(H10:AW10)</f>
        <v>14.5</v>
      </c>
      <c r="D10" s="82" t="n">
        <f aca="false">E10/2.5</f>
        <v>0</v>
      </c>
      <c r="E10" s="31" t="n">
        <f aca="false">SUM(H10+N10+T10+Z10+AF10+AL10+AR10)</f>
        <v>0</v>
      </c>
      <c r="F10" s="138" t="n">
        <f aca="false">C10-E10-AW10</f>
        <v>14.5</v>
      </c>
      <c r="G10" s="33" t="s">
        <v>31</v>
      </c>
      <c r="H10" s="34"/>
      <c r="I10" s="34" t="n">
        <v>1.75</v>
      </c>
      <c r="J10" s="35"/>
      <c r="K10" s="36"/>
      <c r="L10" s="37"/>
      <c r="M10" s="33" t="s">
        <v>28</v>
      </c>
      <c r="N10" s="34"/>
      <c r="O10" s="34" t="n">
        <v>2.5</v>
      </c>
      <c r="P10" s="35"/>
      <c r="Q10" s="36"/>
      <c r="R10" s="45"/>
      <c r="S10" s="35" t="s">
        <v>34</v>
      </c>
      <c r="T10" s="34"/>
      <c r="U10" s="34" t="n">
        <v>1</v>
      </c>
      <c r="V10" s="35"/>
      <c r="W10" s="36"/>
      <c r="X10" s="37"/>
      <c r="Y10" s="35" t="s">
        <v>28</v>
      </c>
      <c r="Z10" s="34"/>
      <c r="AA10" s="34" t="n">
        <v>2.25</v>
      </c>
      <c r="AB10" s="35"/>
      <c r="AC10" s="36"/>
      <c r="AD10" s="37"/>
      <c r="AE10" s="35" t="s">
        <v>31</v>
      </c>
      <c r="AF10" s="34"/>
      <c r="AG10" s="34" t="n">
        <v>2</v>
      </c>
      <c r="AH10" s="35"/>
      <c r="AI10" s="36"/>
      <c r="AJ10" s="37"/>
      <c r="AK10" s="35" t="s">
        <v>30</v>
      </c>
      <c r="AL10" s="34"/>
      <c r="AM10" s="34" t="n">
        <v>2.25</v>
      </c>
      <c r="AN10" s="35"/>
      <c r="AO10" s="36"/>
      <c r="AP10" s="37"/>
      <c r="AQ10" s="35" t="s">
        <v>28</v>
      </c>
      <c r="AR10" s="34"/>
      <c r="AS10" s="34" t="n">
        <v>2.75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74</v>
      </c>
      <c r="C11" s="29" t="n">
        <f aca="false">SUM(H11:AW11)</f>
        <v>42.25</v>
      </c>
      <c r="D11" s="82" t="n">
        <f aca="false">E11/2.5</f>
        <v>7</v>
      </c>
      <c r="E11" s="31" t="n">
        <f aca="false">SUM(H11+N11+T11+Z11+AF11+AL11+AR11)</f>
        <v>17.5</v>
      </c>
      <c r="F11" s="138" t="n">
        <f aca="false">C11-E11-AW11</f>
        <v>24.75</v>
      </c>
      <c r="G11" s="33" t="s">
        <v>28</v>
      </c>
      <c r="H11" s="34" t="n">
        <v>2.5</v>
      </c>
      <c r="I11" s="34" t="n">
        <v>4</v>
      </c>
      <c r="J11" s="35"/>
      <c r="K11" s="36"/>
      <c r="L11" s="37"/>
      <c r="M11" s="33" t="s">
        <v>34</v>
      </c>
      <c r="N11" s="34" t="n">
        <v>2.5</v>
      </c>
      <c r="O11" s="34" t="n">
        <v>3.25</v>
      </c>
      <c r="P11" s="35"/>
      <c r="Q11" s="36"/>
      <c r="R11" s="37"/>
      <c r="S11" s="35" t="s">
        <v>28</v>
      </c>
      <c r="T11" s="34" t="n">
        <v>2.5</v>
      </c>
      <c r="U11" s="34" t="n">
        <v>3.75</v>
      </c>
      <c r="V11" s="35"/>
      <c r="W11" s="36"/>
      <c r="X11" s="37"/>
      <c r="Y11" s="35" t="s">
        <v>31</v>
      </c>
      <c r="Z11" s="34" t="n">
        <v>2.5</v>
      </c>
      <c r="AA11" s="34" t="n">
        <v>3.5</v>
      </c>
      <c r="AB11" s="35"/>
      <c r="AC11" s="36"/>
      <c r="AD11" s="37"/>
      <c r="AE11" s="35" t="s">
        <v>28</v>
      </c>
      <c r="AF11" s="34" t="n">
        <v>2.5</v>
      </c>
      <c r="AG11" s="34" t="n">
        <v>2.75</v>
      </c>
      <c r="AH11" s="35"/>
      <c r="AI11" s="36"/>
      <c r="AJ11" s="37"/>
      <c r="AK11" s="35" t="s">
        <v>34</v>
      </c>
      <c r="AL11" s="34" t="n">
        <v>2.5</v>
      </c>
      <c r="AM11" s="34" t="n">
        <v>3.5</v>
      </c>
      <c r="AN11" s="35"/>
      <c r="AO11" s="36"/>
      <c r="AP11" s="37"/>
      <c r="AQ11" s="35" t="s">
        <v>34</v>
      </c>
      <c r="AR11" s="34" t="n">
        <v>2.5</v>
      </c>
      <c r="AS11" s="34" t="n">
        <v>4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69</v>
      </c>
      <c r="C12" s="29" t="n">
        <f aca="false">SUM(H12:AW12)</f>
        <v>26.5</v>
      </c>
      <c r="D12" s="82" t="n">
        <f aca="false">E12/2.5</f>
        <v>4</v>
      </c>
      <c r="E12" s="31" t="n">
        <f aca="false">SUM(H12+N12+T12+Z12+AF12+AL12+AR12)</f>
        <v>10</v>
      </c>
      <c r="F12" s="138" t="n">
        <f aca="false">C12-E12-AW12</f>
        <v>16.5</v>
      </c>
      <c r="G12" s="33" t="s">
        <v>28</v>
      </c>
      <c r="H12" s="34" t="n">
        <v>2.5</v>
      </c>
      <c r="I12" s="34" t="n">
        <v>2</v>
      </c>
      <c r="J12" s="35"/>
      <c r="K12" s="36"/>
      <c r="L12" s="37"/>
      <c r="M12" s="33" t="s">
        <v>28</v>
      </c>
      <c r="N12" s="34"/>
      <c r="O12" s="34" t="n">
        <v>1.75</v>
      </c>
      <c r="P12" s="35"/>
      <c r="Q12" s="36"/>
      <c r="R12" s="37"/>
      <c r="S12" s="35" t="s">
        <v>28</v>
      </c>
      <c r="T12" s="34" t="n">
        <v>2.5</v>
      </c>
      <c r="U12" s="34" t="n">
        <v>2.5</v>
      </c>
      <c r="V12" s="35"/>
      <c r="W12" s="36"/>
      <c r="X12" s="37"/>
      <c r="Y12" s="35" t="s">
        <v>30</v>
      </c>
      <c r="Z12" s="34"/>
      <c r="AA12" s="34" t="n">
        <v>1.75</v>
      </c>
      <c r="AB12" s="35"/>
      <c r="AC12" s="36"/>
      <c r="AD12" s="37"/>
      <c r="AE12" s="35" t="s">
        <v>28</v>
      </c>
      <c r="AF12" s="34" t="n">
        <v>2.5</v>
      </c>
      <c r="AG12" s="34" t="n">
        <v>3.5</v>
      </c>
      <c r="AH12" s="35"/>
      <c r="AI12" s="36"/>
      <c r="AJ12" s="37"/>
      <c r="AK12" s="35" t="s">
        <v>31</v>
      </c>
      <c r="AL12" s="34" t="n">
        <v>2.5</v>
      </c>
      <c r="AM12" s="34" t="n">
        <v>3</v>
      </c>
      <c r="AN12" s="35"/>
      <c r="AO12" s="36"/>
      <c r="AP12" s="37"/>
      <c r="AQ12" s="35" t="s">
        <v>28</v>
      </c>
      <c r="AR12" s="34"/>
      <c r="AS12" s="34" t="n">
        <v>2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68</v>
      </c>
      <c r="C13" s="29" t="n">
        <f aca="false">SUM(H13:AW13)</f>
        <v>13.25</v>
      </c>
      <c r="D13" s="82" t="n">
        <f aca="false">E13/2.5</f>
        <v>0</v>
      </c>
      <c r="E13" s="31" t="n">
        <f aca="false">SUM(H13+N13+T13+Z13+AF13+AL13+AR13)</f>
        <v>0</v>
      </c>
      <c r="F13" s="138" t="n">
        <f aca="false">C13-E13-AW13</f>
        <v>13.25</v>
      </c>
      <c r="G13" s="33" t="s">
        <v>31</v>
      </c>
      <c r="H13" s="34"/>
      <c r="I13" s="34" t="n">
        <v>2.25</v>
      </c>
      <c r="J13" s="35"/>
      <c r="K13" s="36"/>
      <c r="L13" s="37"/>
      <c r="M13" s="33" t="s">
        <v>28</v>
      </c>
      <c r="N13" s="34"/>
      <c r="O13" s="34" t="n">
        <v>2</v>
      </c>
      <c r="P13" s="35" t="s">
        <v>29</v>
      </c>
      <c r="Q13" s="36"/>
      <c r="R13" s="37" t="n">
        <v>0.5</v>
      </c>
      <c r="S13" s="35" t="s">
        <v>31</v>
      </c>
      <c r="T13" s="34"/>
      <c r="U13" s="34" t="n">
        <v>1.5</v>
      </c>
      <c r="V13" s="35"/>
      <c r="W13" s="36"/>
      <c r="X13" s="37"/>
      <c r="Y13" s="35" t="s">
        <v>28</v>
      </c>
      <c r="Z13" s="34"/>
      <c r="AA13" s="34" t="n">
        <v>2.5</v>
      </c>
      <c r="AB13" s="35"/>
      <c r="AC13" s="36"/>
      <c r="AD13" s="37"/>
      <c r="AE13" s="35" t="s">
        <v>31</v>
      </c>
      <c r="AF13" s="34"/>
      <c r="AG13" s="34" t="n">
        <v>1.5</v>
      </c>
      <c r="AH13" s="35"/>
      <c r="AI13" s="36"/>
      <c r="AJ13" s="37"/>
      <c r="AK13" s="35" t="s">
        <v>28</v>
      </c>
      <c r="AL13" s="34"/>
      <c r="AM13" s="34" t="n">
        <v>1.5</v>
      </c>
      <c r="AN13" s="35"/>
      <c r="AO13" s="36"/>
      <c r="AP13" s="37"/>
      <c r="AQ13" s="35" t="s">
        <v>30</v>
      </c>
      <c r="AR13" s="34"/>
      <c r="AS13" s="34" t="n">
        <v>1.5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149</v>
      </c>
      <c r="C14" s="29" t="n">
        <f aca="false">SUM(H14:AW14)</f>
        <v>29</v>
      </c>
      <c r="D14" s="82" t="n">
        <f aca="false">E14/2.5</f>
        <v>4</v>
      </c>
      <c r="E14" s="31" t="n">
        <f aca="false">SUM(H14+N14+T14+Z14+AF14+AL14+AR14)</f>
        <v>10</v>
      </c>
      <c r="F14" s="138" t="n">
        <f aca="false">C14-E14-AW14</f>
        <v>19</v>
      </c>
      <c r="G14" s="33" t="s">
        <v>30</v>
      </c>
      <c r="H14" s="34" t="n">
        <v>2.5</v>
      </c>
      <c r="I14" s="34" t="n">
        <v>2</v>
      </c>
      <c r="J14" s="35"/>
      <c r="K14" s="36"/>
      <c r="L14" s="45"/>
      <c r="M14" s="33" t="s">
        <v>28</v>
      </c>
      <c r="N14" s="34"/>
      <c r="O14" s="34" t="n">
        <v>1.5</v>
      </c>
      <c r="P14" s="35"/>
      <c r="Q14" s="36"/>
      <c r="R14" s="37"/>
      <c r="S14" s="35" t="s">
        <v>28</v>
      </c>
      <c r="T14" s="34" t="n">
        <v>2.5</v>
      </c>
      <c r="U14" s="34" t="n">
        <v>2.5</v>
      </c>
      <c r="V14" s="35"/>
      <c r="W14" s="36"/>
      <c r="X14" s="37"/>
      <c r="Y14" s="35" t="s">
        <v>28</v>
      </c>
      <c r="Z14" s="34"/>
      <c r="AA14" s="34" t="n">
        <v>2</v>
      </c>
      <c r="AB14" s="35" t="s">
        <v>29</v>
      </c>
      <c r="AC14" s="36"/>
      <c r="AD14" s="37" t="n">
        <v>0.5</v>
      </c>
      <c r="AE14" s="35" t="s">
        <v>28</v>
      </c>
      <c r="AF14" s="34" t="n">
        <v>2.5</v>
      </c>
      <c r="AG14" s="34" t="n">
        <v>3.25</v>
      </c>
      <c r="AH14" s="35"/>
      <c r="AI14" s="36"/>
      <c r="AJ14" s="37"/>
      <c r="AK14" s="35" t="s">
        <v>31</v>
      </c>
      <c r="AL14" s="34" t="n">
        <v>2.5</v>
      </c>
      <c r="AM14" s="34" t="n">
        <v>4</v>
      </c>
      <c r="AN14" s="35"/>
      <c r="AO14" s="36"/>
      <c r="AP14" s="37"/>
      <c r="AQ14" s="35" t="s">
        <v>28</v>
      </c>
      <c r="AR14" s="34"/>
      <c r="AS14" s="34" t="n">
        <v>3.25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150</v>
      </c>
      <c r="C15" s="29" t="n">
        <f aca="false">SUM(H15:AW15)</f>
        <v>29.75</v>
      </c>
      <c r="D15" s="85" t="n">
        <f aca="false">E15/2.5</f>
        <v>4</v>
      </c>
      <c r="E15" s="48" t="n">
        <f aca="false">SUM(H15+N15+T15+Z15+AF15+AL15+AR15)</f>
        <v>10</v>
      </c>
      <c r="F15" s="142" t="n">
        <f aca="false">C15-E15-AW15</f>
        <v>19.75</v>
      </c>
      <c r="G15" s="49" t="s">
        <v>28</v>
      </c>
      <c r="H15" s="50" t="n">
        <v>2.5</v>
      </c>
      <c r="I15" s="50" t="n">
        <v>2.25</v>
      </c>
      <c r="J15" s="51"/>
      <c r="K15" s="52"/>
      <c r="L15" s="53"/>
      <c r="M15" s="49" t="s">
        <v>28</v>
      </c>
      <c r="N15" s="50"/>
      <c r="O15" s="50" t="n">
        <v>2.5</v>
      </c>
      <c r="P15" s="51"/>
      <c r="Q15" s="52"/>
      <c r="R15" s="53"/>
      <c r="S15" s="51" t="s">
        <v>28</v>
      </c>
      <c r="T15" s="50" t="n">
        <v>2.5</v>
      </c>
      <c r="U15" s="50" t="n">
        <v>4</v>
      </c>
      <c r="V15" s="51"/>
      <c r="W15" s="52"/>
      <c r="X15" s="53"/>
      <c r="Y15" s="51" t="s">
        <v>28</v>
      </c>
      <c r="Z15" s="50"/>
      <c r="AA15" s="50" t="n">
        <v>2.75</v>
      </c>
      <c r="AB15" s="51"/>
      <c r="AC15" s="52"/>
      <c r="AD15" s="53"/>
      <c r="AE15" s="51" t="s">
        <v>28</v>
      </c>
      <c r="AF15" s="50" t="n">
        <v>2.5</v>
      </c>
      <c r="AG15" s="50" t="n">
        <v>3.25</v>
      </c>
      <c r="AH15" s="51"/>
      <c r="AI15" s="52"/>
      <c r="AJ15" s="53"/>
      <c r="AK15" s="51" t="s">
        <v>28</v>
      </c>
      <c r="AL15" s="50"/>
      <c r="AM15" s="50" t="n">
        <v>2</v>
      </c>
      <c r="AN15" s="51"/>
      <c r="AO15" s="52"/>
      <c r="AP15" s="53"/>
      <c r="AQ15" s="51" t="s">
        <v>31</v>
      </c>
      <c r="AR15" s="50" t="n">
        <v>2.5</v>
      </c>
      <c r="AS15" s="50" t="n">
        <v>3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143" t="s">
        <v>151</v>
      </c>
      <c r="H16" s="143"/>
      <c r="I16" s="143"/>
      <c r="J16" s="143"/>
      <c r="K16" s="143"/>
      <c r="L16" s="143"/>
      <c r="M16" s="58" t="s">
        <v>151</v>
      </c>
      <c r="N16" s="58"/>
      <c r="O16" s="58"/>
      <c r="P16" s="58"/>
      <c r="Q16" s="58"/>
      <c r="R16" s="58"/>
      <c r="S16" s="58" t="s">
        <v>152</v>
      </c>
      <c r="T16" s="58"/>
      <c r="U16" s="58"/>
      <c r="V16" s="58"/>
      <c r="W16" s="58"/>
      <c r="X16" s="58"/>
      <c r="Y16" s="58" t="s">
        <v>153</v>
      </c>
      <c r="Z16" s="58"/>
      <c r="AA16" s="58"/>
      <c r="AB16" s="58"/>
      <c r="AC16" s="58"/>
      <c r="AD16" s="58"/>
      <c r="AE16" s="58" t="s">
        <v>154</v>
      </c>
      <c r="AF16" s="58"/>
      <c r="AG16" s="58"/>
      <c r="AH16" s="58"/>
      <c r="AI16" s="58"/>
      <c r="AJ16" s="58"/>
      <c r="AK16" s="58" t="s">
        <v>151</v>
      </c>
      <c r="AL16" s="58"/>
      <c r="AM16" s="58"/>
      <c r="AN16" s="58"/>
      <c r="AO16" s="58"/>
      <c r="AP16" s="58"/>
      <c r="AQ16" s="58" t="s">
        <v>151</v>
      </c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53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5</v>
      </c>
      <c r="B26" s="4" t="s">
        <v>146</v>
      </c>
      <c r="C26" s="4" t="s">
        <v>65</v>
      </c>
      <c r="D26" s="4" t="n">
        <v>-0.5</v>
      </c>
      <c r="E26" s="120"/>
      <c r="F26" s="120"/>
    </row>
    <row r="27" customFormat="false" ht="15.75" hidden="false" customHeight="false" outlineLevel="0" collapsed="false">
      <c r="A27" s="76"/>
      <c r="B27" s="4"/>
      <c r="C27" s="4"/>
      <c r="D27" s="120"/>
      <c r="E27" s="120"/>
      <c r="F27" s="120"/>
    </row>
    <row r="28" customFormat="false" ht="15.75" hidden="false" customHeight="false" outlineLevel="0" collapsed="false">
      <c r="A28" s="76"/>
      <c r="B28" s="4"/>
      <c r="C28" s="4"/>
      <c r="D28" s="120"/>
      <c r="E28" s="120"/>
      <c r="F28" s="120"/>
    </row>
    <row r="29" customFormat="false" ht="15.75" hidden="false" customHeight="false" outlineLevel="0" collapsed="false">
      <c r="A29" s="4"/>
      <c r="B29" s="4"/>
      <c r="C29" s="4"/>
      <c r="D29" s="120"/>
      <c r="E29" s="120"/>
      <c r="F29" s="120"/>
    </row>
    <row r="30" customFormat="false" ht="15.75" hidden="false" customHeight="false" outlineLevel="0" collapsed="false">
      <c r="A30" s="4"/>
      <c r="B30" s="4"/>
      <c r="C30" s="4"/>
      <c r="D30" s="120"/>
      <c r="E30" s="120"/>
      <c r="F30" s="120"/>
    </row>
    <row r="31" customFormat="false" ht="15.75" hidden="false" customHeight="false" outlineLevel="0" collapsed="false">
      <c r="A31" s="4"/>
      <c r="B31" s="4"/>
      <c r="C31" s="4"/>
      <c r="D31" s="120"/>
      <c r="E31" s="120"/>
      <c r="F31" s="120"/>
    </row>
    <row r="32" customFormat="false" ht="15.75" hidden="false" customHeight="false" outlineLevel="0" collapsed="false">
      <c r="A32" s="4"/>
      <c r="B32" s="4"/>
      <c r="C32" s="4"/>
      <c r="D32" s="120"/>
      <c r="E32" s="120"/>
      <c r="F32" s="120"/>
    </row>
    <row r="33" customFormat="false" ht="15.75" hidden="false" customHeight="false" outlineLevel="0" collapsed="false">
      <c r="A33" s="4"/>
      <c r="B33" s="4"/>
      <c r="C33" s="4"/>
      <c r="D33" s="120"/>
      <c r="E33" s="120"/>
      <c r="F33" s="120"/>
    </row>
    <row r="34" customFormat="false" ht="15.75" hidden="false" customHeight="false" outlineLevel="0" collapsed="false">
      <c r="A34" s="4"/>
      <c r="B34" s="4"/>
      <c r="C34" s="4"/>
      <c r="D34" s="120"/>
      <c r="E34" s="120"/>
      <c r="F34" s="120"/>
    </row>
    <row r="35" customFormat="false" ht="15.75" hidden="false" customHeight="false" outlineLevel="0" collapsed="false">
      <c r="A35" s="4"/>
      <c r="B35" s="4"/>
      <c r="C35" s="4"/>
      <c r="D35" s="120"/>
      <c r="E35" s="120"/>
      <c r="F35" s="120"/>
    </row>
    <row r="36" customFormat="false" ht="15.75" hidden="false" customHeight="false" outlineLevel="0" collapsed="false">
      <c r="A36" s="4"/>
      <c r="B36" s="4"/>
      <c r="C36" s="4"/>
      <c r="D36" s="120"/>
      <c r="E36" s="120"/>
      <c r="F36" s="120"/>
    </row>
    <row r="37" customFormat="false" ht="15.75" hidden="false" customHeight="false" outlineLevel="0" collapsed="false">
      <c r="A37" s="4"/>
      <c r="B37" s="4"/>
      <c r="C37" s="4"/>
      <c r="D37" s="120"/>
      <c r="E37" s="120"/>
      <c r="F37" s="120"/>
    </row>
    <row r="38" customFormat="false" ht="15.75" hidden="false" customHeight="false" outlineLevel="0" collapsed="false">
      <c r="A38" s="4"/>
      <c r="B38" s="4"/>
      <c r="C38" s="4"/>
      <c r="D38" s="120"/>
      <c r="E38" s="120"/>
      <c r="F38" s="120"/>
    </row>
    <row r="39" customFormat="false" ht="15.75" hidden="false" customHeight="false" outlineLevel="0" collapsed="false">
      <c r="A39" s="4"/>
      <c r="B39" s="4"/>
      <c r="C39" s="4"/>
      <c r="D39" s="120"/>
      <c r="E39" s="120"/>
      <c r="F39" s="120"/>
    </row>
    <row r="40" customFormat="false" ht="15.75" hidden="false" customHeight="false" outlineLevel="0" collapsed="false">
      <c r="A40" s="4"/>
      <c r="B40" s="4"/>
      <c r="C40" s="4"/>
      <c r="D40" s="120"/>
      <c r="E40" s="120"/>
      <c r="F40" s="120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'1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27</v>
      </c>
      <c r="C6" s="29" t="n">
        <f aca="false">SUM(H6:AW6)</f>
        <v>33.75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23.75</v>
      </c>
      <c r="G6" s="148" t="s">
        <v>28</v>
      </c>
      <c r="H6" s="34"/>
      <c r="I6" s="34" t="n">
        <v>2.5</v>
      </c>
      <c r="J6" s="35"/>
      <c r="K6" s="36"/>
      <c r="L6" s="37"/>
      <c r="M6" s="33" t="s">
        <v>31</v>
      </c>
      <c r="N6" s="34" t="n">
        <v>2.5</v>
      </c>
      <c r="O6" s="34" t="n">
        <v>3.5</v>
      </c>
      <c r="P6" s="35"/>
      <c r="Q6" s="36"/>
      <c r="R6" s="37"/>
      <c r="S6" s="35" t="s">
        <v>28</v>
      </c>
      <c r="T6" s="34" t="n">
        <v>2.5</v>
      </c>
      <c r="U6" s="34" t="n">
        <v>2.75</v>
      </c>
      <c r="V6" s="35" t="s">
        <v>29</v>
      </c>
      <c r="W6" s="36"/>
      <c r="X6" s="37" t="n">
        <v>0.5</v>
      </c>
      <c r="Y6" s="35" t="s">
        <v>28</v>
      </c>
      <c r="Z6" s="34"/>
      <c r="AA6" s="34" t="n">
        <v>3.5</v>
      </c>
      <c r="AB6" s="35"/>
      <c r="AC6" s="36"/>
      <c r="AD6" s="37"/>
      <c r="AE6" s="35" t="s">
        <v>28</v>
      </c>
      <c r="AF6" s="34"/>
      <c r="AG6" s="34" t="n">
        <v>3.25</v>
      </c>
      <c r="AH6" s="35"/>
      <c r="AI6" s="36"/>
      <c r="AJ6" s="37"/>
      <c r="AK6" s="35" t="s">
        <v>34</v>
      </c>
      <c r="AL6" s="34" t="n">
        <v>2.5</v>
      </c>
      <c r="AM6" s="34" t="n">
        <v>3.5</v>
      </c>
      <c r="AN6" s="35"/>
      <c r="AO6" s="36"/>
      <c r="AP6" s="37"/>
      <c r="AQ6" s="35" t="s">
        <v>34</v>
      </c>
      <c r="AR6" s="34" t="n">
        <v>2.5</v>
      </c>
      <c r="AS6" s="34" t="n">
        <v>4.25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69</v>
      </c>
      <c r="C7" s="29" t="n">
        <f aca="false">SUM(H7:AW7)</f>
        <v>27</v>
      </c>
      <c r="D7" s="82" t="n">
        <f aca="false">E7/2.5</f>
        <v>3</v>
      </c>
      <c r="E7" s="138" t="n">
        <f aca="false">SUM(H7+N7+T7+Z7+AF7+AL7+AR7)</f>
        <v>7.5</v>
      </c>
      <c r="F7" s="32" t="n">
        <f aca="false">C7-E7</f>
        <v>19.5</v>
      </c>
      <c r="G7" s="148" t="s">
        <v>28</v>
      </c>
      <c r="H7" s="34"/>
      <c r="I7" s="34" t="n">
        <v>2</v>
      </c>
      <c r="J7" s="35"/>
      <c r="K7" s="36"/>
      <c r="L7" s="37"/>
      <c r="M7" s="33" t="s">
        <v>34</v>
      </c>
      <c r="N7" s="34" t="n">
        <v>2.5</v>
      </c>
      <c r="O7" s="34" t="n">
        <v>3</v>
      </c>
      <c r="P7" s="35"/>
      <c r="Q7" s="36"/>
      <c r="R7" s="37"/>
      <c r="S7" s="35" t="s">
        <v>28</v>
      </c>
      <c r="T7" s="34" t="n">
        <v>2.5</v>
      </c>
      <c r="U7" s="34" t="n">
        <v>3</v>
      </c>
      <c r="V7" s="35"/>
      <c r="W7" s="36"/>
      <c r="X7" s="37"/>
      <c r="Y7" s="35" t="s">
        <v>28</v>
      </c>
      <c r="Z7" s="34"/>
      <c r="AA7" s="34" t="n">
        <v>3</v>
      </c>
      <c r="AB7" s="35"/>
      <c r="AC7" s="34"/>
      <c r="AD7" s="45"/>
      <c r="AE7" s="35" t="s">
        <v>31</v>
      </c>
      <c r="AF7" s="34" t="n">
        <v>2.5</v>
      </c>
      <c r="AG7" s="34" t="n">
        <v>3.5</v>
      </c>
      <c r="AH7" s="35"/>
      <c r="AI7" s="36"/>
      <c r="AJ7" s="45"/>
      <c r="AK7" s="35" t="s">
        <v>28</v>
      </c>
      <c r="AL7" s="34"/>
      <c r="AM7" s="34" t="n">
        <v>2.5</v>
      </c>
      <c r="AN7" s="35" t="s">
        <v>29</v>
      </c>
      <c r="AO7" s="34"/>
      <c r="AP7" s="45" t="n">
        <v>0.5</v>
      </c>
      <c r="AQ7" s="35" t="s">
        <v>28</v>
      </c>
      <c r="AR7" s="34"/>
      <c r="AS7" s="34" t="n">
        <v>2</v>
      </c>
      <c r="AT7" s="35"/>
      <c r="AU7" s="36"/>
      <c r="AV7" s="45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146</v>
      </c>
      <c r="C8" s="29" t="n">
        <f aca="false">SUM(H8:AW8)</f>
        <v>21.5</v>
      </c>
      <c r="D8" s="82" t="n">
        <f aca="false">E8/2.5</f>
        <v>2</v>
      </c>
      <c r="E8" s="138" t="n">
        <f aca="false">SUM(H8+N8+T8+Z8+AF8+AL8+AR8)</f>
        <v>5</v>
      </c>
      <c r="F8" s="32" t="n">
        <f aca="false">C8-E8</f>
        <v>16.5</v>
      </c>
      <c r="G8" s="148" t="s">
        <v>31</v>
      </c>
      <c r="H8" s="34" t="n">
        <v>2.5</v>
      </c>
      <c r="I8" s="34" t="n">
        <v>4</v>
      </c>
      <c r="J8" s="35"/>
      <c r="K8" s="36"/>
      <c r="L8" s="37"/>
      <c r="M8" s="33" t="s">
        <v>30</v>
      </c>
      <c r="N8" s="34"/>
      <c r="O8" s="34" t="n">
        <v>2.25</v>
      </c>
      <c r="P8" s="35" t="s">
        <v>29</v>
      </c>
      <c r="Q8" s="36"/>
      <c r="R8" s="37" t="n">
        <v>0.5</v>
      </c>
      <c r="S8" s="35" t="s">
        <v>31</v>
      </c>
      <c r="T8" s="34"/>
      <c r="U8" s="34" t="n">
        <v>1.75</v>
      </c>
      <c r="V8" s="35"/>
      <c r="W8" s="36"/>
      <c r="X8" s="45"/>
      <c r="Y8" s="35" t="s">
        <v>28</v>
      </c>
      <c r="Z8" s="34"/>
      <c r="AA8" s="34" t="n">
        <v>1</v>
      </c>
      <c r="AB8" s="35"/>
      <c r="AC8" s="36"/>
      <c r="AD8" s="37"/>
      <c r="AE8" s="35" t="s">
        <v>28</v>
      </c>
      <c r="AF8" s="34"/>
      <c r="AG8" s="34" t="n">
        <v>1.75</v>
      </c>
      <c r="AH8" s="35"/>
      <c r="AI8" s="36"/>
      <c r="AJ8" s="37"/>
      <c r="AK8" s="35" t="s">
        <v>28</v>
      </c>
      <c r="AL8" s="34"/>
      <c r="AM8" s="34" t="n">
        <v>2</v>
      </c>
      <c r="AN8" s="35"/>
      <c r="AO8" s="36"/>
      <c r="AP8" s="37"/>
      <c r="AQ8" s="35" t="s">
        <v>31</v>
      </c>
      <c r="AR8" s="34" t="n">
        <v>2.5</v>
      </c>
      <c r="AS8" s="34" t="n">
        <v>3.25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158</v>
      </c>
      <c r="C9" s="29" t="n">
        <f aca="false">SUM(H9:AW9)</f>
        <v>30.75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23.25</v>
      </c>
      <c r="G9" s="148" t="s">
        <v>28</v>
      </c>
      <c r="H9" s="34"/>
      <c r="I9" s="34" t="n">
        <v>2</v>
      </c>
      <c r="J9" s="35" t="s">
        <v>29</v>
      </c>
      <c r="K9" s="36"/>
      <c r="L9" s="37" t="n">
        <v>0.5</v>
      </c>
      <c r="M9" s="33" t="s">
        <v>28</v>
      </c>
      <c r="N9" s="34"/>
      <c r="O9" s="34" t="n">
        <v>2.5</v>
      </c>
      <c r="P9" s="35"/>
      <c r="Q9" s="36"/>
      <c r="R9" s="37"/>
      <c r="S9" s="35" t="s">
        <v>28</v>
      </c>
      <c r="T9" s="34" t="n">
        <v>2.5</v>
      </c>
      <c r="U9" s="34" t="n">
        <v>3.75</v>
      </c>
      <c r="V9" s="35"/>
      <c r="W9" s="36"/>
      <c r="X9" s="37"/>
      <c r="Y9" s="35" t="s">
        <v>28</v>
      </c>
      <c r="Z9" s="34"/>
      <c r="AA9" s="34" t="n">
        <v>3.75</v>
      </c>
      <c r="AB9" s="35"/>
      <c r="AC9" s="36"/>
      <c r="AD9" s="37"/>
      <c r="AE9" s="35" t="s">
        <v>31</v>
      </c>
      <c r="AF9" s="34" t="n">
        <v>2.5</v>
      </c>
      <c r="AG9" s="34" t="n">
        <v>3.75</v>
      </c>
      <c r="AH9" s="35"/>
      <c r="AI9" s="36"/>
      <c r="AJ9" s="37"/>
      <c r="AK9" s="35" t="s">
        <v>28</v>
      </c>
      <c r="AL9" s="34"/>
      <c r="AM9" s="34" t="n">
        <v>3.25</v>
      </c>
      <c r="AN9" s="35"/>
      <c r="AO9" s="36"/>
      <c r="AP9" s="37"/>
      <c r="AQ9" s="35" t="s">
        <v>31</v>
      </c>
      <c r="AR9" s="34" t="n">
        <v>2.5</v>
      </c>
      <c r="AS9" s="34" t="n">
        <v>3.75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41</v>
      </c>
      <c r="C10" s="29" t="n">
        <f aca="false">SUM(H10:AW10)</f>
        <v>21.5</v>
      </c>
      <c r="D10" s="82" t="n">
        <f aca="false">E10/2.5</f>
        <v>2</v>
      </c>
      <c r="E10" s="138" t="n">
        <f aca="false">SUM(H10+N10+T10+Z10+AF10+AL10+AR10)</f>
        <v>5</v>
      </c>
      <c r="F10" s="32" t="n">
        <f aca="false">C10-E10</f>
        <v>16.5</v>
      </c>
      <c r="G10" s="148" t="s">
        <v>28</v>
      </c>
      <c r="H10" s="34"/>
      <c r="I10" s="34" t="n">
        <v>2</v>
      </c>
      <c r="J10" s="35"/>
      <c r="K10" s="36"/>
      <c r="L10" s="37"/>
      <c r="M10" s="33" t="s">
        <v>28</v>
      </c>
      <c r="N10" s="34"/>
      <c r="O10" s="34" t="n">
        <v>2.25</v>
      </c>
      <c r="P10" s="35"/>
      <c r="Q10" s="36"/>
      <c r="R10" s="45"/>
      <c r="S10" s="35" t="s">
        <v>28</v>
      </c>
      <c r="T10" s="34" t="n">
        <v>2.5</v>
      </c>
      <c r="U10" s="34" t="n">
        <v>2.75</v>
      </c>
      <c r="V10" s="35"/>
      <c r="W10" s="36"/>
      <c r="X10" s="37"/>
      <c r="Y10" s="35" t="s">
        <v>31</v>
      </c>
      <c r="Z10" s="34" t="n">
        <v>2.5</v>
      </c>
      <c r="AA10" s="34" t="n">
        <v>3.75</v>
      </c>
      <c r="AB10" s="35"/>
      <c r="AC10" s="36"/>
      <c r="AD10" s="37"/>
      <c r="AE10" s="35" t="s">
        <v>28</v>
      </c>
      <c r="AF10" s="34"/>
      <c r="AG10" s="34" t="n">
        <v>2.5</v>
      </c>
      <c r="AH10" s="35"/>
      <c r="AI10" s="36"/>
      <c r="AJ10" s="37"/>
      <c r="AK10" s="35" t="s">
        <v>28</v>
      </c>
      <c r="AL10" s="34"/>
      <c r="AM10" s="34" t="n">
        <v>1.5</v>
      </c>
      <c r="AN10" s="35"/>
      <c r="AO10" s="36"/>
      <c r="AP10" s="37"/>
      <c r="AQ10" s="35" t="s">
        <v>28</v>
      </c>
      <c r="AR10" s="34"/>
      <c r="AS10" s="34" t="n">
        <v>1.75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159</v>
      </c>
      <c r="C11" s="29" t="n">
        <f aca="false">SUM(H11:AW11)</f>
        <v>16</v>
      </c>
      <c r="D11" s="82" t="n">
        <f aca="false">E11/2.5</f>
        <v>1</v>
      </c>
      <c r="E11" s="138" t="n">
        <f aca="false">SUM(H11+N11+T11+Z11+AF11+AL11+AR11)</f>
        <v>2.5</v>
      </c>
      <c r="F11" s="32" t="n">
        <f aca="false">C11-E11</f>
        <v>13.5</v>
      </c>
      <c r="G11" s="148" t="s">
        <v>30</v>
      </c>
      <c r="H11" s="34"/>
      <c r="I11" s="34" t="n">
        <v>1.75</v>
      </c>
      <c r="J11" s="35"/>
      <c r="K11" s="36"/>
      <c r="L11" s="37"/>
      <c r="M11" s="33" t="s">
        <v>31</v>
      </c>
      <c r="N11" s="34" t="n">
        <v>2.5</v>
      </c>
      <c r="O11" s="34" t="n">
        <v>3.75</v>
      </c>
      <c r="P11" s="35"/>
      <c r="Q11" s="36"/>
      <c r="R11" s="37"/>
      <c r="S11" s="35" t="s">
        <v>31</v>
      </c>
      <c r="T11" s="34"/>
      <c r="U11" s="34" t="n">
        <v>2.25</v>
      </c>
      <c r="V11" s="35"/>
      <c r="W11" s="36"/>
      <c r="X11" s="37"/>
      <c r="Y11" s="35" t="s">
        <v>28</v>
      </c>
      <c r="Z11" s="34"/>
      <c r="AA11" s="34" t="n">
        <v>1.25</v>
      </c>
      <c r="AB11" s="35"/>
      <c r="AC11" s="36"/>
      <c r="AD11" s="37"/>
      <c r="AE11" s="35" t="s">
        <v>30</v>
      </c>
      <c r="AF11" s="34"/>
      <c r="AG11" s="34" t="n">
        <v>2</v>
      </c>
      <c r="AH11" s="35"/>
      <c r="AI11" s="36"/>
      <c r="AJ11" s="37"/>
      <c r="AK11" s="35" t="s">
        <v>30</v>
      </c>
      <c r="AL11" s="34"/>
      <c r="AM11" s="34" t="n">
        <v>0.5</v>
      </c>
      <c r="AN11" s="35"/>
      <c r="AO11" s="36"/>
      <c r="AP11" s="37"/>
      <c r="AQ11" s="35" t="s">
        <v>28</v>
      </c>
      <c r="AR11" s="34"/>
      <c r="AS11" s="34" t="n">
        <v>2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160</v>
      </c>
      <c r="C12" s="29" t="n">
        <f aca="false">SUM(H12:AW12)</f>
        <v>26.75</v>
      </c>
      <c r="D12" s="82" t="n">
        <f aca="false">E12/2.5</f>
        <v>4</v>
      </c>
      <c r="E12" s="138" t="n">
        <f aca="false">SUM(H12+N12+T12+Z12+AF12+AL12+AR12)</f>
        <v>10</v>
      </c>
      <c r="F12" s="32" t="n">
        <f aca="false">C12-E12</f>
        <v>16.75</v>
      </c>
      <c r="G12" s="148" t="s">
        <v>34</v>
      </c>
      <c r="H12" s="34" t="n">
        <v>2.5</v>
      </c>
      <c r="I12" s="34" t="n">
        <v>2.75</v>
      </c>
      <c r="J12" s="35"/>
      <c r="K12" s="36"/>
      <c r="L12" s="37"/>
      <c r="M12" s="33" t="s">
        <v>28</v>
      </c>
      <c r="N12" s="34"/>
      <c r="O12" s="34" t="n">
        <v>2</v>
      </c>
      <c r="P12" s="35"/>
      <c r="Q12" s="36"/>
      <c r="R12" s="37"/>
      <c r="S12" s="35" t="s">
        <v>28</v>
      </c>
      <c r="T12" s="34" t="n">
        <v>2.5</v>
      </c>
      <c r="U12" s="34" t="n">
        <v>2.75</v>
      </c>
      <c r="V12" s="35"/>
      <c r="W12" s="36"/>
      <c r="X12" s="37"/>
      <c r="Y12" s="35" t="s">
        <v>31</v>
      </c>
      <c r="Z12" s="34" t="n">
        <v>2.5</v>
      </c>
      <c r="AA12" s="34" t="n">
        <v>2.25</v>
      </c>
      <c r="AB12" s="35"/>
      <c r="AC12" s="36"/>
      <c r="AD12" s="37"/>
      <c r="AE12" s="35" t="s">
        <v>28</v>
      </c>
      <c r="AF12" s="34"/>
      <c r="AG12" s="34" t="n">
        <v>2</v>
      </c>
      <c r="AH12" s="35"/>
      <c r="AI12" s="36"/>
      <c r="AJ12" s="37"/>
      <c r="AK12" s="35" t="s">
        <v>31</v>
      </c>
      <c r="AL12" s="34" t="n">
        <v>2.5</v>
      </c>
      <c r="AM12" s="34" t="n">
        <v>3</v>
      </c>
      <c r="AN12" s="35"/>
      <c r="AO12" s="36"/>
      <c r="AP12" s="37"/>
      <c r="AQ12" s="35" t="s">
        <v>28</v>
      </c>
      <c r="AR12" s="34"/>
      <c r="AS12" s="34" t="n">
        <v>2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161</v>
      </c>
      <c r="C13" s="29" t="n">
        <f aca="false">SUM(H13:AW13)</f>
        <v>18.75</v>
      </c>
      <c r="D13" s="82" t="n">
        <f aca="false">E13/2.5</f>
        <v>1</v>
      </c>
      <c r="E13" s="138" t="n">
        <f aca="false">SUM(H13+N13+T13+Z13+AF13+AL13+AR13)</f>
        <v>2.5</v>
      </c>
      <c r="F13" s="32" t="n">
        <f aca="false">C13-E13</f>
        <v>16.25</v>
      </c>
      <c r="G13" s="148" t="s">
        <v>28</v>
      </c>
      <c r="H13" s="34"/>
      <c r="I13" s="34" t="n">
        <v>2.25</v>
      </c>
      <c r="J13" s="35"/>
      <c r="K13" s="36"/>
      <c r="L13" s="37"/>
      <c r="M13" s="33" t="s">
        <v>28</v>
      </c>
      <c r="N13" s="34"/>
      <c r="O13" s="34" t="n">
        <v>2.25</v>
      </c>
      <c r="P13" s="35"/>
      <c r="Q13" s="36"/>
      <c r="R13" s="37"/>
      <c r="S13" s="35" t="s">
        <v>28</v>
      </c>
      <c r="T13" s="34" t="n">
        <v>2.5</v>
      </c>
      <c r="U13" s="34" t="n">
        <v>3</v>
      </c>
      <c r="V13" s="35"/>
      <c r="W13" s="36"/>
      <c r="X13" s="37"/>
      <c r="Y13" s="35" t="s">
        <v>30</v>
      </c>
      <c r="Z13" s="34"/>
      <c r="AA13" s="34" t="n">
        <v>2</v>
      </c>
      <c r="AB13" s="35" t="s">
        <v>29</v>
      </c>
      <c r="AC13" s="36"/>
      <c r="AD13" s="37" t="n">
        <v>0.5</v>
      </c>
      <c r="AE13" s="35" t="s">
        <v>28</v>
      </c>
      <c r="AF13" s="34"/>
      <c r="AG13" s="34" t="n">
        <v>3</v>
      </c>
      <c r="AH13" s="35"/>
      <c r="AI13" s="36"/>
      <c r="AJ13" s="37"/>
      <c r="AK13" s="35" t="s">
        <v>28</v>
      </c>
      <c r="AL13" s="34"/>
      <c r="AM13" s="34" t="n">
        <v>2.25</v>
      </c>
      <c r="AN13" s="35"/>
      <c r="AO13" s="36"/>
      <c r="AP13" s="37"/>
      <c r="AQ13" s="35" t="s">
        <v>28</v>
      </c>
      <c r="AR13" s="34"/>
      <c r="AS13" s="34" t="n">
        <v>1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162</v>
      </c>
      <c r="C14" s="29" t="n">
        <f aca="false">SUM(H14:AW14)</f>
        <v>15.5</v>
      </c>
      <c r="D14" s="82" t="n">
        <f aca="false">E14/2.5</f>
        <v>0</v>
      </c>
      <c r="E14" s="138" t="n">
        <f aca="false">SUM(H14+N14+T14+Z14+AF14+AL14+AR14)</f>
        <v>0</v>
      </c>
      <c r="F14" s="32" t="n">
        <f aca="false">C14-E14</f>
        <v>15.5</v>
      </c>
      <c r="G14" s="148" t="s">
        <v>28</v>
      </c>
      <c r="H14" s="34"/>
      <c r="I14" s="34" t="n">
        <v>1.5</v>
      </c>
      <c r="J14" s="35"/>
      <c r="K14" s="36"/>
      <c r="L14" s="45"/>
      <c r="M14" s="33" t="s">
        <v>28</v>
      </c>
      <c r="N14" s="34"/>
      <c r="O14" s="34" t="n">
        <v>1.5</v>
      </c>
      <c r="P14" s="35"/>
      <c r="Q14" s="36"/>
      <c r="R14" s="37"/>
      <c r="S14" s="35" t="s">
        <v>34</v>
      </c>
      <c r="T14" s="34"/>
      <c r="U14" s="34" t="n">
        <v>1.5</v>
      </c>
      <c r="V14" s="35"/>
      <c r="W14" s="36"/>
      <c r="X14" s="37"/>
      <c r="Y14" s="35" t="s">
        <v>28</v>
      </c>
      <c r="Z14" s="34"/>
      <c r="AA14" s="34" t="n">
        <v>2.5</v>
      </c>
      <c r="AB14" s="35"/>
      <c r="AC14" s="36"/>
      <c r="AD14" s="37"/>
      <c r="AE14" s="35" t="s">
        <v>28</v>
      </c>
      <c r="AF14" s="34"/>
      <c r="AG14" s="34" t="n">
        <v>3</v>
      </c>
      <c r="AH14" s="35" t="s">
        <v>29</v>
      </c>
      <c r="AI14" s="36" t="n">
        <v>0.5</v>
      </c>
      <c r="AJ14" s="37" t="n">
        <v>0.5</v>
      </c>
      <c r="AK14" s="35" t="s">
        <v>28</v>
      </c>
      <c r="AL14" s="34"/>
      <c r="AM14" s="34" t="n">
        <v>2.75</v>
      </c>
      <c r="AN14" s="35"/>
      <c r="AO14" s="36"/>
      <c r="AP14" s="37"/>
      <c r="AQ14" s="35" t="s">
        <v>30</v>
      </c>
      <c r="AR14" s="34"/>
      <c r="AS14" s="34" t="n">
        <v>1.75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40</v>
      </c>
      <c r="C15" s="29" t="n">
        <f aca="false">SUM(H15:AW15)</f>
        <v>34.75</v>
      </c>
      <c r="D15" s="85" t="n">
        <f aca="false">E15/2.5</f>
        <v>5</v>
      </c>
      <c r="E15" s="149" t="n">
        <f aca="false">SUM(H15+N15+T15+Z15+AF15+AL15+AR15)</f>
        <v>12.5</v>
      </c>
      <c r="F15" s="55" t="n">
        <f aca="false">C15-E15</f>
        <v>22.25</v>
      </c>
      <c r="G15" s="150" t="s">
        <v>31</v>
      </c>
      <c r="H15" s="50" t="n">
        <v>2.5</v>
      </c>
      <c r="I15" s="50" t="n">
        <v>3</v>
      </c>
      <c r="J15" s="51"/>
      <c r="K15" s="52"/>
      <c r="L15" s="53"/>
      <c r="M15" s="49" t="s">
        <v>28</v>
      </c>
      <c r="N15" s="50"/>
      <c r="O15" s="50" t="n">
        <v>3</v>
      </c>
      <c r="P15" s="51"/>
      <c r="Q15" s="52"/>
      <c r="R15" s="53"/>
      <c r="S15" s="51" t="s">
        <v>30</v>
      </c>
      <c r="T15" s="50" t="n">
        <v>2.5</v>
      </c>
      <c r="U15" s="50" t="n">
        <v>4.25</v>
      </c>
      <c r="V15" s="51"/>
      <c r="W15" s="52"/>
      <c r="X15" s="53"/>
      <c r="Y15" s="51" t="s">
        <v>34</v>
      </c>
      <c r="Z15" s="50" t="n">
        <v>2.5</v>
      </c>
      <c r="AA15" s="50" t="n">
        <v>3</v>
      </c>
      <c r="AB15" s="51"/>
      <c r="AC15" s="52"/>
      <c r="AD15" s="53"/>
      <c r="AE15" s="51" t="s">
        <v>34</v>
      </c>
      <c r="AF15" s="50" t="n">
        <v>2.5</v>
      </c>
      <c r="AG15" s="50" t="n">
        <v>3.25</v>
      </c>
      <c r="AH15" s="51"/>
      <c r="AI15" s="52"/>
      <c r="AJ15" s="53"/>
      <c r="AK15" s="51" t="s">
        <v>31</v>
      </c>
      <c r="AL15" s="50" t="n">
        <v>2.5</v>
      </c>
      <c r="AM15" s="50" t="n">
        <v>3</v>
      </c>
      <c r="AN15" s="51"/>
      <c r="AO15" s="52"/>
      <c r="AP15" s="53"/>
      <c r="AQ15" s="51" t="s">
        <v>28</v>
      </c>
      <c r="AR15" s="50"/>
      <c r="AS15" s="50" t="n">
        <v>2.25</v>
      </c>
      <c r="AT15" s="51" t="s">
        <v>29</v>
      </c>
      <c r="AU15" s="52"/>
      <c r="AV15" s="53" t="n">
        <v>0.5</v>
      </c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54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53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52</v>
      </c>
      <c r="AF18" s="66"/>
      <c r="AG18" s="66"/>
      <c r="AH18" s="66"/>
      <c r="AI18" s="66"/>
      <c r="AJ18" s="66"/>
      <c r="AK18" s="66" t="s">
        <v>54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4</v>
      </c>
      <c r="B26" s="4" t="s">
        <v>146</v>
      </c>
      <c r="C26" s="4" t="s">
        <v>64</v>
      </c>
      <c r="D26" s="4" t="n">
        <v>-0.5</v>
      </c>
    </row>
    <row r="27" customFormat="false" ht="15.75" hidden="false" customHeight="false" outlineLevel="0" collapsed="false">
      <c r="A27" s="76"/>
      <c r="B27" s="4"/>
      <c r="C27" s="4"/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'2 Серия'!$B$6:$B$15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41</v>
      </c>
      <c r="C6" s="29" t="n">
        <f aca="false">SUM(H6:AW6)</f>
        <v>33.25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23.25</v>
      </c>
      <c r="G6" s="148" t="s">
        <v>28</v>
      </c>
      <c r="H6" s="34"/>
      <c r="I6" s="34" t="n">
        <v>3</v>
      </c>
      <c r="J6" s="35"/>
      <c r="K6" s="36"/>
      <c r="L6" s="37"/>
      <c r="M6" s="33" t="s">
        <v>28</v>
      </c>
      <c r="N6" s="34" t="n">
        <v>2.5</v>
      </c>
      <c r="O6" s="34" t="n">
        <v>3</v>
      </c>
      <c r="P6" s="35" t="s">
        <v>29</v>
      </c>
      <c r="Q6" s="36" t="n">
        <v>0.5</v>
      </c>
      <c r="R6" s="37" t="n">
        <v>0.5</v>
      </c>
      <c r="S6" s="35" t="s">
        <v>31</v>
      </c>
      <c r="T6" s="34" t="n">
        <v>2.5</v>
      </c>
      <c r="U6" s="34" t="n">
        <v>3.75</v>
      </c>
      <c r="V6" s="35"/>
      <c r="W6" s="36"/>
      <c r="X6" s="37"/>
      <c r="Y6" s="35" t="s">
        <v>28</v>
      </c>
      <c r="Z6" s="34" t="n">
        <v>2.5</v>
      </c>
      <c r="AA6" s="34" t="n">
        <v>3.75</v>
      </c>
      <c r="AB6" s="35"/>
      <c r="AC6" s="36"/>
      <c r="AD6" s="37"/>
      <c r="AE6" s="35" t="s">
        <v>34</v>
      </c>
      <c r="AF6" s="34"/>
      <c r="AG6" s="34" t="n">
        <v>2.75</v>
      </c>
      <c r="AH6" s="35"/>
      <c r="AI6" s="36"/>
      <c r="AJ6" s="37"/>
      <c r="AK6" s="35" t="s">
        <v>28</v>
      </c>
      <c r="AL6" s="34"/>
      <c r="AM6" s="34" t="n">
        <v>2.5</v>
      </c>
      <c r="AN6" s="35" t="s">
        <v>29</v>
      </c>
      <c r="AO6" s="36"/>
      <c r="AP6" s="37" t="n">
        <v>1</v>
      </c>
      <c r="AQ6" s="35" t="s">
        <v>31</v>
      </c>
      <c r="AR6" s="34" t="n">
        <v>2.5</v>
      </c>
      <c r="AS6" s="34" t="n">
        <v>2.5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160</v>
      </c>
      <c r="C7" s="29" t="n">
        <f aca="false">SUM(H7:AW7)</f>
        <v>20</v>
      </c>
      <c r="D7" s="82" t="n">
        <f aca="false">E7/2.5</f>
        <v>2</v>
      </c>
      <c r="E7" s="138" t="n">
        <f aca="false">SUM(H7+N7+T7+Z7+AF7+AL7+AR7)</f>
        <v>5</v>
      </c>
      <c r="F7" s="32" t="n">
        <f aca="false">C7-E7</f>
        <v>15</v>
      </c>
      <c r="G7" s="148" t="s">
        <v>28</v>
      </c>
      <c r="H7" s="34"/>
      <c r="I7" s="34" t="n">
        <v>1.5</v>
      </c>
      <c r="J7" s="35"/>
      <c r="K7" s="36"/>
      <c r="L7" s="37"/>
      <c r="M7" s="33" t="s">
        <v>28</v>
      </c>
      <c r="N7" s="34" t="n">
        <v>2.5</v>
      </c>
      <c r="O7" s="34" t="n">
        <v>3</v>
      </c>
      <c r="P7" s="35"/>
      <c r="Q7" s="36"/>
      <c r="R7" s="37"/>
      <c r="S7" s="35" t="s">
        <v>28</v>
      </c>
      <c r="T7" s="34"/>
      <c r="U7" s="34" t="n">
        <v>1.5</v>
      </c>
      <c r="V7" s="35"/>
      <c r="W7" s="36"/>
      <c r="X7" s="37"/>
      <c r="Y7" s="35" t="s">
        <v>31</v>
      </c>
      <c r="Z7" s="34"/>
      <c r="AA7" s="34" t="n">
        <v>2.5</v>
      </c>
      <c r="AB7" s="35"/>
      <c r="AC7" s="34"/>
      <c r="AD7" s="45"/>
      <c r="AE7" s="35" t="s">
        <v>28</v>
      </c>
      <c r="AF7" s="34" t="n">
        <v>2.5</v>
      </c>
      <c r="AG7" s="34" t="n">
        <v>2.25</v>
      </c>
      <c r="AH7" s="35"/>
      <c r="AI7" s="36"/>
      <c r="AJ7" s="45"/>
      <c r="AK7" s="35" t="s">
        <v>28</v>
      </c>
      <c r="AL7" s="34"/>
      <c r="AM7" s="34" t="n">
        <v>2.25</v>
      </c>
      <c r="AN7" s="35"/>
      <c r="AO7" s="34"/>
      <c r="AP7" s="45"/>
      <c r="AQ7" s="35" t="s">
        <v>28</v>
      </c>
      <c r="AR7" s="34"/>
      <c r="AS7" s="34" t="n">
        <v>2</v>
      </c>
      <c r="AT7" s="35"/>
      <c r="AU7" s="36"/>
      <c r="AV7" s="45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164</v>
      </c>
      <c r="C8" s="29" t="n">
        <f aca="false">SUM(H8:AW8)</f>
        <v>14.75</v>
      </c>
      <c r="D8" s="82" t="n">
        <f aca="false">E8/2.5</f>
        <v>1</v>
      </c>
      <c r="E8" s="138" t="n">
        <f aca="false">SUM(H8+N8+T8+Z8+AF8+AL8+AR8)</f>
        <v>2.5</v>
      </c>
      <c r="F8" s="32" t="n">
        <f aca="false">C8-E8</f>
        <v>12.25</v>
      </c>
      <c r="G8" s="148" t="s">
        <v>28</v>
      </c>
      <c r="H8" s="34"/>
      <c r="I8" s="34" t="n">
        <v>2</v>
      </c>
      <c r="J8" s="35" t="s">
        <v>29</v>
      </c>
      <c r="K8" s="36"/>
      <c r="L8" s="37" t="n">
        <v>0.5</v>
      </c>
      <c r="M8" s="33" t="s">
        <v>34</v>
      </c>
      <c r="N8" s="34"/>
      <c r="O8" s="43" t="n">
        <v>1.25</v>
      </c>
      <c r="P8" s="35"/>
      <c r="Q8" s="36"/>
      <c r="R8" s="37"/>
      <c r="S8" s="35" t="s">
        <v>28</v>
      </c>
      <c r="T8" s="34"/>
      <c r="U8" s="34" t="n">
        <v>1.75</v>
      </c>
      <c r="V8" s="35"/>
      <c r="W8" s="36"/>
      <c r="X8" s="45"/>
      <c r="Y8" s="35" t="s">
        <v>28</v>
      </c>
      <c r="Z8" s="34" t="n">
        <v>2.5</v>
      </c>
      <c r="AA8" s="34" t="n">
        <v>2.5</v>
      </c>
      <c r="AB8" s="35"/>
      <c r="AC8" s="36"/>
      <c r="AD8" s="37"/>
      <c r="AE8" s="35" t="s">
        <v>31</v>
      </c>
      <c r="AF8" s="34"/>
      <c r="AG8" s="34" t="n">
        <v>1</v>
      </c>
      <c r="AH8" s="35"/>
      <c r="AI8" s="36"/>
      <c r="AJ8" s="37"/>
      <c r="AK8" s="35" t="s">
        <v>28</v>
      </c>
      <c r="AL8" s="34"/>
      <c r="AM8" s="34" t="n">
        <v>1.75</v>
      </c>
      <c r="AN8" s="35"/>
      <c r="AO8" s="36"/>
      <c r="AP8" s="37"/>
      <c r="AQ8" s="35" t="s">
        <v>28</v>
      </c>
      <c r="AR8" s="34"/>
      <c r="AS8" s="34" t="n">
        <v>1.5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161</v>
      </c>
      <c r="C9" s="29" t="n">
        <f aca="false">SUM(H9:AW9)</f>
        <v>28.75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18.75</v>
      </c>
      <c r="G9" s="148" t="s">
        <v>28</v>
      </c>
      <c r="H9" s="34"/>
      <c r="I9" s="34" t="n">
        <v>1.5</v>
      </c>
      <c r="J9" s="35"/>
      <c r="K9" s="36"/>
      <c r="L9" s="37"/>
      <c r="M9" s="33" t="s">
        <v>28</v>
      </c>
      <c r="N9" s="34" t="n">
        <v>2.5</v>
      </c>
      <c r="O9" s="34" t="n">
        <v>4</v>
      </c>
      <c r="P9" s="35"/>
      <c r="Q9" s="36"/>
      <c r="R9" s="37"/>
      <c r="S9" s="35" t="s">
        <v>28</v>
      </c>
      <c r="T9" s="34"/>
      <c r="U9" s="34" t="n">
        <v>1.75</v>
      </c>
      <c r="V9" s="35"/>
      <c r="W9" s="36"/>
      <c r="X9" s="37"/>
      <c r="Y9" s="35" t="s">
        <v>28</v>
      </c>
      <c r="Z9" s="34" t="n">
        <v>2.5</v>
      </c>
      <c r="AA9" s="34" t="n">
        <v>3.75</v>
      </c>
      <c r="AB9" s="35"/>
      <c r="AC9" s="36"/>
      <c r="AD9" s="37"/>
      <c r="AE9" s="35" t="s">
        <v>28</v>
      </c>
      <c r="AF9" s="34" t="n">
        <v>2.5</v>
      </c>
      <c r="AG9" s="34" t="n">
        <v>2.25</v>
      </c>
      <c r="AH9" s="35"/>
      <c r="AI9" s="36"/>
      <c r="AJ9" s="37"/>
      <c r="AK9" s="35" t="s">
        <v>28</v>
      </c>
      <c r="AL9" s="34"/>
      <c r="AM9" s="34" t="n">
        <v>1.5</v>
      </c>
      <c r="AN9" s="35"/>
      <c r="AO9" s="36"/>
      <c r="AP9" s="37"/>
      <c r="AQ9" s="35" t="s">
        <v>34</v>
      </c>
      <c r="AR9" s="34" t="n">
        <v>2.5</v>
      </c>
      <c r="AS9" s="34" t="n">
        <v>4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165</v>
      </c>
      <c r="C10" s="29" t="n">
        <f aca="false">SUM(H10:AW10)</f>
        <v>26.75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19.25</v>
      </c>
      <c r="G10" s="148" t="s">
        <v>28</v>
      </c>
      <c r="H10" s="34"/>
      <c r="I10" s="34" t="n">
        <v>3</v>
      </c>
      <c r="J10" s="35"/>
      <c r="K10" s="36"/>
      <c r="L10" s="37"/>
      <c r="M10" s="33" t="s">
        <v>31</v>
      </c>
      <c r="N10" s="34"/>
      <c r="O10" s="34" t="n">
        <v>1.75</v>
      </c>
      <c r="P10" s="35"/>
      <c r="Q10" s="36"/>
      <c r="R10" s="45"/>
      <c r="S10" s="35" t="s">
        <v>28</v>
      </c>
      <c r="T10" s="34"/>
      <c r="U10" s="34" t="n">
        <v>2</v>
      </c>
      <c r="V10" s="35"/>
      <c r="W10" s="36"/>
      <c r="X10" s="37"/>
      <c r="Y10" s="35" t="s">
        <v>28</v>
      </c>
      <c r="Z10" s="34" t="n">
        <v>2.5</v>
      </c>
      <c r="AA10" s="34" t="n">
        <v>2</v>
      </c>
      <c r="AB10" s="35" t="s">
        <v>29</v>
      </c>
      <c r="AC10" s="36"/>
      <c r="AD10" s="37" t="n">
        <v>0.5</v>
      </c>
      <c r="AE10" s="35" t="s">
        <v>30</v>
      </c>
      <c r="AF10" s="34" t="n">
        <v>2.5</v>
      </c>
      <c r="AG10" s="34" t="n">
        <v>2</v>
      </c>
      <c r="AH10" s="35"/>
      <c r="AI10" s="36"/>
      <c r="AJ10" s="37"/>
      <c r="AK10" s="35" t="s">
        <v>34</v>
      </c>
      <c r="AL10" s="34" t="n">
        <v>2.5</v>
      </c>
      <c r="AM10" s="34" t="n">
        <v>3.75</v>
      </c>
      <c r="AN10" s="35"/>
      <c r="AO10" s="36"/>
      <c r="AP10" s="37"/>
      <c r="AQ10" s="35" t="s">
        <v>28</v>
      </c>
      <c r="AR10" s="34"/>
      <c r="AS10" s="34" t="n">
        <v>2.75</v>
      </c>
      <c r="AT10" s="35" t="s">
        <v>29</v>
      </c>
      <c r="AU10" s="36" t="n">
        <v>0.5</v>
      </c>
      <c r="AV10" s="37" t="n">
        <v>1</v>
      </c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27</v>
      </c>
      <c r="C11" s="29" t="n">
        <f aca="false">SUM(H11:AW11)</f>
        <v>31.5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21.5</v>
      </c>
      <c r="G11" s="148" t="s">
        <v>31</v>
      </c>
      <c r="H11" s="34" t="n">
        <v>2.5</v>
      </c>
      <c r="I11" s="34" t="n">
        <v>3.5</v>
      </c>
      <c r="J11" s="35"/>
      <c r="K11" s="36"/>
      <c r="L11" s="37"/>
      <c r="M11" s="33" t="s">
        <v>28</v>
      </c>
      <c r="N11" s="34" t="n">
        <v>2.5</v>
      </c>
      <c r="O11" s="34" t="n">
        <v>2.25</v>
      </c>
      <c r="P11" s="35"/>
      <c r="Q11" s="36"/>
      <c r="R11" s="37"/>
      <c r="S11" s="35" t="s">
        <v>30</v>
      </c>
      <c r="T11" s="34"/>
      <c r="U11" s="34" t="n">
        <v>2.5</v>
      </c>
      <c r="V11" s="35"/>
      <c r="W11" s="36"/>
      <c r="X11" s="37"/>
      <c r="Y11" s="35" t="s">
        <v>34</v>
      </c>
      <c r="Z11" s="34"/>
      <c r="AA11" s="34" t="n">
        <v>2</v>
      </c>
      <c r="AB11" s="35"/>
      <c r="AC11" s="36"/>
      <c r="AD11" s="37"/>
      <c r="AE11" s="35" t="s">
        <v>28</v>
      </c>
      <c r="AF11" s="34" t="n">
        <v>2.5</v>
      </c>
      <c r="AG11" s="34" t="n">
        <v>2.75</v>
      </c>
      <c r="AH11" s="35" t="s">
        <v>29</v>
      </c>
      <c r="AI11" s="36"/>
      <c r="AJ11" s="37" t="n">
        <v>0.5</v>
      </c>
      <c r="AK11" s="35" t="s">
        <v>28</v>
      </c>
      <c r="AL11" s="34"/>
      <c r="AM11" s="34" t="n">
        <v>4.5</v>
      </c>
      <c r="AN11" s="35"/>
      <c r="AO11" s="36"/>
      <c r="AP11" s="37"/>
      <c r="AQ11" s="35" t="s">
        <v>31</v>
      </c>
      <c r="AR11" s="34" t="n">
        <v>2.5</v>
      </c>
      <c r="AS11" s="34" t="n">
        <v>3.5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69</v>
      </c>
      <c r="C12" s="29" t="n">
        <f aca="false">SUM(H12:AW12)</f>
        <v>34.5</v>
      </c>
      <c r="D12" s="82" t="n">
        <f aca="false">E12/2.5</f>
        <v>5</v>
      </c>
      <c r="E12" s="138" t="n">
        <f aca="false">SUM(H12+N12+T12+Z12+AF12+AL12+AR12)</f>
        <v>12.5</v>
      </c>
      <c r="F12" s="32" t="n">
        <f aca="false">C12-E12</f>
        <v>22</v>
      </c>
      <c r="G12" s="148" t="s">
        <v>31</v>
      </c>
      <c r="H12" s="34" t="n">
        <v>2.5</v>
      </c>
      <c r="I12" s="34" t="n">
        <v>3.75</v>
      </c>
      <c r="J12" s="35"/>
      <c r="K12" s="36"/>
      <c r="L12" s="37"/>
      <c r="M12" s="33" t="s">
        <v>28</v>
      </c>
      <c r="N12" s="34" t="n">
        <v>2.5</v>
      </c>
      <c r="O12" s="34" t="n">
        <v>3.5</v>
      </c>
      <c r="P12" s="35"/>
      <c r="Q12" s="36"/>
      <c r="R12" s="37"/>
      <c r="S12" s="35" t="s">
        <v>28</v>
      </c>
      <c r="T12" s="34"/>
      <c r="U12" s="43" t="n">
        <v>0.75</v>
      </c>
      <c r="V12" s="35" t="s">
        <v>29</v>
      </c>
      <c r="W12" s="36"/>
      <c r="X12" s="37" t="n">
        <v>0.5</v>
      </c>
      <c r="Y12" s="35" t="s">
        <v>30</v>
      </c>
      <c r="Z12" s="34" t="n">
        <v>2.5</v>
      </c>
      <c r="AA12" s="34" t="n">
        <v>3.5</v>
      </c>
      <c r="AB12" s="35"/>
      <c r="AC12" s="36"/>
      <c r="AD12" s="37"/>
      <c r="AE12" s="35" t="s">
        <v>28</v>
      </c>
      <c r="AF12" s="34" t="n">
        <v>2.5</v>
      </c>
      <c r="AG12" s="34" t="n">
        <v>3</v>
      </c>
      <c r="AH12" s="35"/>
      <c r="AI12" s="36"/>
      <c r="AJ12" s="37"/>
      <c r="AK12" s="35" t="s">
        <v>31</v>
      </c>
      <c r="AL12" s="34" t="n">
        <v>2.5</v>
      </c>
      <c r="AM12" s="34" t="n">
        <v>4.5</v>
      </c>
      <c r="AN12" s="35"/>
      <c r="AO12" s="36"/>
      <c r="AP12" s="37"/>
      <c r="AQ12" s="35" t="s">
        <v>30</v>
      </c>
      <c r="AR12" s="34"/>
      <c r="AS12" s="34" t="n">
        <v>2.5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146</v>
      </c>
      <c r="C13" s="29" t="n">
        <f aca="false">SUM(H13:AW13)</f>
        <v>25.75</v>
      </c>
      <c r="D13" s="82" t="n">
        <f aca="false">E13/2.5</f>
        <v>3</v>
      </c>
      <c r="E13" s="138" t="n">
        <f aca="false">SUM(H13+N13+T13+Z13+AF13+AL13+AR13)</f>
        <v>7.5</v>
      </c>
      <c r="F13" s="32" t="n">
        <f aca="false">C13-E13</f>
        <v>18.25</v>
      </c>
      <c r="G13" s="148" t="s">
        <v>28</v>
      </c>
      <c r="H13" s="34"/>
      <c r="I13" s="34" t="n">
        <v>2.5</v>
      </c>
      <c r="J13" s="35"/>
      <c r="K13" s="36"/>
      <c r="L13" s="37"/>
      <c r="M13" s="33" t="s">
        <v>28</v>
      </c>
      <c r="N13" s="34" t="n">
        <v>2.5</v>
      </c>
      <c r="O13" s="34" t="n">
        <v>3</v>
      </c>
      <c r="P13" s="35"/>
      <c r="Q13" s="36"/>
      <c r="R13" s="37"/>
      <c r="S13" s="35" t="s">
        <v>34</v>
      </c>
      <c r="T13" s="34" t="n">
        <v>2.5</v>
      </c>
      <c r="U13" s="34" t="n">
        <v>4</v>
      </c>
      <c r="V13" s="35"/>
      <c r="W13" s="36"/>
      <c r="X13" s="37"/>
      <c r="Y13" s="35" t="s">
        <v>31</v>
      </c>
      <c r="Z13" s="34"/>
      <c r="AA13" s="34" t="n">
        <v>2.5</v>
      </c>
      <c r="AB13" s="35"/>
      <c r="AC13" s="36"/>
      <c r="AD13" s="37"/>
      <c r="AE13" s="35" t="s">
        <v>28</v>
      </c>
      <c r="AF13" s="34" t="n">
        <v>2.5</v>
      </c>
      <c r="AG13" s="34" t="n">
        <v>1.75</v>
      </c>
      <c r="AH13" s="35"/>
      <c r="AI13" s="36"/>
      <c r="AJ13" s="37"/>
      <c r="AK13" s="35" t="s">
        <v>30</v>
      </c>
      <c r="AL13" s="34"/>
      <c r="AM13" s="34" t="n">
        <v>2.25</v>
      </c>
      <c r="AN13" s="35"/>
      <c r="AO13" s="36"/>
      <c r="AP13" s="37"/>
      <c r="AQ13" s="35" t="s">
        <v>28</v>
      </c>
      <c r="AR13" s="34"/>
      <c r="AS13" s="34" t="n">
        <v>2.25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75</v>
      </c>
      <c r="C14" s="29" t="n">
        <f aca="false">SUM(H14:AW14)</f>
        <v>29</v>
      </c>
      <c r="D14" s="82" t="n">
        <f aca="false">E14/2.5</f>
        <v>4</v>
      </c>
      <c r="E14" s="138" t="n">
        <f aca="false">SUM(H14+N14+T14+Z14+AF14+AL14+AR14)</f>
        <v>10</v>
      </c>
      <c r="F14" s="32" t="n">
        <f aca="false">C14-E14</f>
        <v>19</v>
      </c>
      <c r="G14" s="148" t="s">
        <v>34</v>
      </c>
      <c r="H14" s="34" t="n">
        <v>2.5</v>
      </c>
      <c r="I14" s="34" t="n">
        <v>3.5</v>
      </c>
      <c r="J14" s="35"/>
      <c r="K14" s="36"/>
      <c r="L14" s="45"/>
      <c r="M14" s="33" t="s">
        <v>30</v>
      </c>
      <c r="N14" s="34" t="n">
        <v>2.5</v>
      </c>
      <c r="O14" s="34" t="n">
        <v>3.75</v>
      </c>
      <c r="P14" s="35"/>
      <c r="Q14" s="36"/>
      <c r="R14" s="37"/>
      <c r="S14" s="35" t="s">
        <v>28</v>
      </c>
      <c r="T14" s="34"/>
      <c r="U14" s="34" t="n">
        <v>2</v>
      </c>
      <c r="V14" s="35"/>
      <c r="W14" s="36"/>
      <c r="X14" s="37"/>
      <c r="Y14" s="35" t="s">
        <v>28</v>
      </c>
      <c r="Z14" s="34" t="n">
        <v>2.5</v>
      </c>
      <c r="AA14" s="34" t="n">
        <v>1.75</v>
      </c>
      <c r="AB14" s="35"/>
      <c r="AC14" s="36"/>
      <c r="AD14" s="37"/>
      <c r="AE14" s="35" t="s">
        <v>31</v>
      </c>
      <c r="AF14" s="34"/>
      <c r="AG14" s="34" t="n">
        <v>2.75</v>
      </c>
      <c r="AH14" s="35"/>
      <c r="AI14" s="36"/>
      <c r="AJ14" s="37"/>
      <c r="AK14" s="35" t="s">
        <v>31</v>
      </c>
      <c r="AL14" s="34" t="n">
        <v>2.5</v>
      </c>
      <c r="AM14" s="34" t="n">
        <v>3.25</v>
      </c>
      <c r="AN14" s="35"/>
      <c r="AO14" s="36"/>
      <c r="AP14" s="37"/>
      <c r="AQ14" s="35" t="s">
        <v>28</v>
      </c>
      <c r="AR14" s="34"/>
      <c r="AS14" s="34" t="n">
        <v>2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166</v>
      </c>
      <c r="C15" s="29" t="n">
        <f aca="false">SUM(H15:AW15)</f>
        <v>23.75</v>
      </c>
      <c r="D15" s="85" t="n">
        <f aca="false">E15/2.5</f>
        <v>3</v>
      </c>
      <c r="E15" s="149" t="n">
        <f aca="false">SUM(H15+N15+T15+Z15+AF15+AL15+AR15)</f>
        <v>7.5</v>
      </c>
      <c r="F15" s="55" t="n">
        <f aca="false">C15-E15</f>
        <v>16.25</v>
      </c>
      <c r="G15" s="150" t="s">
        <v>30</v>
      </c>
      <c r="H15" s="50"/>
      <c r="I15" s="50" t="n">
        <v>2</v>
      </c>
      <c r="J15" s="51"/>
      <c r="K15" s="52"/>
      <c r="L15" s="53"/>
      <c r="M15" s="49" t="s">
        <v>31</v>
      </c>
      <c r="N15" s="50"/>
      <c r="O15" s="50" t="n">
        <v>2.25</v>
      </c>
      <c r="P15" s="51"/>
      <c r="Q15" s="52"/>
      <c r="R15" s="53"/>
      <c r="S15" s="51" t="s">
        <v>31</v>
      </c>
      <c r="T15" s="50" t="n">
        <v>2.5</v>
      </c>
      <c r="U15" s="50" t="n">
        <v>3.25</v>
      </c>
      <c r="V15" s="51"/>
      <c r="W15" s="52"/>
      <c r="X15" s="53"/>
      <c r="Y15" s="51" t="s">
        <v>28</v>
      </c>
      <c r="Z15" s="50" t="n">
        <v>2.5</v>
      </c>
      <c r="AA15" s="50" t="n">
        <v>3.25</v>
      </c>
      <c r="AB15" s="51"/>
      <c r="AC15" s="52"/>
      <c r="AD15" s="53"/>
      <c r="AE15" s="51" t="s">
        <v>28</v>
      </c>
      <c r="AF15" s="50" t="n">
        <v>2.5</v>
      </c>
      <c r="AG15" s="50" t="n">
        <v>3</v>
      </c>
      <c r="AH15" s="51"/>
      <c r="AI15" s="52"/>
      <c r="AJ15" s="53"/>
      <c r="AK15" s="51" t="s">
        <v>28</v>
      </c>
      <c r="AL15" s="50"/>
      <c r="AM15" s="50" t="n">
        <v>1.5</v>
      </c>
      <c r="AN15" s="51"/>
      <c r="AO15" s="52"/>
      <c r="AP15" s="53"/>
      <c r="AQ15" s="51" t="s">
        <v>28</v>
      </c>
      <c r="AR15" s="50"/>
      <c r="AS15" s="50" t="n">
        <v>2</v>
      </c>
      <c r="AT15" s="51"/>
      <c r="AU15" s="52"/>
      <c r="AV15" s="53"/>
      <c r="AW15" s="55" t="n">
        <v>-1</v>
      </c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54</v>
      </c>
      <c r="H18" s="65"/>
      <c r="I18" s="65"/>
      <c r="J18" s="65"/>
      <c r="K18" s="65"/>
      <c r="L18" s="65"/>
      <c r="M18" s="66" t="s">
        <v>50</v>
      </c>
      <c r="N18" s="66"/>
      <c r="O18" s="66"/>
      <c r="P18" s="66"/>
      <c r="Q18" s="66"/>
      <c r="R18" s="66"/>
      <c r="S18" s="66" t="s">
        <v>52</v>
      </c>
      <c r="T18" s="66"/>
      <c r="U18" s="66"/>
      <c r="V18" s="66"/>
      <c r="W18" s="66"/>
      <c r="X18" s="66"/>
      <c r="Y18" s="66" t="s">
        <v>50</v>
      </c>
      <c r="Z18" s="66"/>
      <c r="AA18" s="66"/>
      <c r="AB18" s="66"/>
      <c r="AC18" s="66"/>
      <c r="AD18" s="66"/>
      <c r="AE18" s="66" t="s">
        <v>53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51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2</v>
      </c>
      <c r="B26" s="4" t="s">
        <v>164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3</v>
      </c>
      <c r="B27" s="4" t="s">
        <v>69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B26:B40" type="list">
      <formula1>'3 Серия'!$B$6:$B$15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76</v>
      </c>
      <c r="C6" s="29" t="n">
        <f aca="false">SUM(H6:AW6)</f>
        <v>37</v>
      </c>
      <c r="D6" s="79" t="n">
        <f aca="false">E6/2.5</f>
        <v>6</v>
      </c>
      <c r="E6" s="147" t="n">
        <f aca="false">SUM(H6+N6+T6+Z6+AF6+AL6+AR6)</f>
        <v>15</v>
      </c>
      <c r="F6" s="39" t="n">
        <f aca="false">C6-E6</f>
        <v>22</v>
      </c>
      <c r="G6" s="148" t="s">
        <v>28</v>
      </c>
      <c r="H6" s="34" t="n">
        <v>2.5</v>
      </c>
      <c r="I6" s="34" t="n">
        <v>2</v>
      </c>
      <c r="J6" s="35" t="s">
        <v>29</v>
      </c>
      <c r="K6" s="36"/>
      <c r="L6" s="37" t="n">
        <v>0.5</v>
      </c>
      <c r="M6" s="33" t="s">
        <v>31</v>
      </c>
      <c r="N6" s="34" t="n">
        <v>2.5</v>
      </c>
      <c r="O6" s="34" t="n">
        <v>3</v>
      </c>
      <c r="P6" s="35"/>
      <c r="Q6" s="36"/>
      <c r="R6" s="37"/>
      <c r="S6" s="35" t="s">
        <v>28</v>
      </c>
      <c r="T6" s="34" t="n">
        <v>2.5</v>
      </c>
      <c r="U6" s="34" t="n">
        <v>4.25</v>
      </c>
      <c r="V6" s="35"/>
      <c r="W6" s="36"/>
      <c r="X6" s="37"/>
      <c r="Y6" s="35" t="s">
        <v>34</v>
      </c>
      <c r="Z6" s="34" t="n">
        <v>2.5</v>
      </c>
      <c r="AA6" s="34" t="n">
        <v>3</v>
      </c>
      <c r="AB6" s="35"/>
      <c r="AC6" s="34"/>
      <c r="AD6" s="45"/>
      <c r="AE6" s="35" t="s">
        <v>28</v>
      </c>
      <c r="AF6" s="34" t="n">
        <v>2.5</v>
      </c>
      <c r="AG6" s="34" t="n">
        <v>2</v>
      </c>
      <c r="AH6" s="35" t="s">
        <v>29</v>
      </c>
      <c r="AI6" s="36"/>
      <c r="AJ6" s="45" t="n">
        <v>1</v>
      </c>
      <c r="AK6" s="35" t="s">
        <v>30</v>
      </c>
      <c r="AL6" s="34"/>
      <c r="AM6" s="34" t="n">
        <v>2.5</v>
      </c>
      <c r="AN6" s="35"/>
      <c r="AO6" s="34"/>
      <c r="AP6" s="45"/>
      <c r="AQ6" s="35" t="s">
        <v>28</v>
      </c>
      <c r="AR6" s="34" t="n">
        <v>2.5</v>
      </c>
      <c r="AS6" s="151" t="n">
        <v>3.75</v>
      </c>
      <c r="AT6" s="35"/>
      <c r="AU6" s="36"/>
      <c r="AV6" s="45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79</v>
      </c>
      <c r="C7" s="29" t="n">
        <f aca="false">SUM(H7:AW7)</f>
        <v>34.25</v>
      </c>
      <c r="D7" s="82" t="n">
        <f aca="false">E7/2.5</f>
        <v>5</v>
      </c>
      <c r="E7" s="138" t="n">
        <f aca="false">SUM(H7+N7+T7+Z7+AF7+AL7+AR7)</f>
        <v>12.5</v>
      </c>
      <c r="F7" s="32" t="n">
        <f aca="false">C7-E7</f>
        <v>21.75</v>
      </c>
      <c r="G7" s="148" t="s">
        <v>28</v>
      </c>
      <c r="H7" s="34" t="n">
        <v>2.5</v>
      </c>
      <c r="I7" s="34" t="n">
        <v>3</v>
      </c>
      <c r="J7" s="35"/>
      <c r="K7" s="36"/>
      <c r="L7" s="37"/>
      <c r="M7" s="33" t="s">
        <v>30</v>
      </c>
      <c r="N7" s="34"/>
      <c r="O7" s="34" t="n">
        <v>2.5</v>
      </c>
      <c r="P7" s="35"/>
      <c r="Q7" s="36"/>
      <c r="R7" s="37"/>
      <c r="S7" s="35" t="s">
        <v>34</v>
      </c>
      <c r="T7" s="34"/>
      <c r="U7" s="34" t="n">
        <v>2</v>
      </c>
      <c r="V7" s="35"/>
      <c r="W7" s="36"/>
      <c r="X7" s="37"/>
      <c r="Y7" s="35" t="s">
        <v>31</v>
      </c>
      <c r="Z7" s="34" t="n">
        <v>2.5</v>
      </c>
      <c r="AA7" s="34" t="n">
        <v>2.5</v>
      </c>
      <c r="AB7" s="35"/>
      <c r="AC7" s="36"/>
      <c r="AD7" s="37"/>
      <c r="AE7" s="35" t="s">
        <v>28</v>
      </c>
      <c r="AF7" s="34" t="n">
        <v>2.5</v>
      </c>
      <c r="AG7" s="34" t="n">
        <v>4.5</v>
      </c>
      <c r="AH7" s="35"/>
      <c r="AI7" s="36"/>
      <c r="AJ7" s="37"/>
      <c r="AK7" s="35" t="s">
        <v>31</v>
      </c>
      <c r="AL7" s="34" t="n">
        <v>2.5</v>
      </c>
      <c r="AM7" s="34" t="n">
        <v>3.5</v>
      </c>
      <c r="AN7" s="35"/>
      <c r="AO7" s="36"/>
      <c r="AP7" s="37"/>
      <c r="AQ7" s="35" t="s">
        <v>28</v>
      </c>
      <c r="AR7" s="34" t="n">
        <v>2.5</v>
      </c>
      <c r="AS7" s="34" t="n">
        <v>3.75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168</v>
      </c>
      <c r="C8" s="29" t="n">
        <f aca="false">SUM(H8:AW8)</f>
        <v>33.75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23.75</v>
      </c>
      <c r="G8" s="148" t="s">
        <v>31</v>
      </c>
      <c r="H8" s="34"/>
      <c r="I8" s="34" t="n">
        <v>2.75</v>
      </c>
      <c r="J8" s="35" t="s">
        <v>33</v>
      </c>
      <c r="K8" s="36"/>
      <c r="L8" s="37"/>
      <c r="M8" s="33" t="s">
        <v>28</v>
      </c>
      <c r="N8" s="34"/>
      <c r="O8" s="34" t="n">
        <v>2</v>
      </c>
      <c r="P8" s="35"/>
      <c r="Q8" s="36"/>
      <c r="R8" s="45"/>
      <c r="S8" s="35" t="s">
        <v>28</v>
      </c>
      <c r="T8" s="34" t="n">
        <v>2.5</v>
      </c>
      <c r="U8" s="34" t="n">
        <v>2.75</v>
      </c>
      <c r="V8" s="35" t="s">
        <v>29</v>
      </c>
      <c r="W8" s="36"/>
      <c r="X8" s="37" t="n">
        <v>0.5</v>
      </c>
      <c r="Y8" s="35" t="s">
        <v>28</v>
      </c>
      <c r="Z8" s="34"/>
      <c r="AA8" s="34" t="n">
        <v>2.5</v>
      </c>
      <c r="AB8" s="35" t="s">
        <v>29</v>
      </c>
      <c r="AC8" s="36" t="n">
        <v>0.5</v>
      </c>
      <c r="AD8" s="37" t="n">
        <v>1</v>
      </c>
      <c r="AE8" s="35" t="s">
        <v>30</v>
      </c>
      <c r="AF8" s="34" t="n">
        <v>2.5</v>
      </c>
      <c r="AG8" s="34" t="n">
        <v>3.75</v>
      </c>
      <c r="AH8" s="35"/>
      <c r="AI8" s="36"/>
      <c r="AJ8" s="37"/>
      <c r="AK8" s="35" t="s">
        <v>31</v>
      </c>
      <c r="AL8" s="34" t="n">
        <v>2.5</v>
      </c>
      <c r="AM8" s="34" t="n">
        <v>3</v>
      </c>
      <c r="AN8" s="35" t="s">
        <v>36</v>
      </c>
      <c r="AO8" s="36"/>
      <c r="AP8" s="37"/>
      <c r="AQ8" s="35" t="s">
        <v>28</v>
      </c>
      <c r="AR8" s="34" t="n">
        <v>2.5</v>
      </c>
      <c r="AS8" s="34" t="n">
        <v>3</v>
      </c>
      <c r="AT8" s="35" t="s">
        <v>29</v>
      </c>
      <c r="AU8" s="36" t="n">
        <v>0.5</v>
      </c>
      <c r="AV8" s="37" t="n">
        <v>1.5</v>
      </c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169</v>
      </c>
      <c r="C9" s="29" t="n">
        <f aca="false">SUM(H9:AW9)</f>
        <v>32.75</v>
      </c>
      <c r="D9" s="82" t="n">
        <f aca="false">E9/2.5</f>
        <v>5</v>
      </c>
      <c r="E9" s="138" t="n">
        <f aca="false">SUM(H9+N9+T9+Z9+AF9+AL9+AR9)</f>
        <v>12.5</v>
      </c>
      <c r="F9" s="32" t="n">
        <f aca="false">C9-E9</f>
        <v>20.25</v>
      </c>
      <c r="G9" s="148" t="s">
        <v>30</v>
      </c>
      <c r="H9" s="34" t="n">
        <v>2.5</v>
      </c>
      <c r="I9" s="34" t="n">
        <v>2.25</v>
      </c>
      <c r="J9" s="35"/>
      <c r="K9" s="36"/>
      <c r="L9" s="37"/>
      <c r="M9" s="33" t="s">
        <v>31</v>
      </c>
      <c r="N9" s="34" t="n">
        <v>2.5</v>
      </c>
      <c r="O9" s="34" t="n">
        <v>3.75</v>
      </c>
      <c r="P9" s="35" t="s">
        <v>36</v>
      </c>
      <c r="Q9" s="36"/>
      <c r="R9" s="37"/>
      <c r="S9" s="35" t="s">
        <v>28</v>
      </c>
      <c r="T9" s="34" t="n">
        <v>2.5</v>
      </c>
      <c r="U9" s="34" t="n">
        <v>3.25</v>
      </c>
      <c r="V9" s="35"/>
      <c r="W9" s="36"/>
      <c r="X9" s="37"/>
      <c r="Y9" s="35" t="s">
        <v>28</v>
      </c>
      <c r="Z9" s="34"/>
      <c r="AA9" s="34" t="n">
        <v>2.75</v>
      </c>
      <c r="AB9" s="35" t="s">
        <v>33</v>
      </c>
      <c r="AC9" s="36"/>
      <c r="AD9" s="37"/>
      <c r="AE9" s="35" t="s">
        <v>28</v>
      </c>
      <c r="AF9" s="34" t="n">
        <v>2.5</v>
      </c>
      <c r="AG9" s="34" t="n">
        <v>2.5</v>
      </c>
      <c r="AH9" s="35"/>
      <c r="AI9" s="36"/>
      <c r="AJ9" s="37"/>
      <c r="AK9" s="35" t="s">
        <v>28</v>
      </c>
      <c r="AL9" s="34"/>
      <c r="AM9" s="34" t="n">
        <v>2.5</v>
      </c>
      <c r="AN9" s="35"/>
      <c r="AO9" s="36"/>
      <c r="AP9" s="37"/>
      <c r="AQ9" s="35" t="s">
        <v>28</v>
      </c>
      <c r="AR9" s="34" t="n">
        <v>2.5</v>
      </c>
      <c r="AS9" s="34" t="n">
        <v>3.25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39</v>
      </c>
      <c r="C10" s="29" t="n">
        <f aca="false">SUM(H10:AW10)</f>
        <v>29.5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19.5</v>
      </c>
      <c r="G10" s="148" t="s">
        <v>28</v>
      </c>
      <c r="H10" s="34" t="n">
        <v>2.5</v>
      </c>
      <c r="I10" s="34" t="n">
        <v>3.25</v>
      </c>
      <c r="J10" s="35" t="s">
        <v>36</v>
      </c>
      <c r="K10" s="36"/>
      <c r="L10" s="45"/>
      <c r="M10" s="33" t="s">
        <v>28</v>
      </c>
      <c r="N10" s="34"/>
      <c r="O10" s="34" t="n">
        <v>1.5</v>
      </c>
      <c r="P10" s="35" t="s">
        <v>33</v>
      </c>
      <c r="Q10" s="36"/>
      <c r="R10" s="37"/>
      <c r="S10" s="35" t="s">
        <v>31</v>
      </c>
      <c r="T10" s="34"/>
      <c r="U10" s="34" t="n">
        <v>1.5</v>
      </c>
      <c r="V10" s="35"/>
      <c r="W10" s="36"/>
      <c r="X10" s="37"/>
      <c r="Y10" s="35" t="s">
        <v>31</v>
      </c>
      <c r="Z10" s="34" t="n">
        <v>2.5</v>
      </c>
      <c r="AA10" s="34" t="n">
        <v>4</v>
      </c>
      <c r="AB10" s="35" t="s">
        <v>36</v>
      </c>
      <c r="AC10" s="36"/>
      <c r="AD10" s="37"/>
      <c r="AE10" s="35" t="s">
        <v>28</v>
      </c>
      <c r="AF10" s="34" t="n">
        <v>2.5</v>
      </c>
      <c r="AG10" s="34" t="n">
        <v>4</v>
      </c>
      <c r="AH10" s="35"/>
      <c r="AI10" s="36"/>
      <c r="AJ10" s="37"/>
      <c r="AK10" s="35" t="s">
        <v>28</v>
      </c>
      <c r="AL10" s="34"/>
      <c r="AM10" s="34" t="n">
        <v>2</v>
      </c>
      <c r="AN10" s="35"/>
      <c r="AO10" s="36"/>
      <c r="AP10" s="37"/>
      <c r="AQ10" s="35" t="s">
        <v>28</v>
      </c>
      <c r="AR10" s="34" t="n">
        <v>2.5</v>
      </c>
      <c r="AS10" s="34" t="n">
        <v>3.25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170</v>
      </c>
      <c r="C11" s="29" t="n">
        <f aca="false">SUM(H11:AW11)</f>
        <v>25.5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18</v>
      </c>
      <c r="G11" s="148" t="s">
        <v>34</v>
      </c>
      <c r="H11" s="34"/>
      <c r="I11" s="34" t="n">
        <v>2.5</v>
      </c>
      <c r="J11" s="35"/>
      <c r="K11" s="36"/>
      <c r="L11" s="37"/>
      <c r="M11" s="33" t="s">
        <v>28</v>
      </c>
      <c r="N11" s="34"/>
      <c r="O11" s="34" t="n">
        <v>2</v>
      </c>
      <c r="P11" s="35" t="s">
        <v>29</v>
      </c>
      <c r="Q11" s="36"/>
      <c r="R11" s="37" t="n">
        <v>0.5</v>
      </c>
      <c r="S11" s="35" t="s">
        <v>30</v>
      </c>
      <c r="T11" s="34" t="n">
        <v>2.5</v>
      </c>
      <c r="U11" s="34" t="n">
        <v>3</v>
      </c>
      <c r="V11" s="35"/>
      <c r="W11" s="36"/>
      <c r="X11" s="37"/>
      <c r="Y11" s="35" t="s">
        <v>28</v>
      </c>
      <c r="Z11" s="34"/>
      <c r="AA11" s="34" t="n">
        <v>2.25</v>
      </c>
      <c r="AB11" s="35"/>
      <c r="AC11" s="36"/>
      <c r="AD11" s="37"/>
      <c r="AE11" s="35" t="s">
        <v>28</v>
      </c>
      <c r="AF11" s="34" t="n">
        <v>2.5</v>
      </c>
      <c r="AG11" s="34" t="n">
        <v>3.5</v>
      </c>
      <c r="AH11" s="35"/>
      <c r="AI11" s="36"/>
      <c r="AJ11" s="37"/>
      <c r="AK11" s="35" t="s">
        <v>28</v>
      </c>
      <c r="AL11" s="34"/>
      <c r="AM11" s="34" t="n">
        <v>2</v>
      </c>
      <c r="AN11" s="35"/>
      <c r="AO11" s="36"/>
      <c r="AP11" s="37"/>
      <c r="AQ11" s="35" t="s">
        <v>28</v>
      </c>
      <c r="AR11" s="34" t="n">
        <v>2.5</v>
      </c>
      <c r="AS11" s="43" t="n">
        <v>2.25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171</v>
      </c>
      <c r="C12" s="29" t="n">
        <f aca="false">SUM(H12:AW12)</f>
        <v>25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17.5</v>
      </c>
      <c r="G12" s="148" t="s">
        <v>28</v>
      </c>
      <c r="H12" s="34" t="n">
        <v>2.5</v>
      </c>
      <c r="I12" s="34" t="n">
        <v>2.25</v>
      </c>
      <c r="J12" s="35"/>
      <c r="K12" s="36"/>
      <c r="L12" s="37"/>
      <c r="M12" s="33" t="s">
        <v>34</v>
      </c>
      <c r="N12" s="34" t="n">
        <v>2.5</v>
      </c>
      <c r="O12" s="34" t="n">
        <v>3</v>
      </c>
      <c r="P12" s="35"/>
      <c r="Q12" s="36"/>
      <c r="R12" s="37"/>
      <c r="S12" s="35" t="s">
        <v>28</v>
      </c>
      <c r="T12" s="34" t="n">
        <v>2.5</v>
      </c>
      <c r="U12" s="34" t="n">
        <v>4</v>
      </c>
      <c r="V12" s="35"/>
      <c r="W12" s="36"/>
      <c r="X12" s="37"/>
      <c r="Y12" s="35" t="s">
        <v>28</v>
      </c>
      <c r="Z12" s="34"/>
      <c r="AA12" s="34" t="n">
        <v>1.75</v>
      </c>
      <c r="AB12" s="35" t="s">
        <v>33</v>
      </c>
      <c r="AC12" s="36"/>
      <c r="AD12" s="37"/>
      <c r="AE12" s="35" t="s">
        <v>31</v>
      </c>
      <c r="AF12" s="34"/>
      <c r="AG12" s="34" t="n">
        <v>2.5</v>
      </c>
      <c r="AH12" s="35"/>
      <c r="AI12" s="36"/>
      <c r="AJ12" s="37"/>
      <c r="AK12" s="35" t="s">
        <v>28</v>
      </c>
      <c r="AL12" s="34"/>
      <c r="AM12" s="34" t="n">
        <v>1.75</v>
      </c>
      <c r="AN12" s="35" t="s">
        <v>33</v>
      </c>
      <c r="AO12" s="36"/>
      <c r="AP12" s="37"/>
      <c r="AQ12" s="35" t="s">
        <v>31</v>
      </c>
      <c r="AR12" s="34"/>
      <c r="AS12" s="34" t="n">
        <v>2.25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172</v>
      </c>
      <c r="C13" s="29" t="n">
        <f aca="false">SUM(H13:AW13)</f>
        <v>24.25</v>
      </c>
      <c r="D13" s="82" t="n">
        <f aca="false">E13/2.5</f>
        <v>3</v>
      </c>
      <c r="E13" s="138" t="n">
        <f aca="false">SUM(H13+N13+T13+Z13+AF13+AL13+AR13)</f>
        <v>7.5</v>
      </c>
      <c r="F13" s="32" t="n">
        <f aca="false">C13-E13</f>
        <v>16.75</v>
      </c>
      <c r="G13" s="148" t="s">
        <v>28</v>
      </c>
      <c r="H13" s="34" t="n">
        <v>2.5</v>
      </c>
      <c r="I13" s="43" t="n">
        <v>2.25</v>
      </c>
      <c r="J13" s="35" t="s">
        <v>36</v>
      </c>
      <c r="K13" s="36"/>
      <c r="L13" s="37"/>
      <c r="M13" s="33" t="s">
        <v>28</v>
      </c>
      <c r="N13" s="34"/>
      <c r="O13" s="34" t="n">
        <v>2</v>
      </c>
      <c r="P13" s="35" t="s">
        <v>33</v>
      </c>
      <c r="Q13" s="36"/>
      <c r="R13" s="37"/>
      <c r="S13" s="35" t="s">
        <v>31</v>
      </c>
      <c r="T13" s="34"/>
      <c r="U13" s="34" t="n">
        <v>2.25</v>
      </c>
      <c r="V13" s="35"/>
      <c r="W13" s="36"/>
      <c r="X13" s="37"/>
      <c r="Y13" s="35" t="s">
        <v>28</v>
      </c>
      <c r="Z13" s="34"/>
      <c r="AA13" s="34" t="n">
        <v>1.75</v>
      </c>
      <c r="AB13" s="35"/>
      <c r="AC13" s="36"/>
      <c r="AD13" s="37"/>
      <c r="AE13" s="35" t="s">
        <v>28</v>
      </c>
      <c r="AF13" s="34" t="n">
        <v>2.5</v>
      </c>
      <c r="AG13" s="34" t="n">
        <v>2.5</v>
      </c>
      <c r="AH13" s="35"/>
      <c r="AI13" s="36"/>
      <c r="AJ13" s="37"/>
      <c r="AK13" s="35" t="s">
        <v>34</v>
      </c>
      <c r="AL13" s="34" t="n">
        <v>2.5</v>
      </c>
      <c r="AM13" s="34" t="n">
        <v>3.5</v>
      </c>
      <c r="AN13" s="35"/>
      <c r="AO13" s="36"/>
      <c r="AP13" s="37"/>
      <c r="AQ13" s="35" t="s">
        <v>31</v>
      </c>
      <c r="AR13" s="34"/>
      <c r="AS13" s="34" t="n">
        <v>2.5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173</v>
      </c>
      <c r="C14" s="29" t="n">
        <f aca="false">SUM(H14:AW14)</f>
        <v>22.5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17.5</v>
      </c>
      <c r="G14" s="148" t="s">
        <v>31</v>
      </c>
      <c r="H14" s="34"/>
      <c r="I14" s="34" t="n">
        <v>1.75</v>
      </c>
      <c r="J14" s="35"/>
      <c r="K14" s="36"/>
      <c r="L14" s="37"/>
      <c r="M14" s="33" t="s">
        <v>28</v>
      </c>
      <c r="N14" s="34"/>
      <c r="O14" s="34" t="n">
        <v>2.75</v>
      </c>
      <c r="P14" s="35"/>
      <c r="Q14" s="36"/>
      <c r="R14" s="37"/>
      <c r="S14" s="35" t="s">
        <v>28</v>
      </c>
      <c r="T14" s="34" t="n">
        <v>2.5</v>
      </c>
      <c r="U14" s="34" t="n">
        <v>2.5</v>
      </c>
      <c r="V14" s="35"/>
      <c r="W14" s="36"/>
      <c r="X14" s="45"/>
      <c r="Y14" s="35" t="s">
        <v>30</v>
      </c>
      <c r="Z14" s="34"/>
      <c r="AA14" s="34" t="n">
        <v>2.5</v>
      </c>
      <c r="AB14" s="35"/>
      <c r="AC14" s="36"/>
      <c r="AD14" s="37"/>
      <c r="AE14" s="35" t="s">
        <v>34</v>
      </c>
      <c r="AF14" s="34"/>
      <c r="AG14" s="34" t="n">
        <v>2</v>
      </c>
      <c r="AH14" s="35"/>
      <c r="AI14" s="36"/>
      <c r="AJ14" s="37"/>
      <c r="AK14" s="35" t="s">
        <v>28</v>
      </c>
      <c r="AL14" s="34"/>
      <c r="AM14" s="34" t="n">
        <v>2.25</v>
      </c>
      <c r="AN14" s="35" t="s">
        <v>33</v>
      </c>
      <c r="AO14" s="36"/>
      <c r="AP14" s="37"/>
      <c r="AQ14" s="35" t="s">
        <v>30</v>
      </c>
      <c r="AR14" s="34" t="n">
        <v>2.5</v>
      </c>
      <c r="AS14" s="34" t="n">
        <v>3.75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174</v>
      </c>
      <c r="C15" s="29" t="n">
        <f aca="false">SUM(H15:AW15)</f>
        <v>20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15</v>
      </c>
      <c r="G15" s="150" t="s">
        <v>28</v>
      </c>
      <c r="H15" s="50" t="n">
        <v>2.5</v>
      </c>
      <c r="I15" s="50" t="n">
        <v>3.75</v>
      </c>
      <c r="J15" s="51" t="s">
        <v>36</v>
      </c>
      <c r="K15" s="52"/>
      <c r="L15" s="53"/>
      <c r="M15" s="49" t="s">
        <v>28</v>
      </c>
      <c r="N15" s="50"/>
      <c r="O15" s="50" t="n">
        <v>2</v>
      </c>
      <c r="P15" s="51"/>
      <c r="Q15" s="52"/>
      <c r="R15" s="53"/>
      <c r="S15" s="51" t="s">
        <v>28</v>
      </c>
      <c r="T15" s="50" t="n">
        <v>2.5</v>
      </c>
      <c r="U15" s="50" t="n">
        <v>2</v>
      </c>
      <c r="V15" s="51"/>
      <c r="W15" s="52"/>
      <c r="X15" s="53"/>
      <c r="Y15" s="51" t="s">
        <v>28</v>
      </c>
      <c r="Z15" s="50"/>
      <c r="AA15" s="50" t="n">
        <v>2</v>
      </c>
      <c r="AB15" s="51"/>
      <c r="AC15" s="52"/>
      <c r="AD15" s="53"/>
      <c r="AE15" s="51" t="s">
        <v>31</v>
      </c>
      <c r="AF15" s="50"/>
      <c r="AG15" s="50" t="n">
        <v>2</v>
      </c>
      <c r="AH15" s="51"/>
      <c r="AI15" s="52"/>
      <c r="AJ15" s="53"/>
      <c r="AK15" s="51" t="s">
        <v>28</v>
      </c>
      <c r="AL15" s="50"/>
      <c r="AM15" s="93" t="n">
        <v>1.75</v>
      </c>
      <c r="AN15" s="51" t="s">
        <v>29</v>
      </c>
      <c r="AO15" s="52"/>
      <c r="AP15" s="53" t="n">
        <v>0.5</v>
      </c>
      <c r="AQ15" s="51" t="s">
        <v>34</v>
      </c>
      <c r="AR15" s="50"/>
      <c r="AS15" s="93" t="n">
        <v>1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88</v>
      </c>
      <c r="H18" s="65"/>
      <c r="I18" s="65"/>
      <c r="J18" s="65"/>
      <c r="K18" s="65"/>
      <c r="L18" s="65"/>
      <c r="M18" s="66" t="s">
        <v>51</v>
      </c>
      <c r="N18" s="66"/>
      <c r="O18" s="66"/>
      <c r="P18" s="66"/>
      <c r="Q18" s="66"/>
      <c r="R18" s="66"/>
      <c r="S18" s="66" t="s">
        <v>55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55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1</v>
      </c>
      <c r="B26" s="4" t="s">
        <v>172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6</v>
      </c>
      <c r="B27" s="4" t="s">
        <v>174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 t="n">
        <v>7</v>
      </c>
      <c r="B28" s="4" t="s">
        <v>170</v>
      </c>
      <c r="C28" s="4" t="s">
        <v>65</v>
      </c>
      <c r="D28" s="4" t="n">
        <v>-0.5</v>
      </c>
    </row>
    <row r="29" customFormat="false" ht="15.75" hidden="false" customHeight="false" outlineLevel="0" collapsed="false">
      <c r="A29" s="4" t="n">
        <v>7</v>
      </c>
      <c r="B29" s="4" t="s">
        <v>174</v>
      </c>
      <c r="C29" s="4" t="s">
        <v>65</v>
      </c>
      <c r="D29" s="4" t="n">
        <v>-1</v>
      </c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'4 Серия'!$B$6:$B$15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175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38</v>
      </c>
      <c r="C6" s="29" t="n">
        <f aca="false">SUM(H6:AW6)</f>
        <v>33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23</v>
      </c>
      <c r="G6" s="148" t="s">
        <v>28</v>
      </c>
      <c r="H6" s="34" t="n">
        <v>2.5</v>
      </c>
      <c r="I6" s="34" t="n">
        <v>3.75</v>
      </c>
      <c r="J6" s="35" t="s">
        <v>36</v>
      </c>
      <c r="K6" s="36"/>
      <c r="L6" s="37"/>
      <c r="M6" s="33" t="s">
        <v>28</v>
      </c>
      <c r="N6" s="34" t="n">
        <v>2.5</v>
      </c>
      <c r="O6" s="34" t="n">
        <v>3.5</v>
      </c>
      <c r="P6" s="35"/>
      <c r="Q6" s="36"/>
      <c r="R6" s="37"/>
      <c r="S6" s="35" t="s">
        <v>34</v>
      </c>
      <c r="T6" s="34" t="n">
        <v>2.5</v>
      </c>
      <c r="U6" s="34" t="n">
        <v>3.75</v>
      </c>
      <c r="V6" s="35"/>
      <c r="W6" s="36"/>
      <c r="X6" s="37"/>
      <c r="Y6" s="35" t="s">
        <v>28</v>
      </c>
      <c r="Z6" s="34"/>
      <c r="AA6" s="34" t="n">
        <v>4</v>
      </c>
      <c r="AB6" s="35" t="s">
        <v>33</v>
      </c>
      <c r="AC6" s="36"/>
      <c r="AD6" s="37"/>
      <c r="AE6" s="35" t="s">
        <v>28</v>
      </c>
      <c r="AF6" s="34"/>
      <c r="AG6" s="34" t="n">
        <v>1.75</v>
      </c>
      <c r="AH6" s="35" t="s">
        <v>33</v>
      </c>
      <c r="AI6" s="36"/>
      <c r="AJ6" s="37"/>
      <c r="AK6" s="35" t="s">
        <v>34</v>
      </c>
      <c r="AL6" s="34" t="n">
        <v>2.5</v>
      </c>
      <c r="AM6" s="34" t="n">
        <v>3.5</v>
      </c>
      <c r="AN6" s="35"/>
      <c r="AO6" s="36"/>
      <c r="AP6" s="37"/>
      <c r="AQ6" s="35" t="s">
        <v>28</v>
      </c>
      <c r="AR6" s="34"/>
      <c r="AS6" s="34" t="n">
        <v>2.25</v>
      </c>
      <c r="AT6" s="35" t="s">
        <v>29</v>
      </c>
      <c r="AU6" s="36"/>
      <c r="AV6" s="37" t="n">
        <v>0.5</v>
      </c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174</v>
      </c>
      <c r="C7" s="29" t="n">
        <f aca="false">SUM(H7:AW7)</f>
        <v>32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22</v>
      </c>
      <c r="G7" s="148" t="s">
        <v>28</v>
      </c>
      <c r="H7" s="34" t="n">
        <v>2.5</v>
      </c>
      <c r="I7" s="34" t="n">
        <v>3.75</v>
      </c>
      <c r="J7" s="35" t="s">
        <v>36</v>
      </c>
      <c r="K7" s="36"/>
      <c r="L7" s="37"/>
      <c r="M7" s="33" t="s">
        <v>28</v>
      </c>
      <c r="N7" s="34" t="n">
        <v>2.5</v>
      </c>
      <c r="O7" s="34" t="n">
        <v>2.75</v>
      </c>
      <c r="P7" s="35" t="s">
        <v>29</v>
      </c>
      <c r="Q7" s="36"/>
      <c r="R7" s="37" t="n">
        <v>0.5</v>
      </c>
      <c r="S7" s="35" t="s">
        <v>28</v>
      </c>
      <c r="T7" s="34"/>
      <c r="U7" s="34" t="n">
        <v>2.5</v>
      </c>
      <c r="V7" s="35"/>
      <c r="W7" s="36"/>
      <c r="X7" s="37"/>
      <c r="Y7" s="35" t="s">
        <v>31</v>
      </c>
      <c r="Z7" s="34" t="n">
        <v>2.5</v>
      </c>
      <c r="AA7" s="34" t="n">
        <v>2.5</v>
      </c>
      <c r="AB7" s="35"/>
      <c r="AC7" s="34"/>
      <c r="AD7" s="45"/>
      <c r="AE7" s="35" t="s">
        <v>31</v>
      </c>
      <c r="AF7" s="34" t="n">
        <v>2.5</v>
      </c>
      <c r="AG7" s="34" t="n">
        <v>2.25</v>
      </c>
      <c r="AH7" s="35"/>
      <c r="AI7" s="36"/>
      <c r="AJ7" s="45"/>
      <c r="AK7" s="35" t="s">
        <v>30</v>
      </c>
      <c r="AL7" s="34"/>
      <c r="AM7" s="34" t="n">
        <v>3.25</v>
      </c>
      <c r="AN7" s="35" t="s">
        <v>29</v>
      </c>
      <c r="AO7" s="34" t="n">
        <v>0.5</v>
      </c>
      <c r="AP7" s="45" t="n">
        <v>1</v>
      </c>
      <c r="AQ7" s="35" t="s">
        <v>28</v>
      </c>
      <c r="AR7" s="34"/>
      <c r="AS7" s="34" t="n">
        <v>3</v>
      </c>
      <c r="AT7" s="35"/>
      <c r="AU7" s="36"/>
      <c r="AV7" s="45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176</v>
      </c>
      <c r="C8" s="29" t="n">
        <f aca="false">SUM(H8:AW8)</f>
        <v>29</v>
      </c>
      <c r="D8" s="82" t="n">
        <f aca="false">E8/2.5</f>
        <v>3</v>
      </c>
      <c r="E8" s="138" t="n">
        <f aca="false">SUM(H8+N8+T8+Z8+AF8+AL8+AR8)</f>
        <v>7.5</v>
      </c>
      <c r="F8" s="32" t="n">
        <f aca="false">C8-E8</f>
        <v>21.5</v>
      </c>
      <c r="G8" s="148" t="s">
        <v>28</v>
      </c>
      <c r="H8" s="34" t="n">
        <v>2.5</v>
      </c>
      <c r="I8" s="34" t="n">
        <v>3.5</v>
      </c>
      <c r="J8" s="35"/>
      <c r="K8" s="36"/>
      <c r="L8" s="37"/>
      <c r="M8" s="33" t="s">
        <v>28</v>
      </c>
      <c r="N8" s="34" t="n">
        <v>2.5</v>
      </c>
      <c r="O8" s="34" t="n">
        <v>3.5</v>
      </c>
      <c r="P8" s="35"/>
      <c r="Q8" s="36"/>
      <c r="R8" s="37"/>
      <c r="S8" s="35" t="s">
        <v>30</v>
      </c>
      <c r="T8" s="34"/>
      <c r="U8" s="34" t="n">
        <v>2.5</v>
      </c>
      <c r="V8" s="35"/>
      <c r="W8" s="36"/>
      <c r="X8" s="37"/>
      <c r="Y8" s="35" t="s">
        <v>28</v>
      </c>
      <c r="Z8" s="34"/>
      <c r="AA8" s="34" t="n">
        <v>3.25</v>
      </c>
      <c r="AB8" s="35"/>
      <c r="AC8" s="36"/>
      <c r="AD8" s="37"/>
      <c r="AE8" s="35" t="s">
        <v>28</v>
      </c>
      <c r="AF8" s="34"/>
      <c r="AG8" s="34" t="n">
        <v>2</v>
      </c>
      <c r="AH8" s="35" t="s">
        <v>29</v>
      </c>
      <c r="AI8" s="36"/>
      <c r="AJ8" s="37" t="n">
        <v>0.5</v>
      </c>
      <c r="AK8" s="35" t="s">
        <v>28</v>
      </c>
      <c r="AL8" s="34"/>
      <c r="AM8" s="34" t="n">
        <v>3.25</v>
      </c>
      <c r="AN8" s="35"/>
      <c r="AO8" s="36"/>
      <c r="AP8" s="37"/>
      <c r="AQ8" s="35" t="s">
        <v>31</v>
      </c>
      <c r="AR8" s="34" t="n">
        <v>2.5</v>
      </c>
      <c r="AS8" s="43" t="n">
        <v>3</v>
      </c>
      <c r="AT8" s="35" t="s">
        <v>36</v>
      </c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168</v>
      </c>
      <c r="C9" s="29" t="n">
        <f aca="false">SUM(H9:AW9)</f>
        <v>27.25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19.75</v>
      </c>
      <c r="G9" s="148" t="s">
        <v>28</v>
      </c>
      <c r="H9" s="34" t="n">
        <v>2.5</v>
      </c>
      <c r="I9" s="34" t="n">
        <v>3</v>
      </c>
      <c r="J9" s="35"/>
      <c r="K9" s="36"/>
      <c r="L9" s="37"/>
      <c r="M9" s="33" t="s">
        <v>28</v>
      </c>
      <c r="N9" s="34" t="n">
        <v>2.5</v>
      </c>
      <c r="O9" s="34" t="n">
        <v>3.5</v>
      </c>
      <c r="P9" s="35"/>
      <c r="Q9" s="36"/>
      <c r="R9" s="37"/>
      <c r="S9" s="35" t="s">
        <v>28</v>
      </c>
      <c r="T9" s="34"/>
      <c r="U9" s="34" t="n">
        <v>2.25</v>
      </c>
      <c r="V9" s="35"/>
      <c r="W9" s="36"/>
      <c r="X9" s="45"/>
      <c r="Y9" s="35" t="s">
        <v>28</v>
      </c>
      <c r="Z9" s="34"/>
      <c r="AA9" s="34" t="n">
        <v>1.5</v>
      </c>
      <c r="AB9" s="35"/>
      <c r="AC9" s="36"/>
      <c r="AD9" s="37"/>
      <c r="AE9" s="35" t="s">
        <v>28</v>
      </c>
      <c r="AF9" s="34"/>
      <c r="AG9" s="34" t="n">
        <v>2.5</v>
      </c>
      <c r="AH9" s="35"/>
      <c r="AI9" s="36"/>
      <c r="AJ9" s="37"/>
      <c r="AK9" s="35" t="s">
        <v>28</v>
      </c>
      <c r="AL9" s="34"/>
      <c r="AM9" s="34" t="n">
        <v>3.5</v>
      </c>
      <c r="AN9" s="35"/>
      <c r="AO9" s="36"/>
      <c r="AP9" s="37"/>
      <c r="AQ9" s="35" t="s">
        <v>34</v>
      </c>
      <c r="AR9" s="34" t="n">
        <v>2.5</v>
      </c>
      <c r="AS9" s="34" t="n">
        <v>3.5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177</v>
      </c>
      <c r="C10" s="29" t="n">
        <f aca="false">SUM(H10:AW10)</f>
        <v>26.75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19.25</v>
      </c>
      <c r="G10" s="148" t="s">
        <v>31</v>
      </c>
      <c r="H10" s="34"/>
      <c r="I10" s="34" t="n">
        <v>2.25</v>
      </c>
      <c r="J10" s="35"/>
      <c r="K10" s="36"/>
      <c r="L10" s="37"/>
      <c r="M10" s="33" t="s">
        <v>28</v>
      </c>
      <c r="N10" s="34" t="n">
        <v>2.5</v>
      </c>
      <c r="O10" s="34" t="n">
        <v>2.75</v>
      </c>
      <c r="P10" s="35"/>
      <c r="Q10" s="36"/>
      <c r="R10" s="37"/>
      <c r="S10" s="35" t="s">
        <v>31</v>
      </c>
      <c r="T10" s="34" t="n">
        <v>2.5</v>
      </c>
      <c r="U10" s="34" t="n">
        <v>4.25</v>
      </c>
      <c r="V10" s="35"/>
      <c r="W10" s="36"/>
      <c r="X10" s="37"/>
      <c r="Y10" s="35" t="s">
        <v>28</v>
      </c>
      <c r="Z10" s="34"/>
      <c r="AA10" s="34" t="n">
        <v>1.5</v>
      </c>
      <c r="AB10" s="35" t="s">
        <v>33</v>
      </c>
      <c r="AC10" s="36"/>
      <c r="AD10" s="37"/>
      <c r="AE10" s="35" t="s">
        <v>28</v>
      </c>
      <c r="AF10" s="34"/>
      <c r="AG10" s="34" t="n">
        <v>2.5</v>
      </c>
      <c r="AH10" s="35" t="s">
        <v>33</v>
      </c>
      <c r="AI10" s="36"/>
      <c r="AJ10" s="37"/>
      <c r="AK10" s="35" t="s">
        <v>31</v>
      </c>
      <c r="AL10" s="34" t="n">
        <v>2.5</v>
      </c>
      <c r="AM10" s="34" t="n">
        <v>3.25</v>
      </c>
      <c r="AN10" s="35"/>
      <c r="AO10" s="36"/>
      <c r="AP10" s="37"/>
      <c r="AQ10" s="35" t="s">
        <v>28</v>
      </c>
      <c r="AR10" s="34"/>
      <c r="AS10" s="34" t="n">
        <v>2.75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178</v>
      </c>
      <c r="C11" s="29" t="n">
        <f aca="false">SUM(H11:AW11)</f>
        <v>25.75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18.25</v>
      </c>
      <c r="G11" s="148" t="s">
        <v>28</v>
      </c>
      <c r="H11" s="34" t="n">
        <v>2.5</v>
      </c>
      <c r="I11" s="34" t="n">
        <v>2.5</v>
      </c>
      <c r="J11" s="35" t="s">
        <v>29</v>
      </c>
      <c r="K11" s="36"/>
      <c r="L11" s="37" t="n">
        <v>0.5</v>
      </c>
      <c r="M11" s="33" t="s">
        <v>34</v>
      </c>
      <c r="N11" s="34"/>
      <c r="O11" s="34" t="n">
        <v>1.5</v>
      </c>
      <c r="P11" s="35"/>
      <c r="Q11" s="36"/>
      <c r="R11" s="37"/>
      <c r="S11" s="35" t="s">
        <v>28</v>
      </c>
      <c r="T11" s="34"/>
      <c r="U11" s="34" t="n">
        <v>1.75</v>
      </c>
      <c r="V11" s="35"/>
      <c r="W11" s="36"/>
      <c r="X11" s="37"/>
      <c r="Y11" s="35" t="s">
        <v>28</v>
      </c>
      <c r="Z11" s="34"/>
      <c r="AA11" s="34" t="n">
        <v>3.5</v>
      </c>
      <c r="AB11" s="35"/>
      <c r="AC11" s="36"/>
      <c r="AD11" s="37"/>
      <c r="AE11" s="35" t="s">
        <v>31</v>
      </c>
      <c r="AF11" s="34" t="n">
        <v>2.5</v>
      </c>
      <c r="AG11" s="34" t="n">
        <v>2.5</v>
      </c>
      <c r="AH11" s="35"/>
      <c r="AI11" s="36"/>
      <c r="AJ11" s="37"/>
      <c r="AK11" s="35" t="s">
        <v>31</v>
      </c>
      <c r="AL11" s="34" t="n">
        <v>2.5</v>
      </c>
      <c r="AM11" s="34" t="n">
        <v>3</v>
      </c>
      <c r="AN11" s="35"/>
      <c r="AO11" s="36"/>
      <c r="AP11" s="37"/>
      <c r="AQ11" s="35" t="s">
        <v>30</v>
      </c>
      <c r="AR11" s="34"/>
      <c r="AS11" s="34" t="n">
        <v>3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179</v>
      </c>
      <c r="C12" s="29" t="n">
        <f aca="false">SUM(H12:AW12)</f>
        <v>25.5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18</v>
      </c>
      <c r="G12" s="148" t="s">
        <v>28</v>
      </c>
      <c r="H12" s="34" t="n">
        <v>2.5</v>
      </c>
      <c r="I12" s="34" t="n">
        <v>1.75</v>
      </c>
      <c r="J12" s="35"/>
      <c r="K12" s="36"/>
      <c r="L12" s="37"/>
      <c r="M12" s="33" t="s">
        <v>30</v>
      </c>
      <c r="N12" s="34" t="n">
        <v>2.5</v>
      </c>
      <c r="O12" s="34" t="n">
        <v>4.75</v>
      </c>
      <c r="P12" s="35"/>
      <c r="Q12" s="36"/>
      <c r="R12" s="45"/>
      <c r="S12" s="35" t="s">
        <v>28</v>
      </c>
      <c r="T12" s="34"/>
      <c r="U12" s="34" t="n">
        <v>2.5</v>
      </c>
      <c r="V12" s="35" t="s">
        <v>29</v>
      </c>
      <c r="W12" s="36"/>
      <c r="X12" s="37" t="n">
        <v>0.5</v>
      </c>
      <c r="Y12" s="35" t="s">
        <v>31</v>
      </c>
      <c r="Z12" s="34" t="n">
        <v>2.5</v>
      </c>
      <c r="AA12" s="34" t="n">
        <v>2.75</v>
      </c>
      <c r="AB12" s="35" t="s">
        <v>36</v>
      </c>
      <c r="AC12" s="36"/>
      <c r="AD12" s="37"/>
      <c r="AE12" s="35" t="s">
        <v>28</v>
      </c>
      <c r="AF12" s="34"/>
      <c r="AG12" s="34" t="n">
        <v>2</v>
      </c>
      <c r="AH12" s="35" t="s">
        <v>33</v>
      </c>
      <c r="AI12" s="36"/>
      <c r="AJ12" s="37"/>
      <c r="AK12" s="35" t="s">
        <v>28</v>
      </c>
      <c r="AL12" s="34"/>
      <c r="AM12" s="34" t="n">
        <v>2</v>
      </c>
      <c r="AN12" s="35"/>
      <c r="AO12" s="36"/>
      <c r="AP12" s="37"/>
      <c r="AQ12" s="35" t="s">
        <v>28</v>
      </c>
      <c r="AR12" s="34"/>
      <c r="AS12" s="34" t="n">
        <v>1.75</v>
      </c>
      <c r="AT12" s="35" t="s">
        <v>33</v>
      </c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169</v>
      </c>
      <c r="C13" s="29" t="n">
        <f aca="false">SUM(H13:AW13)</f>
        <v>23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18</v>
      </c>
      <c r="G13" s="148" t="s">
        <v>30</v>
      </c>
      <c r="H13" s="34" t="n">
        <v>2.5</v>
      </c>
      <c r="I13" s="34" t="n">
        <v>2</v>
      </c>
      <c r="J13" s="35"/>
      <c r="K13" s="36"/>
      <c r="L13" s="37"/>
      <c r="M13" s="33" t="s">
        <v>31</v>
      </c>
      <c r="N13" s="34"/>
      <c r="O13" s="34" t="n">
        <v>2.25</v>
      </c>
      <c r="P13" s="35"/>
      <c r="Q13" s="36"/>
      <c r="R13" s="37"/>
      <c r="S13" s="35" t="s">
        <v>28</v>
      </c>
      <c r="T13" s="34"/>
      <c r="U13" s="34" t="n">
        <v>1.5</v>
      </c>
      <c r="V13" s="35"/>
      <c r="W13" s="36"/>
      <c r="X13" s="37"/>
      <c r="Y13" s="35" t="s">
        <v>30</v>
      </c>
      <c r="Z13" s="34"/>
      <c r="AA13" s="34" t="n">
        <v>2</v>
      </c>
      <c r="AB13" s="35"/>
      <c r="AC13" s="36"/>
      <c r="AD13" s="37"/>
      <c r="AE13" s="35" t="s">
        <v>34</v>
      </c>
      <c r="AF13" s="34" t="n">
        <v>2.5</v>
      </c>
      <c r="AG13" s="34" t="n">
        <v>4</v>
      </c>
      <c r="AH13" s="35" t="s">
        <v>36</v>
      </c>
      <c r="AI13" s="36"/>
      <c r="AJ13" s="37"/>
      <c r="AK13" s="35" t="s">
        <v>28</v>
      </c>
      <c r="AL13" s="34"/>
      <c r="AM13" s="34" t="n">
        <v>3</v>
      </c>
      <c r="AN13" s="35"/>
      <c r="AO13" s="36"/>
      <c r="AP13" s="37"/>
      <c r="AQ13" s="35" t="s">
        <v>28</v>
      </c>
      <c r="AR13" s="34"/>
      <c r="AS13" s="34" t="n">
        <v>3.25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180</v>
      </c>
      <c r="C14" s="29" t="n">
        <f aca="false">SUM(H14:AW14)</f>
        <v>22.25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17.25</v>
      </c>
      <c r="G14" s="148" t="s">
        <v>34</v>
      </c>
      <c r="H14" s="34"/>
      <c r="I14" s="34" t="n">
        <v>1.75</v>
      </c>
      <c r="J14" s="35"/>
      <c r="K14" s="36"/>
      <c r="L14" s="37"/>
      <c r="M14" s="33" t="s">
        <v>28</v>
      </c>
      <c r="N14" s="34" t="n">
        <v>2.5</v>
      </c>
      <c r="O14" s="34" t="n">
        <v>2</v>
      </c>
      <c r="P14" s="35"/>
      <c r="Q14" s="36"/>
      <c r="R14" s="37"/>
      <c r="S14" s="35" t="s">
        <v>31</v>
      </c>
      <c r="T14" s="34" t="n">
        <v>2.5</v>
      </c>
      <c r="U14" s="34" t="n">
        <v>3.25</v>
      </c>
      <c r="V14" s="35"/>
      <c r="W14" s="36"/>
      <c r="X14" s="37"/>
      <c r="Y14" s="35" t="s">
        <v>28</v>
      </c>
      <c r="Z14" s="34"/>
      <c r="AA14" s="34" t="n">
        <v>2.5</v>
      </c>
      <c r="AB14" s="35" t="s">
        <v>29</v>
      </c>
      <c r="AC14" s="36"/>
      <c r="AD14" s="37" t="n">
        <v>0.5</v>
      </c>
      <c r="AE14" s="35" t="s">
        <v>28</v>
      </c>
      <c r="AF14" s="34"/>
      <c r="AG14" s="34" t="n">
        <v>2.75</v>
      </c>
      <c r="AH14" s="35"/>
      <c r="AI14" s="36"/>
      <c r="AJ14" s="37"/>
      <c r="AK14" s="35" t="s">
        <v>28</v>
      </c>
      <c r="AL14" s="34"/>
      <c r="AM14" s="34" t="n">
        <v>2</v>
      </c>
      <c r="AN14" s="35"/>
      <c r="AO14" s="36"/>
      <c r="AP14" s="37"/>
      <c r="AQ14" s="35" t="s">
        <v>28</v>
      </c>
      <c r="AR14" s="34"/>
      <c r="AS14" s="34" t="n">
        <v>2.5</v>
      </c>
      <c r="AT14" s="35" t="s">
        <v>33</v>
      </c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171</v>
      </c>
      <c r="C15" s="29" t="n">
        <f aca="false">SUM(H15:AW15)</f>
        <v>21.75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16.75</v>
      </c>
      <c r="G15" s="150" t="s">
        <v>31</v>
      </c>
      <c r="H15" s="50"/>
      <c r="I15" s="50" t="n">
        <v>2.25</v>
      </c>
      <c r="J15" s="51" t="s">
        <v>33</v>
      </c>
      <c r="K15" s="52"/>
      <c r="L15" s="94"/>
      <c r="M15" s="49" t="s">
        <v>31</v>
      </c>
      <c r="N15" s="50"/>
      <c r="O15" s="50" t="n">
        <v>2.5</v>
      </c>
      <c r="P15" s="51"/>
      <c r="Q15" s="52"/>
      <c r="R15" s="53"/>
      <c r="S15" s="51" t="s">
        <v>28</v>
      </c>
      <c r="T15" s="50"/>
      <c r="U15" s="50" t="n">
        <v>2.5</v>
      </c>
      <c r="V15" s="51"/>
      <c r="W15" s="52"/>
      <c r="X15" s="53"/>
      <c r="Y15" s="51" t="s">
        <v>34</v>
      </c>
      <c r="Z15" s="50" t="n">
        <v>2.5</v>
      </c>
      <c r="AA15" s="50" t="n">
        <v>2</v>
      </c>
      <c r="AB15" s="51"/>
      <c r="AC15" s="52"/>
      <c r="AD15" s="53"/>
      <c r="AE15" s="51" t="s">
        <v>30</v>
      </c>
      <c r="AF15" s="50"/>
      <c r="AG15" s="50" t="n">
        <v>3</v>
      </c>
      <c r="AH15" s="51"/>
      <c r="AI15" s="52"/>
      <c r="AJ15" s="53"/>
      <c r="AK15" s="51" t="s">
        <v>28</v>
      </c>
      <c r="AL15" s="50"/>
      <c r="AM15" s="50" t="n">
        <v>1.75</v>
      </c>
      <c r="AN15" s="51"/>
      <c r="AO15" s="52"/>
      <c r="AP15" s="53"/>
      <c r="AQ15" s="51" t="s">
        <v>31</v>
      </c>
      <c r="AR15" s="50" t="n">
        <v>2.5</v>
      </c>
      <c r="AS15" s="50" t="n">
        <v>2.75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55</v>
      </c>
      <c r="N18" s="66"/>
      <c r="O18" s="66"/>
      <c r="P18" s="66"/>
      <c r="Q18" s="66"/>
      <c r="R18" s="66"/>
      <c r="S18" s="66" t="s">
        <v>52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51</v>
      </c>
      <c r="AF18" s="66"/>
      <c r="AG18" s="66"/>
      <c r="AH18" s="66"/>
      <c r="AI18" s="66"/>
      <c r="AJ18" s="66"/>
      <c r="AK18" s="66" t="s">
        <v>52</v>
      </c>
      <c r="AL18" s="66"/>
      <c r="AM18" s="66"/>
      <c r="AN18" s="66"/>
      <c r="AO18" s="66"/>
      <c r="AP18" s="66"/>
      <c r="AQ18" s="66" t="s">
        <v>51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7</v>
      </c>
      <c r="B26" s="4" t="s">
        <v>176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/>
      <c r="B27" s="4"/>
      <c r="C27" s="4"/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'5 Серия'!$B$6:$B$15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152" t="s">
        <v>182</v>
      </c>
      <c r="C6" s="29" t="n">
        <f aca="false">SUM(H6:AW6)</f>
        <v>33.25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20.75</v>
      </c>
      <c r="G6" s="148" t="s">
        <v>28</v>
      </c>
      <c r="H6" s="34"/>
      <c r="I6" s="34" t="n">
        <v>2</v>
      </c>
      <c r="J6" s="35"/>
      <c r="K6" s="36"/>
      <c r="L6" s="37"/>
      <c r="M6" s="33" t="s">
        <v>31</v>
      </c>
      <c r="N6" s="34" t="n">
        <v>2.5</v>
      </c>
      <c r="O6" s="34" t="n">
        <v>3.25</v>
      </c>
      <c r="P6" s="35"/>
      <c r="Q6" s="36"/>
      <c r="R6" s="37"/>
      <c r="S6" s="35" t="s">
        <v>34</v>
      </c>
      <c r="T6" s="34" t="n">
        <v>2.5</v>
      </c>
      <c r="U6" s="34" t="n">
        <v>3.75</v>
      </c>
      <c r="V6" s="35"/>
      <c r="W6" s="36"/>
      <c r="X6" s="37"/>
      <c r="Y6" s="35" t="s">
        <v>31</v>
      </c>
      <c r="Z6" s="34" t="n">
        <v>2.5</v>
      </c>
      <c r="AA6" s="34" t="n">
        <v>3.5</v>
      </c>
      <c r="AB6" s="35"/>
      <c r="AC6" s="36"/>
      <c r="AD6" s="37"/>
      <c r="AE6" s="35" t="s">
        <v>28</v>
      </c>
      <c r="AF6" s="34" t="n">
        <v>2.5</v>
      </c>
      <c r="AG6" s="34" t="n">
        <v>2</v>
      </c>
      <c r="AH6" s="35" t="s">
        <v>29</v>
      </c>
      <c r="AI6" s="36"/>
      <c r="AJ6" s="37" t="n">
        <v>0.5</v>
      </c>
      <c r="AK6" s="35" t="s">
        <v>28</v>
      </c>
      <c r="AL6" s="34" t="n">
        <v>2.5</v>
      </c>
      <c r="AM6" s="34" t="n">
        <v>3.25</v>
      </c>
      <c r="AN6" s="35"/>
      <c r="AO6" s="36"/>
      <c r="AP6" s="37"/>
      <c r="AQ6" s="35" t="s">
        <v>28</v>
      </c>
      <c r="AR6" s="34"/>
      <c r="AS6" s="34" t="n">
        <v>2.5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183</v>
      </c>
      <c r="C7" s="29" t="n">
        <f aca="false">SUM(H7:AW7)</f>
        <v>30.75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20.75</v>
      </c>
      <c r="G7" s="148" t="s">
        <v>31</v>
      </c>
      <c r="H7" s="34" t="n">
        <v>2.5</v>
      </c>
      <c r="I7" s="34" t="n">
        <v>3.75</v>
      </c>
      <c r="J7" s="35"/>
      <c r="K7" s="36"/>
      <c r="L7" s="37"/>
      <c r="M7" s="33" t="s">
        <v>28</v>
      </c>
      <c r="N7" s="34"/>
      <c r="O7" s="34" t="n">
        <v>2.25</v>
      </c>
      <c r="P7" s="35"/>
      <c r="Q7" s="36"/>
      <c r="R7" s="37"/>
      <c r="S7" s="35" t="s">
        <v>28</v>
      </c>
      <c r="T7" s="34"/>
      <c r="U7" s="34" t="n">
        <v>2</v>
      </c>
      <c r="V7" s="35" t="s">
        <v>29</v>
      </c>
      <c r="W7" s="36"/>
      <c r="X7" s="37" t="n">
        <v>0.5</v>
      </c>
      <c r="Y7" s="35" t="s">
        <v>31</v>
      </c>
      <c r="Z7" s="34" t="n">
        <v>2.5</v>
      </c>
      <c r="AA7" s="34" t="n">
        <v>4</v>
      </c>
      <c r="AB7" s="35"/>
      <c r="AC7" s="36"/>
      <c r="AD7" s="37"/>
      <c r="AE7" s="35" t="s">
        <v>28</v>
      </c>
      <c r="AF7" s="34" t="n">
        <v>2.5</v>
      </c>
      <c r="AG7" s="34" t="n">
        <v>2.25</v>
      </c>
      <c r="AH7" s="35"/>
      <c r="AI7" s="36"/>
      <c r="AJ7" s="37"/>
      <c r="AK7" s="35" t="s">
        <v>28</v>
      </c>
      <c r="AL7" s="34" t="n">
        <v>2.5</v>
      </c>
      <c r="AM7" s="34" t="n">
        <v>3.75</v>
      </c>
      <c r="AN7" s="35"/>
      <c r="AO7" s="36"/>
      <c r="AP7" s="37"/>
      <c r="AQ7" s="35" t="s">
        <v>28</v>
      </c>
      <c r="AR7" s="34"/>
      <c r="AS7" s="34" t="n">
        <v>2.25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180</v>
      </c>
      <c r="C8" s="29" t="n">
        <f aca="false">SUM(H8:AW8)</f>
        <v>27.75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17.75</v>
      </c>
      <c r="G8" s="148" t="s">
        <v>28</v>
      </c>
      <c r="H8" s="34"/>
      <c r="I8" s="34" t="n">
        <v>2.5</v>
      </c>
      <c r="J8" s="35"/>
      <c r="K8" s="36"/>
      <c r="L8" s="37"/>
      <c r="M8" s="33" t="s">
        <v>34</v>
      </c>
      <c r="N8" s="34" t="n">
        <v>2.5</v>
      </c>
      <c r="O8" s="34" t="n">
        <v>4.25</v>
      </c>
      <c r="P8" s="35"/>
      <c r="Q8" s="36"/>
      <c r="R8" s="37"/>
      <c r="S8" s="35" t="s">
        <v>28</v>
      </c>
      <c r="T8" s="34"/>
      <c r="U8" s="34" t="n">
        <v>1.25</v>
      </c>
      <c r="V8" s="35"/>
      <c r="W8" s="36"/>
      <c r="X8" s="37"/>
      <c r="Y8" s="35" t="s">
        <v>28</v>
      </c>
      <c r="Z8" s="34"/>
      <c r="AA8" s="34" t="n">
        <v>2</v>
      </c>
      <c r="AB8" s="35"/>
      <c r="AC8" s="36"/>
      <c r="AD8" s="37"/>
      <c r="AE8" s="35" t="s">
        <v>28</v>
      </c>
      <c r="AF8" s="34" t="n">
        <v>2.5</v>
      </c>
      <c r="AG8" s="34" t="n">
        <v>2.5</v>
      </c>
      <c r="AH8" s="35"/>
      <c r="AI8" s="36"/>
      <c r="AJ8" s="37"/>
      <c r="AK8" s="35" t="s">
        <v>28</v>
      </c>
      <c r="AL8" s="34" t="n">
        <v>2.5</v>
      </c>
      <c r="AM8" s="34" t="n">
        <v>2</v>
      </c>
      <c r="AN8" s="35"/>
      <c r="AO8" s="36"/>
      <c r="AP8" s="37"/>
      <c r="AQ8" s="35" t="s">
        <v>31</v>
      </c>
      <c r="AR8" s="34" t="n">
        <v>2.5</v>
      </c>
      <c r="AS8" s="34" t="n">
        <v>3.25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184</v>
      </c>
      <c r="C9" s="29" t="n">
        <f aca="false">SUM(H9:AW9)</f>
        <v>25.75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18.25</v>
      </c>
      <c r="G9" s="148" t="s">
        <v>28</v>
      </c>
      <c r="H9" s="34"/>
      <c r="I9" s="34" t="n">
        <v>2.25</v>
      </c>
      <c r="J9" s="35"/>
      <c r="K9" s="36"/>
      <c r="L9" s="37"/>
      <c r="M9" s="33" t="s">
        <v>28</v>
      </c>
      <c r="N9" s="34"/>
      <c r="O9" s="43" t="n">
        <v>2</v>
      </c>
      <c r="P9" s="35"/>
      <c r="Q9" s="36"/>
      <c r="R9" s="37"/>
      <c r="S9" s="35" t="s">
        <v>31</v>
      </c>
      <c r="T9" s="34" t="n">
        <v>2.5</v>
      </c>
      <c r="U9" s="34" t="n">
        <v>3.25</v>
      </c>
      <c r="V9" s="35"/>
      <c r="W9" s="36"/>
      <c r="X9" s="37"/>
      <c r="Y9" s="35" t="s">
        <v>30</v>
      </c>
      <c r="Z9" s="34"/>
      <c r="AA9" s="34" t="n">
        <v>2.5</v>
      </c>
      <c r="AB9" s="35" t="s">
        <v>29</v>
      </c>
      <c r="AC9" s="36" t="n">
        <v>0.5</v>
      </c>
      <c r="AD9" s="37" t="n">
        <v>0.5</v>
      </c>
      <c r="AE9" s="35" t="s">
        <v>28</v>
      </c>
      <c r="AF9" s="34" t="n">
        <v>2.5</v>
      </c>
      <c r="AG9" s="34" t="n">
        <v>2.5</v>
      </c>
      <c r="AH9" s="35"/>
      <c r="AI9" s="36"/>
      <c r="AJ9" s="37"/>
      <c r="AK9" s="35" t="s">
        <v>34</v>
      </c>
      <c r="AL9" s="34"/>
      <c r="AM9" s="34" t="n">
        <v>1.75</v>
      </c>
      <c r="AN9" s="35"/>
      <c r="AO9" s="36"/>
      <c r="AP9" s="37"/>
      <c r="AQ9" s="35" t="s">
        <v>31</v>
      </c>
      <c r="AR9" s="34" t="n">
        <v>2.5</v>
      </c>
      <c r="AS9" s="34" t="n">
        <v>3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185</v>
      </c>
      <c r="C10" s="29" t="n">
        <f aca="false">SUM(H10:AW10)</f>
        <v>25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17.5</v>
      </c>
      <c r="G10" s="148" t="s">
        <v>34</v>
      </c>
      <c r="H10" s="34" t="n">
        <v>2.5</v>
      </c>
      <c r="I10" s="34" t="n">
        <v>3.5</v>
      </c>
      <c r="J10" s="35"/>
      <c r="K10" s="36"/>
      <c r="L10" s="45"/>
      <c r="M10" s="33" t="s">
        <v>28</v>
      </c>
      <c r="N10" s="34"/>
      <c r="O10" s="34" t="n">
        <v>2.25</v>
      </c>
      <c r="P10" s="35" t="s">
        <v>29</v>
      </c>
      <c r="Q10" s="36"/>
      <c r="R10" s="37" t="n">
        <v>0.5</v>
      </c>
      <c r="S10" s="35" t="s">
        <v>30</v>
      </c>
      <c r="T10" s="34"/>
      <c r="U10" s="34" t="n">
        <v>2.75</v>
      </c>
      <c r="V10" s="35"/>
      <c r="W10" s="36"/>
      <c r="X10" s="37"/>
      <c r="Y10" s="35" t="s">
        <v>28</v>
      </c>
      <c r="Z10" s="34"/>
      <c r="AA10" s="34" t="n">
        <v>1.25</v>
      </c>
      <c r="AB10" s="35"/>
      <c r="AC10" s="36"/>
      <c r="AD10" s="37"/>
      <c r="AE10" s="35" t="s">
        <v>28</v>
      </c>
      <c r="AF10" s="34" t="n">
        <v>2.5</v>
      </c>
      <c r="AG10" s="34" t="n">
        <v>2.75</v>
      </c>
      <c r="AH10" s="35"/>
      <c r="AI10" s="36"/>
      <c r="AJ10" s="37"/>
      <c r="AK10" s="35" t="s">
        <v>28</v>
      </c>
      <c r="AL10" s="34" t="n">
        <v>2.5</v>
      </c>
      <c r="AM10" s="34" t="n">
        <v>2.25</v>
      </c>
      <c r="AN10" s="35"/>
      <c r="AO10" s="36"/>
      <c r="AP10" s="37"/>
      <c r="AQ10" s="35" t="s">
        <v>28</v>
      </c>
      <c r="AR10" s="34"/>
      <c r="AS10" s="34" t="n">
        <v>2.25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171</v>
      </c>
      <c r="C11" s="29" t="n">
        <f aca="false">SUM(H11:AW11)</f>
        <v>24.75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17.25</v>
      </c>
      <c r="G11" s="148" t="s">
        <v>28</v>
      </c>
      <c r="H11" s="34"/>
      <c r="I11" s="34" t="n">
        <v>1.75</v>
      </c>
      <c r="J11" s="35"/>
      <c r="K11" s="36"/>
      <c r="L11" s="37"/>
      <c r="M11" s="33" t="s">
        <v>31</v>
      </c>
      <c r="N11" s="34" t="n">
        <v>2.5</v>
      </c>
      <c r="O11" s="34" t="n">
        <v>3</v>
      </c>
      <c r="P11" s="35"/>
      <c r="Q11" s="36"/>
      <c r="R11" s="37"/>
      <c r="S11" s="35" t="s">
        <v>31</v>
      </c>
      <c r="T11" s="34" t="n">
        <v>2.5</v>
      </c>
      <c r="U11" s="34" t="n">
        <v>3.5</v>
      </c>
      <c r="V11" s="35"/>
      <c r="W11" s="36"/>
      <c r="X11" s="37"/>
      <c r="Y11" s="35" t="s">
        <v>28</v>
      </c>
      <c r="Z11" s="34"/>
      <c r="AA11" s="34" t="n">
        <v>1.75</v>
      </c>
      <c r="AB11" s="35"/>
      <c r="AC11" s="36"/>
      <c r="AD11" s="37"/>
      <c r="AE11" s="35" t="s">
        <v>30</v>
      </c>
      <c r="AF11" s="34" t="n">
        <v>2.5</v>
      </c>
      <c r="AG11" s="34" t="n">
        <v>2.75</v>
      </c>
      <c r="AH11" s="35"/>
      <c r="AI11" s="36"/>
      <c r="AJ11" s="37"/>
      <c r="AK11" s="35" t="s">
        <v>31</v>
      </c>
      <c r="AL11" s="34"/>
      <c r="AM11" s="34" t="n">
        <v>2.5</v>
      </c>
      <c r="AN11" s="35"/>
      <c r="AO11" s="36"/>
      <c r="AP11" s="37"/>
      <c r="AQ11" s="35" t="s">
        <v>28</v>
      </c>
      <c r="AR11" s="34"/>
      <c r="AS11" s="34" t="n">
        <v>2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164</v>
      </c>
      <c r="C12" s="29" t="n">
        <f aca="false">SUM(H12:AW12)</f>
        <v>23.5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16</v>
      </c>
      <c r="G12" s="148" t="s">
        <v>28</v>
      </c>
      <c r="H12" s="34"/>
      <c r="I12" s="34" t="n">
        <v>2</v>
      </c>
      <c r="J12" s="35"/>
      <c r="K12" s="36"/>
      <c r="L12" s="37"/>
      <c r="M12" s="33" t="s">
        <v>28</v>
      </c>
      <c r="N12" s="34"/>
      <c r="O12" s="34" t="n">
        <v>2.5</v>
      </c>
      <c r="P12" s="35"/>
      <c r="Q12" s="36"/>
      <c r="R12" s="37"/>
      <c r="S12" s="35" t="s">
        <v>28</v>
      </c>
      <c r="T12" s="34"/>
      <c r="U12" s="34" t="n">
        <v>2.25</v>
      </c>
      <c r="V12" s="35"/>
      <c r="W12" s="36"/>
      <c r="X12" s="37"/>
      <c r="Y12" s="35" t="s">
        <v>34</v>
      </c>
      <c r="Z12" s="34" t="n">
        <v>2.5</v>
      </c>
      <c r="AA12" s="34" t="n">
        <v>3.75</v>
      </c>
      <c r="AB12" s="35"/>
      <c r="AC12" s="34"/>
      <c r="AD12" s="45"/>
      <c r="AE12" s="35" t="s">
        <v>31</v>
      </c>
      <c r="AF12" s="34"/>
      <c r="AG12" s="43" t="n">
        <v>0.5</v>
      </c>
      <c r="AH12" s="35"/>
      <c r="AI12" s="36"/>
      <c r="AJ12" s="45"/>
      <c r="AK12" s="35" t="s">
        <v>28</v>
      </c>
      <c r="AL12" s="34" t="n">
        <v>2.5</v>
      </c>
      <c r="AM12" s="34" t="n">
        <v>2.5</v>
      </c>
      <c r="AN12" s="35" t="s">
        <v>29</v>
      </c>
      <c r="AO12" s="34"/>
      <c r="AP12" s="45" t="n">
        <v>0.5</v>
      </c>
      <c r="AQ12" s="35" t="s">
        <v>34</v>
      </c>
      <c r="AR12" s="34" t="n">
        <v>2.5</v>
      </c>
      <c r="AS12" s="34" t="n">
        <v>2</v>
      </c>
      <c r="AT12" s="35"/>
      <c r="AU12" s="36"/>
      <c r="AV12" s="45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168</v>
      </c>
      <c r="C13" s="29" t="n">
        <f aca="false">SUM(H13:AW13)</f>
        <v>22.5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17.5</v>
      </c>
      <c r="G13" s="148" t="s">
        <v>31</v>
      </c>
      <c r="H13" s="34" t="n">
        <v>2.5</v>
      </c>
      <c r="I13" s="34" t="n">
        <v>3.25</v>
      </c>
      <c r="J13" s="35"/>
      <c r="K13" s="36"/>
      <c r="L13" s="37"/>
      <c r="M13" s="33" t="s">
        <v>28</v>
      </c>
      <c r="N13" s="34"/>
      <c r="O13" s="34" t="n">
        <v>2.5</v>
      </c>
      <c r="P13" s="35"/>
      <c r="Q13" s="36"/>
      <c r="R13" s="37"/>
      <c r="S13" s="35" t="s">
        <v>28</v>
      </c>
      <c r="T13" s="34"/>
      <c r="U13" s="34" t="n">
        <v>1.75</v>
      </c>
      <c r="V13" s="35"/>
      <c r="W13" s="36"/>
      <c r="X13" s="37"/>
      <c r="Y13" s="35" t="s">
        <v>28</v>
      </c>
      <c r="Z13" s="34"/>
      <c r="AA13" s="34" t="n">
        <v>2.25</v>
      </c>
      <c r="AB13" s="35"/>
      <c r="AC13" s="36"/>
      <c r="AD13" s="37"/>
      <c r="AE13" s="35" t="s">
        <v>31</v>
      </c>
      <c r="AF13" s="34"/>
      <c r="AG13" s="34" t="n">
        <v>2.5</v>
      </c>
      <c r="AH13" s="35"/>
      <c r="AI13" s="36"/>
      <c r="AJ13" s="37"/>
      <c r="AK13" s="35" t="s">
        <v>30</v>
      </c>
      <c r="AL13" s="34" t="n">
        <v>2.5</v>
      </c>
      <c r="AM13" s="34" t="n">
        <v>3.25</v>
      </c>
      <c r="AN13" s="35"/>
      <c r="AO13" s="36"/>
      <c r="AP13" s="37"/>
      <c r="AQ13" s="35" t="s">
        <v>30</v>
      </c>
      <c r="AR13" s="34"/>
      <c r="AS13" s="34" t="n">
        <v>2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186</v>
      </c>
      <c r="C14" s="29" t="n">
        <f aca="false">SUM(H14:AW14)</f>
        <v>21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16</v>
      </c>
      <c r="G14" s="148" t="s">
        <v>28</v>
      </c>
      <c r="H14" s="34"/>
      <c r="I14" s="34" t="n">
        <v>2</v>
      </c>
      <c r="J14" s="35"/>
      <c r="K14" s="36"/>
      <c r="L14" s="37"/>
      <c r="M14" s="33" t="s">
        <v>28</v>
      </c>
      <c r="N14" s="34"/>
      <c r="O14" s="34" t="n">
        <v>1.25</v>
      </c>
      <c r="P14" s="35"/>
      <c r="Q14" s="36"/>
      <c r="R14" s="45"/>
      <c r="S14" s="35" t="s">
        <v>28</v>
      </c>
      <c r="T14" s="34"/>
      <c r="U14" s="34" t="n">
        <v>1.5</v>
      </c>
      <c r="V14" s="35"/>
      <c r="W14" s="36"/>
      <c r="X14" s="37"/>
      <c r="Y14" s="35" t="s">
        <v>28</v>
      </c>
      <c r="Z14" s="34"/>
      <c r="AA14" s="34" t="n">
        <v>2.5</v>
      </c>
      <c r="AB14" s="35"/>
      <c r="AC14" s="36"/>
      <c r="AD14" s="37"/>
      <c r="AE14" s="35" t="s">
        <v>28</v>
      </c>
      <c r="AF14" s="34" t="n">
        <v>2.5</v>
      </c>
      <c r="AG14" s="34" t="n">
        <v>2.75</v>
      </c>
      <c r="AH14" s="35"/>
      <c r="AI14" s="36"/>
      <c r="AJ14" s="37"/>
      <c r="AK14" s="35" t="s">
        <v>28</v>
      </c>
      <c r="AL14" s="34" t="n">
        <v>2.5</v>
      </c>
      <c r="AM14" s="34" t="n">
        <v>3</v>
      </c>
      <c r="AN14" s="35"/>
      <c r="AO14" s="36"/>
      <c r="AP14" s="37"/>
      <c r="AQ14" s="35" t="s">
        <v>28</v>
      </c>
      <c r="AR14" s="34"/>
      <c r="AS14" s="34" t="n">
        <v>2.5</v>
      </c>
      <c r="AT14" s="35" t="s">
        <v>29</v>
      </c>
      <c r="AU14" s="36"/>
      <c r="AV14" s="37" t="n">
        <v>0.5</v>
      </c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174</v>
      </c>
      <c r="C15" s="29" t="n">
        <f aca="false">SUM(H15:AW15)</f>
        <v>17</v>
      </c>
      <c r="D15" s="85" t="n">
        <f aca="false">E15/2.5</f>
        <v>0</v>
      </c>
      <c r="E15" s="149" t="n">
        <f aca="false">SUM(H15+N15+T15+Z15+AF15+AL15+AR15)</f>
        <v>0</v>
      </c>
      <c r="F15" s="55" t="n">
        <f aca="false">C15-E15</f>
        <v>17</v>
      </c>
      <c r="G15" s="150" t="s">
        <v>30</v>
      </c>
      <c r="H15" s="50"/>
      <c r="I15" s="50" t="n">
        <v>2.25</v>
      </c>
      <c r="J15" s="51" t="s">
        <v>29</v>
      </c>
      <c r="K15" s="52"/>
      <c r="L15" s="53" t="n">
        <v>0.5</v>
      </c>
      <c r="M15" s="49" t="s">
        <v>30</v>
      </c>
      <c r="N15" s="50"/>
      <c r="O15" s="50" t="n">
        <v>3</v>
      </c>
      <c r="P15" s="51"/>
      <c r="Q15" s="52"/>
      <c r="R15" s="53"/>
      <c r="S15" s="51" t="s">
        <v>28</v>
      </c>
      <c r="T15" s="50"/>
      <c r="U15" s="50" t="n">
        <v>2</v>
      </c>
      <c r="V15" s="51"/>
      <c r="W15" s="52"/>
      <c r="X15" s="94"/>
      <c r="Y15" s="51" t="s">
        <v>28</v>
      </c>
      <c r="Z15" s="50"/>
      <c r="AA15" s="50" t="n">
        <v>1.75</v>
      </c>
      <c r="AB15" s="51"/>
      <c r="AC15" s="52"/>
      <c r="AD15" s="53"/>
      <c r="AE15" s="51" t="s">
        <v>34</v>
      </c>
      <c r="AF15" s="50"/>
      <c r="AG15" s="50" t="n">
        <v>2</v>
      </c>
      <c r="AH15" s="51"/>
      <c r="AI15" s="52"/>
      <c r="AJ15" s="53"/>
      <c r="AK15" s="51" t="s">
        <v>31</v>
      </c>
      <c r="AL15" s="50"/>
      <c r="AM15" s="50" t="n">
        <v>2.75</v>
      </c>
      <c r="AN15" s="51"/>
      <c r="AO15" s="52"/>
      <c r="AP15" s="53"/>
      <c r="AQ15" s="51" t="s">
        <v>28</v>
      </c>
      <c r="AR15" s="50"/>
      <c r="AS15" s="50" t="n">
        <v>2.75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57" t="n">
        <v>1.75</v>
      </c>
      <c r="H16" s="57"/>
      <c r="I16" s="57"/>
      <c r="J16" s="57"/>
      <c r="K16" s="57"/>
      <c r="L16" s="57"/>
      <c r="M16" s="59"/>
      <c r="N16" s="59"/>
      <c r="O16" s="59"/>
      <c r="P16" s="59"/>
      <c r="Q16" s="59"/>
      <c r="R16" s="59"/>
      <c r="S16" s="58"/>
      <c r="T16" s="58"/>
      <c r="U16" s="58"/>
      <c r="V16" s="58"/>
      <c r="W16" s="58"/>
      <c r="X16" s="58"/>
      <c r="Y16" s="59" t="n">
        <v>1.875</v>
      </c>
      <c r="Z16" s="59"/>
      <c r="AA16" s="59"/>
      <c r="AB16" s="59"/>
      <c r="AC16" s="59"/>
      <c r="AD16" s="59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9"/>
      <c r="N17" s="59"/>
      <c r="O17" s="59"/>
      <c r="P17" s="59"/>
      <c r="Q17" s="59"/>
      <c r="R17" s="59"/>
      <c r="S17" s="58"/>
      <c r="T17" s="58"/>
      <c r="U17" s="58"/>
      <c r="V17" s="58"/>
      <c r="W17" s="58"/>
      <c r="X17" s="58"/>
      <c r="Y17" s="59"/>
      <c r="Z17" s="59"/>
      <c r="AA17" s="59"/>
      <c r="AB17" s="59"/>
      <c r="AC17" s="59"/>
      <c r="AD17" s="59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54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54</v>
      </c>
      <c r="T18" s="66"/>
      <c r="U18" s="66"/>
      <c r="V18" s="66"/>
      <c r="W18" s="66"/>
      <c r="X18" s="66"/>
      <c r="Y18" s="66" t="s">
        <v>54</v>
      </c>
      <c r="Z18" s="66"/>
      <c r="AA18" s="66"/>
      <c r="AB18" s="66"/>
      <c r="AC18" s="66"/>
      <c r="AD18" s="66"/>
      <c r="AE18" s="66" t="s">
        <v>53</v>
      </c>
      <c r="AF18" s="66"/>
      <c r="AG18" s="66"/>
      <c r="AH18" s="66"/>
      <c r="AI18" s="66"/>
      <c r="AJ18" s="66"/>
      <c r="AQ18" s="66" t="s">
        <v>52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66" t="s">
        <v>53</v>
      </c>
      <c r="AL19" s="66"/>
      <c r="AM19" s="66"/>
      <c r="AN19" s="66"/>
      <c r="AO19" s="66"/>
      <c r="AP19" s="66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5</v>
      </c>
      <c r="B26" s="4" t="s">
        <v>164</v>
      </c>
      <c r="C26" s="4" t="s">
        <v>64</v>
      </c>
      <c r="D26" s="4" t="n">
        <v>-1</v>
      </c>
    </row>
    <row r="27" customFormat="false" ht="15.75" hidden="false" customHeight="false" outlineLevel="0" collapsed="false">
      <c r="A27" s="76" t="n">
        <v>2</v>
      </c>
      <c r="B27" s="4" t="s">
        <v>184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Q18:AV18"/>
    <mergeCell ref="AK19:AP19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'6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Q18 AK19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32</v>
      </c>
      <c r="C6" s="29" t="n">
        <f aca="false">SUM(H6:AW6)</f>
        <v>35.5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23</v>
      </c>
      <c r="G6" s="148" t="s">
        <v>28</v>
      </c>
      <c r="H6" s="34" t="n">
        <v>2.5</v>
      </c>
      <c r="I6" s="34" t="n">
        <v>2.5</v>
      </c>
      <c r="J6" s="35" t="s">
        <v>29</v>
      </c>
      <c r="K6" s="36"/>
      <c r="L6" s="37" t="n">
        <v>0.5</v>
      </c>
      <c r="M6" s="33" t="s">
        <v>31</v>
      </c>
      <c r="N6" s="34" t="n">
        <v>2.5</v>
      </c>
      <c r="O6" s="34" t="n">
        <v>4.5</v>
      </c>
      <c r="P6" s="35"/>
      <c r="Q6" s="36"/>
      <c r="R6" s="37"/>
      <c r="S6" s="35" t="s">
        <v>28</v>
      </c>
      <c r="T6" s="34" t="n">
        <v>2.5</v>
      </c>
      <c r="U6" s="34" t="n">
        <v>3.75</v>
      </c>
      <c r="V6" s="35"/>
      <c r="W6" s="36"/>
      <c r="X6" s="37"/>
      <c r="Y6" s="35" t="s">
        <v>34</v>
      </c>
      <c r="Z6" s="34" t="n">
        <v>2.5</v>
      </c>
      <c r="AA6" s="34" t="n">
        <v>4.5</v>
      </c>
      <c r="AB6" s="35"/>
      <c r="AC6" s="34"/>
      <c r="AD6" s="45"/>
      <c r="AE6" s="35" t="s">
        <v>28</v>
      </c>
      <c r="AF6" s="34" t="n">
        <v>2.5</v>
      </c>
      <c r="AG6" s="34" t="n">
        <v>2</v>
      </c>
      <c r="AH6" s="35" t="s">
        <v>36</v>
      </c>
      <c r="AI6" s="36"/>
      <c r="AJ6" s="45"/>
      <c r="AK6" s="35" t="s">
        <v>28</v>
      </c>
      <c r="AL6" s="34"/>
      <c r="AM6" s="34" t="n">
        <v>2.75</v>
      </c>
      <c r="AN6" s="35"/>
      <c r="AO6" s="34"/>
      <c r="AP6" s="45"/>
      <c r="AQ6" s="35" t="s">
        <v>34</v>
      </c>
      <c r="AR6" s="34"/>
      <c r="AS6" s="34" t="n">
        <v>2.5</v>
      </c>
      <c r="AT6" s="35" t="s">
        <v>33</v>
      </c>
      <c r="AU6" s="36"/>
      <c r="AV6" s="45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71</v>
      </c>
      <c r="C7" s="29" t="n">
        <f aca="false">SUM(H7:AW7)</f>
        <v>33.5</v>
      </c>
      <c r="D7" s="82" t="n">
        <f aca="false">E7/2.5</f>
        <v>5</v>
      </c>
      <c r="E7" s="138" t="n">
        <f aca="false">SUM(H7+N7+T7+Z7+AF7+AL7+AR7)</f>
        <v>12.5</v>
      </c>
      <c r="F7" s="32" t="n">
        <f aca="false">C7-E7</f>
        <v>21</v>
      </c>
      <c r="G7" s="148" t="s">
        <v>30</v>
      </c>
      <c r="H7" s="34" t="n">
        <v>2.5</v>
      </c>
      <c r="I7" s="34" t="n">
        <v>3.5</v>
      </c>
      <c r="J7" s="35"/>
      <c r="K7" s="36"/>
      <c r="L7" s="37"/>
      <c r="M7" s="33" t="s">
        <v>28</v>
      </c>
      <c r="N7" s="34"/>
      <c r="O7" s="34" t="n">
        <v>3.25</v>
      </c>
      <c r="P7" s="35"/>
      <c r="Q7" s="36"/>
      <c r="R7" s="37"/>
      <c r="S7" s="35" t="s">
        <v>28</v>
      </c>
      <c r="T7" s="34" t="n">
        <v>2.5</v>
      </c>
      <c r="U7" s="34" t="n">
        <v>3</v>
      </c>
      <c r="V7" s="35"/>
      <c r="W7" s="36"/>
      <c r="X7" s="37"/>
      <c r="Y7" s="35" t="s">
        <v>28</v>
      </c>
      <c r="Z7" s="34"/>
      <c r="AA7" s="34" t="n">
        <v>1.5</v>
      </c>
      <c r="AB7" s="35"/>
      <c r="AC7" s="36"/>
      <c r="AD7" s="37"/>
      <c r="AE7" s="35" t="s">
        <v>28</v>
      </c>
      <c r="AF7" s="34" t="n">
        <v>2.5</v>
      </c>
      <c r="AG7" s="34" t="n">
        <v>3.25</v>
      </c>
      <c r="AH7" s="35" t="s">
        <v>36</v>
      </c>
      <c r="AI7" s="36"/>
      <c r="AJ7" s="37"/>
      <c r="AK7" s="35" t="s">
        <v>31</v>
      </c>
      <c r="AL7" s="34" t="n">
        <v>2.5</v>
      </c>
      <c r="AM7" s="34" t="n">
        <v>3.5</v>
      </c>
      <c r="AN7" s="35"/>
      <c r="AO7" s="36"/>
      <c r="AP7" s="37"/>
      <c r="AQ7" s="35" t="s">
        <v>28</v>
      </c>
      <c r="AR7" s="34" t="n">
        <v>2.5</v>
      </c>
      <c r="AS7" s="34" t="n">
        <v>3</v>
      </c>
      <c r="AT7" s="35" t="s">
        <v>36</v>
      </c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188</v>
      </c>
      <c r="C8" s="29" t="n">
        <f aca="false">SUM(H8:AW8)</f>
        <v>33</v>
      </c>
      <c r="D8" s="82" t="n">
        <f aca="false">E8/2.5</f>
        <v>5</v>
      </c>
      <c r="E8" s="138" t="n">
        <f aca="false">SUM(H8+N8+T8+Z8+AF8+AL8+AR8)</f>
        <v>12.5</v>
      </c>
      <c r="F8" s="32" t="n">
        <f aca="false">C8-E8</f>
        <v>20.5</v>
      </c>
      <c r="G8" s="148" t="s">
        <v>28</v>
      </c>
      <c r="H8" s="34" t="n">
        <v>2.5</v>
      </c>
      <c r="I8" s="34" t="n">
        <v>3.25</v>
      </c>
      <c r="J8" s="35"/>
      <c r="K8" s="36"/>
      <c r="L8" s="37"/>
      <c r="M8" s="33" t="s">
        <v>28</v>
      </c>
      <c r="N8" s="34"/>
      <c r="O8" s="34" t="n">
        <v>3.5</v>
      </c>
      <c r="P8" s="35"/>
      <c r="Q8" s="36"/>
      <c r="R8" s="37"/>
      <c r="S8" s="35" t="s">
        <v>28</v>
      </c>
      <c r="T8" s="34" t="n">
        <v>2.5</v>
      </c>
      <c r="U8" s="34" t="n">
        <v>3.25</v>
      </c>
      <c r="V8" s="35" t="s">
        <v>36</v>
      </c>
      <c r="W8" s="36"/>
      <c r="X8" s="37"/>
      <c r="Y8" s="35" t="s">
        <v>30</v>
      </c>
      <c r="Z8" s="34"/>
      <c r="AA8" s="34" t="n">
        <v>2.25</v>
      </c>
      <c r="AB8" s="35"/>
      <c r="AC8" s="36"/>
      <c r="AD8" s="37"/>
      <c r="AE8" s="35" t="s">
        <v>30</v>
      </c>
      <c r="AF8" s="34" t="n">
        <v>2.5</v>
      </c>
      <c r="AG8" s="34" t="n">
        <v>3</v>
      </c>
      <c r="AH8" s="35"/>
      <c r="AI8" s="36"/>
      <c r="AJ8" s="37"/>
      <c r="AK8" s="35" t="s">
        <v>31</v>
      </c>
      <c r="AL8" s="34" t="n">
        <v>2.5</v>
      </c>
      <c r="AM8" s="34" t="n">
        <v>1.75</v>
      </c>
      <c r="AN8" s="35"/>
      <c r="AO8" s="36"/>
      <c r="AP8" s="37"/>
      <c r="AQ8" s="35" t="s">
        <v>28</v>
      </c>
      <c r="AR8" s="34" t="n">
        <v>2.5</v>
      </c>
      <c r="AS8" s="34" t="n">
        <v>3.5</v>
      </c>
      <c r="AT8" s="35" t="s">
        <v>36</v>
      </c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189</v>
      </c>
      <c r="C9" s="29" t="n">
        <f aca="false">SUM(H9:AW9)</f>
        <v>32</v>
      </c>
      <c r="D9" s="82" t="n">
        <f aca="false">E9/2.5</f>
        <v>5</v>
      </c>
      <c r="E9" s="138" t="n">
        <f aca="false">SUM(H9+N9+T9+Z9+AF9+AL9+AR9)</f>
        <v>12.5</v>
      </c>
      <c r="F9" s="32" t="n">
        <f aca="false">C9-E9</f>
        <v>19.5</v>
      </c>
      <c r="G9" s="148" t="s">
        <v>28</v>
      </c>
      <c r="H9" s="34" t="n">
        <v>2.5</v>
      </c>
      <c r="I9" s="34" t="n">
        <v>3</v>
      </c>
      <c r="J9" s="35"/>
      <c r="K9" s="36"/>
      <c r="L9" s="45"/>
      <c r="M9" s="33" t="s">
        <v>31</v>
      </c>
      <c r="N9" s="34" t="n">
        <v>2.5</v>
      </c>
      <c r="O9" s="34" t="n">
        <v>2.75</v>
      </c>
      <c r="P9" s="35"/>
      <c r="Q9" s="36"/>
      <c r="R9" s="37"/>
      <c r="S9" s="35" t="s">
        <v>28</v>
      </c>
      <c r="T9" s="34" t="n">
        <v>2.5</v>
      </c>
      <c r="U9" s="34" t="n">
        <v>2.75</v>
      </c>
      <c r="V9" s="35" t="s">
        <v>29</v>
      </c>
      <c r="W9" s="36" t="n">
        <v>0.5</v>
      </c>
      <c r="X9" s="37" t="n">
        <v>0.5</v>
      </c>
      <c r="Y9" s="35" t="s">
        <v>28</v>
      </c>
      <c r="Z9" s="34"/>
      <c r="AA9" s="34" t="n">
        <v>2.25</v>
      </c>
      <c r="AB9" s="35"/>
      <c r="AC9" s="36"/>
      <c r="AD9" s="37"/>
      <c r="AE9" s="35" t="s">
        <v>28</v>
      </c>
      <c r="AF9" s="34" t="n">
        <v>2.5</v>
      </c>
      <c r="AG9" s="34" t="n">
        <v>3.25</v>
      </c>
      <c r="AH9" s="35"/>
      <c r="AI9" s="36"/>
      <c r="AJ9" s="37"/>
      <c r="AK9" s="35" t="s">
        <v>28</v>
      </c>
      <c r="AL9" s="34"/>
      <c r="AM9" s="34" t="n">
        <v>2</v>
      </c>
      <c r="AN9" s="35"/>
      <c r="AO9" s="36"/>
      <c r="AP9" s="37"/>
      <c r="AQ9" s="35" t="s">
        <v>28</v>
      </c>
      <c r="AR9" s="34" t="n">
        <v>2.5</v>
      </c>
      <c r="AS9" s="34" t="n">
        <v>2.5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190</v>
      </c>
      <c r="C10" s="29" t="n">
        <f aca="false">SUM(H10:AW10)</f>
        <v>31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21</v>
      </c>
      <c r="G10" s="148" t="s">
        <v>28</v>
      </c>
      <c r="H10" s="34" t="n">
        <v>2.5</v>
      </c>
      <c r="I10" s="34" t="n">
        <v>2.5</v>
      </c>
      <c r="J10" s="35"/>
      <c r="K10" s="36"/>
      <c r="L10" s="37"/>
      <c r="M10" s="33" t="s">
        <v>28</v>
      </c>
      <c r="N10" s="34"/>
      <c r="O10" s="34" t="n">
        <v>1.25</v>
      </c>
      <c r="P10" s="35"/>
      <c r="Q10" s="36"/>
      <c r="R10" s="45"/>
      <c r="S10" s="35" t="s">
        <v>28</v>
      </c>
      <c r="T10" s="34" t="n">
        <v>2.5</v>
      </c>
      <c r="U10" s="34" t="n">
        <v>2.75</v>
      </c>
      <c r="V10" s="35" t="s">
        <v>36</v>
      </c>
      <c r="W10" s="36"/>
      <c r="X10" s="37"/>
      <c r="Y10" s="35" t="s">
        <v>28</v>
      </c>
      <c r="Z10" s="34"/>
      <c r="AA10" s="34" t="n">
        <v>3.25</v>
      </c>
      <c r="AB10" s="35"/>
      <c r="AC10" s="36"/>
      <c r="AD10" s="37"/>
      <c r="AE10" s="35" t="s">
        <v>28</v>
      </c>
      <c r="AF10" s="34" t="n">
        <v>2.5</v>
      </c>
      <c r="AG10" s="43" t="n">
        <v>2.5</v>
      </c>
      <c r="AH10" s="35"/>
      <c r="AI10" s="36"/>
      <c r="AJ10" s="37"/>
      <c r="AK10" s="35" t="s">
        <v>28</v>
      </c>
      <c r="AL10" s="34"/>
      <c r="AM10" s="34" t="n">
        <v>3.25</v>
      </c>
      <c r="AN10" s="35"/>
      <c r="AO10" s="36"/>
      <c r="AP10" s="37"/>
      <c r="AQ10" s="35" t="s">
        <v>30</v>
      </c>
      <c r="AR10" s="34" t="n">
        <v>2.5</v>
      </c>
      <c r="AS10" s="34" t="n">
        <v>4</v>
      </c>
      <c r="AT10" s="35" t="s">
        <v>29</v>
      </c>
      <c r="AU10" s="36" t="n">
        <v>1</v>
      </c>
      <c r="AV10" s="37" t="n">
        <v>0.5</v>
      </c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191</v>
      </c>
      <c r="C11" s="29" t="n">
        <f aca="false">SUM(H11:AW11)</f>
        <v>29.5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19.5</v>
      </c>
      <c r="G11" s="148" t="s">
        <v>28</v>
      </c>
      <c r="H11" s="34" t="n">
        <v>2.5</v>
      </c>
      <c r="I11" s="34" t="n">
        <v>3.75</v>
      </c>
      <c r="J11" s="35"/>
      <c r="K11" s="36"/>
      <c r="L11" s="37"/>
      <c r="M11" s="33" t="s">
        <v>34</v>
      </c>
      <c r="N11" s="34" t="n">
        <v>2.5</v>
      </c>
      <c r="O11" s="34" t="n">
        <v>3</v>
      </c>
      <c r="P11" s="35"/>
      <c r="Q11" s="36"/>
      <c r="R11" s="37"/>
      <c r="S11" s="35" t="s">
        <v>31</v>
      </c>
      <c r="T11" s="34"/>
      <c r="U11" s="34" t="n">
        <v>3</v>
      </c>
      <c r="V11" s="35" t="s">
        <v>33</v>
      </c>
      <c r="W11" s="36"/>
      <c r="X11" s="45"/>
      <c r="Y11" s="35" t="s">
        <v>28</v>
      </c>
      <c r="Z11" s="34"/>
      <c r="AA11" s="34" t="n">
        <v>1.5</v>
      </c>
      <c r="AB11" s="35"/>
      <c r="AC11" s="36"/>
      <c r="AD11" s="37"/>
      <c r="AE11" s="35" t="s">
        <v>28</v>
      </c>
      <c r="AF11" s="34" t="n">
        <v>2.5</v>
      </c>
      <c r="AG11" s="34" t="n">
        <v>2.25</v>
      </c>
      <c r="AH11" s="35"/>
      <c r="AI11" s="36"/>
      <c r="AJ11" s="37"/>
      <c r="AK11" s="35" t="s">
        <v>28</v>
      </c>
      <c r="AL11" s="34"/>
      <c r="AM11" s="34" t="n">
        <v>2.5</v>
      </c>
      <c r="AN11" s="35"/>
      <c r="AO11" s="36"/>
      <c r="AP11" s="37"/>
      <c r="AQ11" s="35" t="s">
        <v>28</v>
      </c>
      <c r="AR11" s="34" t="n">
        <v>2.5</v>
      </c>
      <c r="AS11" s="34" t="n">
        <v>3.5</v>
      </c>
      <c r="AT11" s="35" t="s">
        <v>36</v>
      </c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192</v>
      </c>
      <c r="C12" s="29" t="n">
        <f aca="false">SUM(H12:AW12)</f>
        <v>28.25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20.75</v>
      </c>
      <c r="G12" s="148" t="s">
        <v>34</v>
      </c>
      <c r="H12" s="34"/>
      <c r="I12" s="34" t="n">
        <v>2</v>
      </c>
      <c r="J12" s="35"/>
      <c r="K12" s="36"/>
      <c r="L12" s="37"/>
      <c r="M12" s="33" t="s">
        <v>28</v>
      </c>
      <c r="N12" s="34"/>
      <c r="O12" s="34" t="n">
        <v>3.75</v>
      </c>
      <c r="P12" s="35"/>
      <c r="Q12" s="36"/>
      <c r="R12" s="37"/>
      <c r="S12" s="35" t="s">
        <v>28</v>
      </c>
      <c r="T12" s="34" t="n">
        <v>2.5</v>
      </c>
      <c r="U12" s="34" t="n">
        <v>3.5</v>
      </c>
      <c r="V12" s="35" t="s">
        <v>36</v>
      </c>
      <c r="W12" s="36"/>
      <c r="X12" s="37"/>
      <c r="Y12" s="35" t="s">
        <v>28</v>
      </c>
      <c r="Z12" s="34"/>
      <c r="AA12" s="34" t="n">
        <v>2.5</v>
      </c>
      <c r="AB12" s="35"/>
      <c r="AC12" s="36"/>
      <c r="AD12" s="37"/>
      <c r="AE12" s="35" t="s">
        <v>31</v>
      </c>
      <c r="AF12" s="34"/>
      <c r="AG12" s="34" t="n">
        <v>2.75</v>
      </c>
      <c r="AH12" s="35"/>
      <c r="AI12" s="36"/>
      <c r="AJ12" s="37"/>
      <c r="AK12" s="35" t="s">
        <v>34</v>
      </c>
      <c r="AL12" s="34" t="n">
        <v>2.5</v>
      </c>
      <c r="AM12" s="34" t="n">
        <v>3</v>
      </c>
      <c r="AN12" s="35"/>
      <c r="AO12" s="36"/>
      <c r="AP12" s="37"/>
      <c r="AQ12" s="35" t="s">
        <v>28</v>
      </c>
      <c r="AR12" s="34" t="n">
        <v>2.5</v>
      </c>
      <c r="AS12" s="34" t="n">
        <v>3.25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35</v>
      </c>
      <c r="C13" s="29" t="n">
        <f aca="false">SUM(H13:AW13)</f>
        <v>25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20</v>
      </c>
      <c r="G13" s="148" t="s">
        <v>28</v>
      </c>
      <c r="H13" s="34" t="n">
        <v>2.5</v>
      </c>
      <c r="I13" s="34" t="n">
        <v>3.25</v>
      </c>
      <c r="J13" s="35"/>
      <c r="K13" s="36"/>
      <c r="L13" s="37"/>
      <c r="M13" s="33" t="s">
        <v>30</v>
      </c>
      <c r="N13" s="34"/>
      <c r="O13" s="34" t="n">
        <v>3.25</v>
      </c>
      <c r="P13" s="35"/>
      <c r="Q13" s="36"/>
      <c r="R13" s="37"/>
      <c r="S13" s="35" t="s">
        <v>31</v>
      </c>
      <c r="T13" s="34"/>
      <c r="U13" s="43" t="n">
        <v>0.5</v>
      </c>
      <c r="V13" s="35"/>
      <c r="W13" s="36"/>
      <c r="X13" s="37"/>
      <c r="Y13" s="35" t="s">
        <v>28</v>
      </c>
      <c r="Z13" s="34"/>
      <c r="AA13" s="34" t="n">
        <v>3</v>
      </c>
      <c r="AB13" s="35" t="s">
        <v>29</v>
      </c>
      <c r="AC13" s="36"/>
      <c r="AD13" s="37" t="n">
        <v>0.5</v>
      </c>
      <c r="AE13" s="35" t="s">
        <v>28</v>
      </c>
      <c r="AF13" s="34" t="n">
        <v>2.5</v>
      </c>
      <c r="AG13" s="34" t="n">
        <v>3.75</v>
      </c>
      <c r="AH13" s="35" t="s">
        <v>36</v>
      </c>
      <c r="AI13" s="36"/>
      <c r="AJ13" s="37"/>
      <c r="AK13" s="35" t="s">
        <v>28</v>
      </c>
      <c r="AL13" s="34"/>
      <c r="AM13" s="34" t="n">
        <v>3.75</v>
      </c>
      <c r="AN13" s="35"/>
      <c r="AO13" s="36"/>
      <c r="AP13" s="37"/>
      <c r="AQ13" s="35" t="s">
        <v>31</v>
      </c>
      <c r="AR13" s="34"/>
      <c r="AS13" s="34" t="n">
        <v>2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193</v>
      </c>
      <c r="C14" s="29" t="n">
        <f aca="false">SUM(H14:AW14)</f>
        <v>20.25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15.25</v>
      </c>
      <c r="G14" s="148" t="s">
        <v>31</v>
      </c>
      <c r="H14" s="34"/>
      <c r="I14" s="43" t="n">
        <v>0</v>
      </c>
      <c r="J14" s="35"/>
      <c r="K14" s="36"/>
      <c r="L14" s="37"/>
      <c r="M14" s="33" t="s">
        <v>28</v>
      </c>
      <c r="N14" s="34"/>
      <c r="O14" s="34" t="n">
        <v>2</v>
      </c>
      <c r="P14" s="35" t="s">
        <v>29</v>
      </c>
      <c r="Q14" s="36"/>
      <c r="R14" s="37" t="n">
        <v>0.5</v>
      </c>
      <c r="S14" s="35" t="s">
        <v>30</v>
      </c>
      <c r="T14" s="34" t="n">
        <v>2.5</v>
      </c>
      <c r="U14" s="34" t="n">
        <v>1.75</v>
      </c>
      <c r="V14" s="35"/>
      <c r="W14" s="36"/>
      <c r="X14" s="37"/>
      <c r="Y14" s="35" t="s">
        <v>31</v>
      </c>
      <c r="Z14" s="34" t="n">
        <v>2.5</v>
      </c>
      <c r="AA14" s="34" t="n">
        <v>3.75</v>
      </c>
      <c r="AB14" s="35"/>
      <c r="AC14" s="36"/>
      <c r="AD14" s="37"/>
      <c r="AE14" s="35" t="s">
        <v>34</v>
      </c>
      <c r="AF14" s="34"/>
      <c r="AG14" s="34" t="n">
        <v>1.75</v>
      </c>
      <c r="AH14" s="35"/>
      <c r="AI14" s="36"/>
      <c r="AJ14" s="37"/>
      <c r="AK14" s="35" t="s">
        <v>30</v>
      </c>
      <c r="AL14" s="34"/>
      <c r="AM14" s="34" t="n">
        <v>3</v>
      </c>
      <c r="AN14" s="35"/>
      <c r="AO14" s="36"/>
      <c r="AP14" s="37"/>
      <c r="AQ14" s="35" t="s">
        <v>31</v>
      </c>
      <c r="AR14" s="34"/>
      <c r="AS14" s="34" t="n">
        <v>2.5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194</v>
      </c>
      <c r="C15" s="29" t="n">
        <f aca="false">SUM(H15:AW15)</f>
        <v>19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14</v>
      </c>
      <c r="G15" s="150" t="s">
        <v>31</v>
      </c>
      <c r="H15" s="50"/>
      <c r="I15" s="50" t="n">
        <v>1.5</v>
      </c>
      <c r="J15" s="51"/>
      <c r="K15" s="52"/>
      <c r="L15" s="53"/>
      <c r="M15" s="49" t="s">
        <v>28</v>
      </c>
      <c r="N15" s="50"/>
      <c r="O15" s="50" t="n">
        <v>2.25</v>
      </c>
      <c r="P15" s="51"/>
      <c r="Q15" s="52"/>
      <c r="R15" s="53"/>
      <c r="S15" s="51" t="s">
        <v>34</v>
      </c>
      <c r="T15" s="50"/>
      <c r="U15" s="50" t="n">
        <v>2</v>
      </c>
      <c r="V15" s="51"/>
      <c r="W15" s="52"/>
      <c r="X15" s="53"/>
      <c r="Y15" s="51" t="s">
        <v>31</v>
      </c>
      <c r="Z15" s="50" t="n">
        <v>2.5</v>
      </c>
      <c r="AA15" s="50" t="n">
        <v>3.5</v>
      </c>
      <c r="AB15" s="51"/>
      <c r="AC15" s="52"/>
      <c r="AD15" s="53"/>
      <c r="AE15" s="51" t="s">
        <v>31</v>
      </c>
      <c r="AF15" s="50"/>
      <c r="AG15" s="93" t="n">
        <v>0</v>
      </c>
      <c r="AH15" s="51" t="s">
        <v>33</v>
      </c>
      <c r="AI15" s="52"/>
      <c r="AJ15" s="53"/>
      <c r="AK15" s="51" t="s">
        <v>28</v>
      </c>
      <c r="AL15" s="50"/>
      <c r="AM15" s="50" t="n">
        <v>1.75</v>
      </c>
      <c r="AN15" s="51"/>
      <c r="AO15" s="52"/>
      <c r="AP15" s="53"/>
      <c r="AQ15" s="51" t="s">
        <v>28</v>
      </c>
      <c r="AR15" s="50" t="n">
        <v>2.5</v>
      </c>
      <c r="AS15" s="50" t="n">
        <v>3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57" t="n">
        <v>2.25</v>
      </c>
      <c r="H16" s="57"/>
      <c r="I16" s="57"/>
      <c r="J16" s="57"/>
      <c r="K16" s="57"/>
      <c r="L16" s="57"/>
      <c r="M16" s="59" t="n">
        <v>2.16666666666667</v>
      </c>
      <c r="N16" s="59"/>
      <c r="O16" s="59"/>
      <c r="P16" s="59"/>
      <c r="Q16" s="59"/>
      <c r="R16" s="59"/>
      <c r="S16" s="59" t="n">
        <v>2.41666666666667</v>
      </c>
      <c r="T16" s="59"/>
      <c r="U16" s="59"/>
      <c r="V16" s="59"/>
      <c r="W16" s="59"/>
      <c r="X16" s="59"/>
      <c r="Y16" s="59" t="n">
        <v>2.20833333333333</v>
      </c>
      <c r="Z16" s="59"/>
      <c r="AA16" s="59"/>
      <c r="AB16" s="59"/>
      <c r="AC16" s="59"/>
      <c r="AD16" s="59"/>
      <c r="AE16" s="59" t="n">
        <v>2.5</v>
      </c>
      <c r="AF16" s="59"/>
      <c r="AG16" s="59"/>
      <c r="AH16" s="59"/>
      <c r="AI16" s="59"/>
      <c r="AJ16" s="59"/>
      <c r="AK16" s="59" t="n">
        <v>3.16666666666667</v>
      </c>
      <c r="AL16" s="59"/>
      <c r="AM16" s="59"/>
      <c r="AN16" s="59"/>
      <c r="AO16" s="59"/>
      <c r="AP16" s="59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53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88</v>
      </c>
      <c r="T18" s="66"/>
      <c r="U18" s="66"/>
      <c r="V18" s="66"/>
      <c r="W18" s="66"/>
      <c r="X18" s="66"/>
      <c r="Y18" s="66" t="s">
        <v>52</v>
      </c>
      <c r="Z18" s="66"/>
      <c r="AA18" s="66"/>
      <c r="AB18" s="66"/>
      <c r="AC18" s="66"/>
      <c r="AD18" s="66"/>
      <c r="AE18" s="66" t="s">
        <v>88</v>
      </c>
      <c r="AF18" s="66"/>
      <c r="AG18" s="66"/>
      <c r="AH18" s="66"/>
      <c r="AI18" s="66"/>
      <c r="AJ18" s="66"/>
      <c r="AK18" s="66" t="s">
        <v>52</v>
      </c>
      <c r="AL18" s="66"/>
      <c r="AM18" s="66"/>
      <c r="AN18" s="66"/>
      <c r="AO18" s="66"/>
      <c r="AP18" s="66"/>
      <c r="AQ18" s="66" t="s">
        <v>88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1</v>
      </c>
      <c r="B26" s="4" t="s">
        <v>193</v>
      </c>
      <c r="C26" s="4" t="s">
        <v>64</v>
      </c>
      <c r="D26" s="4" t="n">
        <v>-1</v>
      </c>
    </row>
    <row r="27" customFormat="false" ht="15.75" hidden="false" customHeight="false" outlineLevel="0" collapsed="false">
      <c r="A27" s="76" t="n">
        <v>3</v>
      </c>
      <c r="B27" s="4" t="s">
        <v>35</v>
      </c>
      <c r="C27" s="4" t="s">
        <v>64</v>
      </c>
      <c r="D27" s="4" t="n">
        <v>-1</v>
      </c>
    </row>
    <row r="28" customFormat="false" ht="15.75" hidden="false" customHeight="false" outlineLevel="0" collapsed="false">
      <c r="A28" s="76" t="n">
        <v>5</v>
      </c>
      <c r="B28" s="4" t="s">
        <v>190</v>
      </c>
      <c r="C28" s="4" t="s">
        <v>65</v>
      </c>
      <c r="D28" s="4" t="n">
        <v>-0.5</v>
      </c>
    </row>
    <row r="29" customFormat="false" ht="15.75" hidden="false" customHeight="false" outlineLevel="0" collapsed="false">
      <c r="A29" s="4" t="n">
        <v>5</v>
      </c>
      <c r="B29" s="4" t="s">
        <v>194</v>
      </c>
      <c r="C29" s="4" t="s">
        <v>64</v>
      </c>
      <c r="D29" s="4" t="n">
        <v>-1</v>
      </c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'7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195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196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35</v>
      </c>
      <c r="C6" s="29" t="n">
        <f aca="false">SUM(H6:AW6)</f>
        <v>38.25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25.75</v>
      </c>
      <c r="G6" s="148" t="s">
        <v>28</v>
      </c>
      <c r="H6" s="34" t="n">
        <v>2.5</v>
      </c>
      <c r="I6" s="34" t="n">
        <v>4</v>
      </c>
      <c r="J6" s="35"/>
      <c r="K6" s="36"/>
      <c r="L6" s="45"/>
      <c r="M6" s="33" t="s">
        <v>31</v>
      </c>
      <c r="N6" s="34"/>
      <c r="O6" s="43" t="n">
        <v>2</v>
      </c>
      <c r="P6" s="35"/>
      <c r="Q6" s="36"/>
      <c r="R6" s="37"/>
      <c r="S6" s="35" t="s">
        <v>34</v>
      </c>
      <c r="T6" s="34" t="n">
        <v>2.5</v>
      </c>
      <c r="U6" s="34" t="n">
        <v>4.25</v>
      </c>
      <c r="V6" s="35"/>
      <c r="W6" s="36"/>
      <c r="X6" s="37"/>
      <c r="Y6" s="35" t="s">
        <v>31</v>
      </c>
      <c r="Z6" s="34" t="n">
        <v>2.5</v>
      </c>
      <c r="AA6" s="34" t="n">
        <v>3.5</v>
      </c>
      <c r="AB6" s="35"/>
      <c r="AC6" s="36"/>
      <c r="AD6" s="37"/>
      <c r="AE6" s="35" t="s">
        <v>28</v>
      </c>
      <c r="AF6" s="34" t="n">
        <v>2.5</v>
      </c>
      <c r="AG6" s="34" t="n">
        <v>4.25</v>
      </c>
      <c r="AH6" s="35" t="s">
        <v>29</v>
      </c>
      <c r="AI6" s="36" t="n">
        <v>1</v>
      </c>
      <c r="AJ6" s="37" t="n">
        <v>0.5</v>
      </c>
      <c r="AK6" s="35" t="s">
        <v>28</v>
      </c>
      <c r="AL6" s="34"/>
      <c r="AM6" s="34" t="n">
        <v>2.75</v>
      </c>
      <c r="AN6" s="35" t="s">
        <v>33</v>
      </c>
      <c r="AO6" s="36"/>
      <c r="AP6" s="37"/>
      <c r="AQ6" s="35" t="s">
        <v>28</v>
      </c>
      <c r="AR6" s="34" t="n">
        <v>2.5</v>
      </c>
      <c r="AS6" s="34" t="n">
        <v>3.5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71</v>
      </c>
      <c r="C7" s="29" t="n">
        <f aca="false">SUM(H7:AW7)</f>
        <v>37.75</v>
      </c>
      <c r="D7" s="82" t="n">
        <f aca="false">E7/2.5</f>
        <v>6</v>
      </c>
      <c r="E7" s="138" t="n">
        <f aca="false">SUM(H7+N7+T7+Z7+AF7+AL7+AR7)</f>
        <v>15</v>
      </c>
      <c r="F7" s="32" t="n">
        <f aca="false">C7-E7</f>
        <v>22.75</v>
      </c>
      <c r="G7" s="148" t="s">
        <v>28</v>
      </c>
      <c r="H7" s="34" t="n">
        <v>2.5</v>
      </c>
      <c r="I7" s="34" t="n">
        <v>3.75</v>
      </c>
      <c r="J7" s="35"/>
      <c r="K7" s="36"/>
      <c r="L7" s="37"/>
      <c r="M7" s="33" t="s">
        <v>28</v>
      </c>
      <c r="N7" s="34" t="n">
        <v>2.5</v>
      </c>
      <c r="O7" s="34" t="n">
        <v>2.75</v>
      </c>
      <c r="P7" s="35"/>
      <c r="Q7" s="36"/>
      <c r="R7" s="37"/>
      <c r="S7" s="35" t="s">
        <v>31</v>
      </c>
      <c r="T7" s="34" t="n">
        <v>2.5</v>
      </c>
      <c r="U7" s="34" t="n">
        <v>3</v>
      </c>
      <c r="V7" s="35"/>
      <c r="W7" s="36"/>
      <c r="X7" s="37"/>
      <c r="Y7" s="35" t="s">
        <v>28</v>
      </c>
      <c r="Z7" s="34"/>
      <c r="AA7" s="34" t="n">
        <v>3.5</v>
      </c>
      <c r="AB7" s="35"/>
      <c r="AC7" s="36"/>
      <c r="AD7" s="37"/>
      <c r="AE7" s="35" t="s">
        <v>28</v>
      </c>
      <c r="AF7" s="34" t="n">
        <v>2.5</v>
      </c>
      <c r="AG7" s="34" t="n">
        <v>3.5</v>
      </c>
      <c r="AH7" s="35"/>
      <c r="AI7" s="36"/>
      <c r="AJ7" s="37"/>
      <c r="AK7" s="35" t="s">
        <v>31</v>
      </c>
      <c r="AL7" s="34" t="n">
        <v>2.5</v>
      </c>
      <c r="AM7" s="34" t="n">
        <v>3.25</v>
      </c>
      <c r="AN7" s="35" t="s">
        <v>36</v>
      </c>
      <c r="AO7" s="36"/>
      <c r="AP7" s="37"/>
      <c r="AQ7" s="35" t="s">
        <v>28</v>
      </c>
      <c r="AR7" s="34" t="n">
        <v>2.5</v>
      </c>
      <c r="AS7" s="34" t="n">
        <v>3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188</v>
      </c>
      <c r="C8" s="29" t="n">
        <f aca="false">SUM(H8:AW8)</f>
        <v>30.75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20.75</v>
      </c>
      <c r="G8" s="148" t="s">
        <v>30</v>
      </c>
      <c r="H8" s="34" t="n">
        <v>2.5</v>
      </c>
      <c r="I8" s="34" t="n">
        <v>3.5</v>
      </c>
      <c r="J8" s="35"/>
      <c r="K8" s="36"/>
      <c r="L8" s="37"/>
      <c r="M8" s="33" t="s">
        <v>30</v>
      </c>
      <c r="N8" s="34" t="n">
        <v>2.5</v>
      </c>
      <c r="O8" s="34" t="n">
        <v>3.25</v>
      </c>
      <c r="P8" s="35"/>
      <c r="Q8" s="36"/>
      <c r="R8" s="37"/>
      <c r="S8" s="35" t="s">
        <v>28</v>
      </c>
      <c r="T8" s="34"/>
      <c r="U8" s="34" t="n">
        <v>3.25</v>
      </c>
      <c r="V8" s="35"/>
      <c r="W8" s="36"/>
      <c r="X8" s="37"/>
      <c r="Y8" s="35" t="s">
        <v>28</v>
      </c>
      <c r="Z8" s="34"/>
      <c r="AA8" s="34" t="n">
        <v>3</v>
      </c>
      <c r="AB8" s="35"/>
      <c r="AC8" s="36"/>
      <c r="AD8" s="37"/>
      <c r="AE8" s="35" t="s">
        <v>28</v>
      </c>
      <c r="AF8" s="34" t="n">
        <v>2.5</v>
      </c>
      <c r="AG8" s="34" t="n">
        <v>4</v>
      </c>
      <c r="AH8" s="35"/>
      <c r="AI8" s="36"/>
      <c r="AJ8" s="37"/>
      <c r="AK8" s="35" t="s">
        <v>31</v>
      </c>
      <c r="AL8" s="34" t="n">
        <v>2.5</v>
      </c>
      <c r="AM8" s="34" t="n">
        <v>2.5</v>
      </c>
      <c r="AN8" s="35"/>
      <c r="AO8" s="36"/>
      <c r="AP8" s="37"/>
      <c r="AQ8" s="35" t="s">
        <v>34</v>
      </c>
      <c r="AR8" s="34"/>
      <c r="AS8" s="34" t="n">
        <v>1.25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192</v>
      </c>
      <c r="C9" s="29" t="n">
        <f aca="false">SUM(H9:AW9)</f>
        <v>28.5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21</v>
      </c>
      <c r="G9" s="148" t="s">
        <v>31</v>
      </c>
      <c r="H9" s="34"/>
      <c r="I9" s="34" t="n">
        <v>2.5</v>
      </c>
      <c r="J9" s="35"/>
      <c r="K9" s="36"/>
      <c r="L9" s="37"/>
      <c r="M9" s="33" t="s">
        <v>28</v>
      </c>
      <c r="N9" s="34" t="n">
        <v>2.5</v>
      </c>
      <c r="O9" s="34" t="n">
        <v>4</v>
      </c>
      <c r="P9" s="35"/>
      <c r="Q9" s="36"/>
      <c r="R9" s="45"/>
      <c r="S9" s="35" t="s">
        <v>30</v>
      </c>
      <c r="T9" s="34"/>
      <c r="U9" s="34" t="n">
        <v>2.5</v>
      </c>
      <c r="V9" s="35"/>
      <c r="W9" s="36"/>
      <c r="X9" s="37"/>
      <c r="Y9" s="35" t="s">
        <v>28</v>
      </c>
      <c r="Z9" s="34"/>
      <c r="AA9" s="34" t="n">
        <v>2</v>
      </c>
      <c r="AB9" s="35"/>
      <c r="AC9" s="36"/>
      <c r="AD9" s="37"/>
      <c r="AE9" s="35" t="s">
        <v>28</v>
      </c>
      <c r="AF9" s="34" t="n">
        <v>2.5</v>
      </c>
      <c r="AG9" s="34" t="n">
        <v>4</v>
      </c>
      <c r="AH9" s="35"/>
      <c r="AI9" s="36"/>
      <c r="AJ9" s="37"/>
      <c r="AK9" s="35" t="s">
        <v>30</v>
      </c>
      <c r="AL9" s="34"/>
      <c r="AM9" s="34" t="n">
        <v>2.75</v>
      </c>
      <c r="AN9" s="35"/>
      <c r="AO9" s="36"/>
      <c r="AP9" s="37"/>
      <c r="AQ9" s="35" t="s">
        <v>28</v>
      </c>
      <c r="AR9" s="34" t="n">
        <v>2.5</v>
      </c>
      <c r="AS9" s="34" t="n">
        <v>3.25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197</v>
      </c>
      <c r="C10" s="29" t="n">
        <f aca="false">SUM(H10:AW10)</f>
        <v>28.25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18.25</v>
      </c>
      <c r="G10" s="148" t="s">
        <v>28</v>
      </c>
      <c r="H10" s="34" t="n">
        <v>2.5</v>
      </c>
      <c r="I10" s="34" t="n">
        <v>3.25</v>
      </c>
      <c r="J10" s="35"/>
      <c r="K10" s="36"/>
      <c r="L10" s="37"/>
      <c r="M10" s="33" t="s">
        <v>34</v>
      </c>
      <c r="N10" s="34"/>
      <c r="O10" s="34" t="n">
        <v>2</v>
      </c>
      <c r="P10" s="35"/>
      <c r="Q10" s="36"/>
      <c r="R10" s="37"/>
      <c r="S10" s="35" t="s">
        <v>28</v>
      </c>
      <c r="T10" s="34"/>
      <c r="U10" s="34" t="n">
        <v>2.25</v>
      </c>
      <c r="V10" s="35"/>
      <c r="W10" s="36"/>
      <c r="X10" s="37"/>
      <c r="Y10" s="35" t="s">
        <v>28</v>
      </c>
      <c r="Z10" s="34"/>
      <c r="AA10" s="34" t="n">
        <v>1.75</v>
      </c>
      <c r="AB10" s="35"/>
      <c r="AC10" s="36"/>
      <c r="AD10" s="37"/>
      <c r="AE10" s="35" t="s">
        <v>28</v>
      </c>
      <c r="AF10" s="34" t="n">
        <v>2.5</v>
      </c>
      <c r="AG10" s="34" t="n">
        <v>3.5</v>
      </c>
      <c r="AH10" s="35"/>
      <c r="AI10" s="36"/>
      <c r="AJ10" s="37"/>
      <c r="AK10" s="35" t="s">
        <v>34</v>
      </c>
      <c r="AL10" s="34" t="n">
        <v>2.5</v>
      </c>
      <c r="AM10" s="34" t="n">
        <v>2.75</v>
      </c>
      <c r="AN10" s="35"/>
      <c r="AO10" s="36"/>
      <c r="AP10" s="37"/>
      <c r="AQ10" s="35" t="s">
        <v>28</v>
      </c>
      <c r="AR10" s="34" t="n">
        <v>2.5</v>
      </c>
      <c r="AS10" s="34" t="n">
        <v>2.75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32</v>
      </c>
      <c r="C11" s="29" t="n">
        <f aca="false">SUM(H11:AW11)</f>
        <v>26.75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16.75</v>
      </c>
      <c r="G11" s="148" t="s">
        <v>28</v>
      </c>
      <c r="H11" s="34" t="n">
        <v>2.5</v>
      </c>
      <c r="I11" s="34" t="n">
        <v>2.5</v>
      </c>
      <c r="J11" s="35" t="s">
        <v>29</v>
      </c>
      <c r="K11" s="36"/>
      <c r="L11" s="37" t="n">
        <v>0.5</v>
      </c>
      <c r="M11" s="33" t="s">
        <v>28</v>
      </c>
      <c r="N11" s="34" t="n">
        <v>2.5</v>
      </c>
      <c r="O11" s="34" t="n">
        <v>2.5</v>
      </c>
      <c r="P11" s="35"/>
      <c r="Q11" s="36"/>
      <c r="R11" s="37"/>
      <c r="S11" s="35" t="s">
        <v>28</v>
      </c>
      <c r="T11" s="34"/>
      <c r="U11" s="34" t="n">
        <v>2</v>
      </c>
      <c r="V11" s="35"/>
      <c r="W11" s="36"/>
      <c r="X11" s="45"/>
      <c r="Y11" s="35" t="s">
        <v>31</v>
      </c>
      <c r="Z11" s="34" t="n">
        <v>2.5</v>
      </c>
      <c r="AA11" s="34" t="n">
        <v>2.75</v>
      </c>
      <c r="AB11" s="35"/>
      <c r="AC11" s="36"/>
      <c r="AD11" s="37"/>
      <c r="AE11" s="35" t="s">
        <v>30</v>
      </c>
      <c r="AF11" s="34" t="n">
        <v>2.5</v>
      </c>
      <c r="AG11" s="34" t="n">
        <v>3.75</v>
      </c>
      <c r="AH11" s="35"/>
      <c r="AI11" s="36"/>
      <c r="AJ11" s="37"/>
      <c r="AK11" s="35" t="s">
        <v>28</v>
      </c>
      <c r="AL11" s="34"/>
      <c r="AM11" s="34" t="n">
        <v>1.5</v>
      </c>
      <c r="AN11" s="35" t="s">
        <v>33</v>
      </c>
      <c r="AO11" s="36"/>
      <c r="AP11" s="37"/>
      <c r="AQ11" s="35" t="s">
        <v>31</v>
      </c>
      <c r="AR11" s="34"/>
      <c r="AS11" s="34" t="n">
        <v>1.25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198</v>
      </c>
      <c r="C12" s="29" t="n">
        <f aca="false">SUM(H12:AW12)</f>
        <v>26.75</v>
      </c>
      <c r="D12" s="82" t="n">
        <f aca="false">E12/2.5</f>
        <v>4</v>
      </c>
      <c r="E12" s="138" t="n">
        <f aca="false">SUM(H12+N12+T12+Z12+AF12+AL12+AR12)</f>
        <v>10</v>
      </c>
      <c r="F12" s="32" t="n">
        <f aca="false">C12-E12</f>
        <v>16.75</v>
      </c>
      <c r="G12" s="148" t="s">
        <v>28</v>
      </c>
      <c r="H12" s="34" t="n">
        <v>2.5</v>
      </c>
      <c r="I12" s="34" t="n">
        <v>1.5</v>
      </c>
      <c r="J12" s="35"/>
      <c r="K12" s="36"/>
      <c r="L12" s="37"/>
      <c r="M12" s="33" t="s">
        <v>28</v>
      </c>
      <c r="N12" s="34" t="n">
        <v>2.5</v>
      </c>
      <c r="O12" s="34" t="n">
        <v>2.25</v>
      </c>
      <c r="P12" s="35" t="s">
        <v>29</v>
      </c>
      <c r="Q12" s="36"/>
      <c r="R12" s="37" t="n">
        <v>0.5</v>
      </c>
      <c r="S12" s="35" t="s">
        <v>31</v>
      </c>
      <c r="T12" s="34" t="n">
        <v>2.5</v>
      </c>
      <c r="U12" s="34" t="n">
        <v>3.25</v>
      </c>
      <c r="V12" s="35"/>
      <c r="W12" s="36"/>
      <c r="X12" s="37"/>
      <c r="Y12" s="35" t="s">
        <v>28</v>
      </c>
      <c r="Z12" s="34"/>
      <c r="AA12" s="34" t="n">
        <v>2</v>
      </c>
      <c r="AB12" s="35" t="s">
        <v>29</v>
      </c>
      <c r="AC12" s="36"/>
      <c r="AD12" s="37" t="n">
        <v>1</v>
      </c>
      <c r="AE12" s="35" t="s">
        <v>31</v>
      </c>
      <c r="AF12" s="34"/>
      <c r="AG12" s="34" t="n">
        <v>2.5</v>
      </c>
      <c r="AH12" s="35"/>
      <c r="AI12" s="36"/>
      <c r="AJ12" s="37"/>
      <c r="AK12" s="35" t="s">
        <v>28</v>
      </c>
      <c r="AL12" s="34"/>
      <c r="AM12" s="34" t="n">
        <v>1</v>
      </c>
      <c r="AN12" s="35"/>
      <c r="AO12" s="36"/>
      <c r="AP12" s="37"/>
      <c r="AQ12" s="35" t="s">
        <v>28</v>
      </c>
      <c r="AR12" s="34" t="n">
        <v>2.5</v>
      </c>
      <c r="AS12" s="34" t="n">
        <v>2.75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199</v>
      </c>
      <c r="C13" s="29" t="n">
        <f aca="false">SUM(H13:AW13)</f>
        <v>25.75</v>
      </c>
      <c r="D13" s="82" t="n">
        <f aca="false">E13/2.5</f>
        <v>3</v>
      </c>
      <c r="E13" s="138" t="n">
        <f aca="false">SUM(H13+N13+T13+Z13+AF13+AL13+AR13)</f>
        <v>7.5</v>
      </c>
      <c r="F13" s="32" t="n">
        <f aca="false">C13-E13</f>
        <v>18.25</v>
      </c>
      <c r="G13" s="148" t="s">
        <v>28</v>
      </c>
      <c r="H13" s="34" t="n">
        <v>2.5</v>
      </c>
      <c r="I13" s="34" t="n">
        <v>3.5</v>
      </c>
      <c r="J13" s="35"/>
      <c r="K13" s="36"/>
      <c r="L13" s="37"/>
      <c r="M13" s="33" t="s">
        <v>28</v>
      </c>
      <c r="N13" s="34" t="n">
        <v>2.5</v>
      </c>
      <c r="O13" s="34" t="n">
        <v>3</v>
      </c>
      <c r="P13" s="35"/>
      <c r="Q13" s="36"/>
      <c r="R13" s="37"/>
      <c r="S13" s="35" t="s">
        <v>28</v>
      </c>
      <c r="T13" s="34"/>
      <c r="U13" s="34" t="n">
        <v>2.5</v>
      </c>
      <c r="V13" s="35"/>
      <c r="W13" s="36"/>
      <c r="X13" s="37"/>
      <c r="Y13" s="35" t="s">
        <v>28</v>
      </c>
      <c r="Z13" s="34"/>
      <c r="AA13" s="34" t="n">
        <v>2</v>
      </c>
      <c r="AB13" s="35"/>
      <c r="AC13" s="34"/>
      <c r="AD13" s="45"/>
      <c r="AE13" s="35" t="s">
        <v>28</v>
      </c>
      <c r="AF13" s="34" t="n">
        <v>2.5</v>
      </c>
      <c r="AG13" s="34" t="n">
        <v>2.75</v>
      </c>
      <c r="AH13" s="35"/>
      <c r="AI13" s="36"/>
      <c r="AJ13" s="45"/>
      <c r="AK13" s="35" t="s">
        <v>28</v>
      </c>
      <c r="AL13" s="34"/>
      <c r="AM13" s="34" t="n">
        <v>2.5</v>
      </c>
      <c r="AN13" s="35"/>
      <c r="AO13" s="34"/>
      <c r="AP13" s="45"/>
      <c r="AQ13" s="35" t="s">
        <v>31</v>
      </c>
      <c r="AR13" s="34"/>
      <c r="AS13" s="34" t="n">
        <v>2</v>
      </c>
      <c r="AT13" s="35"/>
      <c r="AU13" s="36"/>
      <c r="AV13" s="45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190</v>
      </c>
      <c r="C14" s="29" t="n">
        <f aca="false">SUM(H14:AW14)</f>
        <v>25.75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20.75</v>
      </c>
      <c r="G14" s="148" t="s">
        <v>34</v>
      </c>
      <c r="H14" s="34"/>
      <c r="I14" s="34" t="n">
        <v>1.75</v>
      </c>
      <c r="J14" s="35"/>
      <c r="K14" s="36"/>
      <c r="L14" s="37"/>
      <c r="M14" s="33" t="s">
        <v>28</v>
      </c>
      <c r="N14" s="34" t="n">
        <v>2.5</v>
      </c>
      <c r="O14" s="34" t="n">
        <v>2.75</v>
      </c>
      <c r="P14" s="35"/>
      <c r="Q14" s="36"/>
      <c r="R14" s="37"/>
      <c r="S14" s="35" t="s">
        <v>28</v>
      </c>
      <c r="T14" s="34"/>
      <c r="U14" s="34" t="n">
        <v>2.75</v>
      </c>
      <c r="V14" s="35" t="s">
        <v>29</v>
      </c>
      <c r="W14" s="36"/>
      <c r="X14" s="37" t="n">
        <v>0.5</v>
      </c>
      <c r="Y14" s="35" t="s">
        <v>30</v>
      </c>
      <c r="Z14" s="34"/>
      <c r="AA14" s="34" t="n">
        <v>2.5</v>
      </c>
      <c r="AB14" s="35"/>
      <c r="AC14" s="36"/>
      <c r="AD14" s="37"/>
      <c r="AE14" s="35" t="s">
        <v>31</v>
      </c>
      <c r="AF14" s="34"/>
      <c r="AG14" s="34" t="n">
        <v>2</v>
      </c>
      <c r="AH14" s="35"/>
      <c r="AI14" s="36"/>
      <c r="AJ14" s="37"/>
      <c r="AK14" s="35" t="s">
        <v>28</v>
      </c>
      <c r="AL14" s="34"/>
      <c r="AM14" s="34" t="n">
        <v>3</v>
      </c>
      <c r="AN14" s="35" t="s">
        <v>29</v>
      </c>
      <c r="AO14" s="36" t="n">
        <v>0.5</v>
      </c>
      <c r="AP14" s="37" t="n">
        <v>1</v>
      </c>
      <c r="AQ14" s="35" t="s">
        <v>28</v>
      </c>
      <c r="AR14" s="34" t="n">
        <v>2.5</v>
      </c>
      <c r="AS14" s="34" t="n">
        <v>4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200</v>
      </c>
      <c r="C15" s="29" t="n">
        <f aca="false">SUM(H15:AW15)</f>
        <v>21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</v>
      </c>
      <c r="G15" s="150" t="s">
        <v>31</v>
      </c>
      <c r="H15" s="50"/>
      <c r="I15" s="50" t="n">
        <v>1.75</v>
      </c>
      <c r="J15" s="51"/>
      <c r="K15" s="52"/>
      <c r="L15" s="53"/>
      <c r="M15" s="49" t="s">
        <v>31</v>
      </c>
      <c r="N15" s="50"/>
      <c r="O15" s="50" t="n">
        <v>2.25</v>
      </c>
      <c r="P15" s="51"/>
      <c r="Q15" s="52"/>
      <c r="R15" s="53"/>
      <c r="S15" s="51" t="s">
        <v>28</v>
      </c>
      <c r="T15" s="50"/>
      <c r="U15" s="50" t="n">
        <v>2.25</v>
      </c>
      <c r="V15" s="51"/>
      <c r="W15" s="52"/>
      <c r="X15" s="53"/>
      <c r="Y15" s="51" t="s">
        <v>34</v>
      </c>
      <c r="Z15" s="50" t="n">
        <v>2.5</v>
      </c>
      <c r="AA15" s="50" t="n">
        <v>3.5</v>
      </c>
      <c r="AB15" s="51"/>
      <c r="AC15" s="52"/>
      <c r="AD15" s="53"/>
      <c r="AE15" s="51" t="s">
        <v>34</v>
      </c>
      <c r="AF15" s="50"/>
      <c r="AG15" s="50" t="n">
        <v>1.25</v>
      </c>
      <c r="AH15" s="51"/>
      <c r="AI15" s="52"/>
      <c r="AJ15" s="53"/>
      <c r="AK15" s="51" t="s">
        <v>28</v>
      </c>
      <c r="AL15" s="50"/>
      <c r="AM15" s="50" t="n">
        <v>1.5</v>
      </c>
      <c r="AN15" s="51" t="s">
        <v>33</v>
      </c>
      <c r="AO15" s="52"/>
      <c r="AP15" s="53"/>
      <c r="AQ15" s="51" t="s">
        <v>30</v>
      </c>
      <c r="AR15" s="50" t="n">
        <v>2.5</v>
      </c>
      <c r="AS15" s="50" t="n">
        <v>3.5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143" t="s">
        <v>201</v>
      </c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9" t="n">
        <v>1.79166666666667</v>
      </c>
      <c r="T16" s="59"/>
      <c r="U16" s="59"/>
      <c r="V16" s="59"/>
      <c r="W16" s="59"/>
      <c r="X16" s="59"/>
      <c r="Y16" s="59" t="n">
        <v>1.79166666666667</v>
      </c>
      <c r="Z16" s="59"/>
      <c r="AA16" s="59"/>
      <c r="AB16" s="59"/>
      <c r="AC16" s="59"/>
      <c r="AD16" s="59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9" t="n">
        <v>2.20833333333333</v>
      </c>
      <c r="AR16" s="59"/>
      <c r="AS16" s="59"/>
      <c r="AT16" s="59"/>
      <c r="AU16" s="59"/>
      <c r="AV16" s="59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9"/>
      <c r="AR17" s="59"/>
      <c r="AS17" s="59"/>
      <c r="AT17" s="59"/>
      <c r="AU17" s="59"/>
      <c r="AV17" s="59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53</v>
      </c>
      <c r="H18" s="65"/>
      <c r="I18" s="65"/>
      <c r="J18" s="65"/>
      <c r="K18" s="65"/>
      <c r="L18" s="65"/>
      <c r="M18" s="66" t="s">
        <v>53</v>
      </c>
      <c r="N18" s="66"/>
      <c r="O18" s="66"/>
      <c r="P18" s="66"/>
      <c r="Q18" s="66"/>
      <c r="R18" s="66"/>
      <c r="S18" s="66" t="s">
        <v>54</v>
      </c>
      <c r="T18" s="66"/>
      <c r="U18" s="66"/>
      <c r="V18" s="66"/>
      <c r="W18" s="66"/>
      <c r="X18" s="66"/>
      <c r="Y18" s="66" t="s">
        <v>54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89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2</v>
      </c>
      <c r="B26" s="4" t="s">
        <v>35</v>
      </c>
      <c r="C26" s="4" t="s">
        <v>64</v>
      </c>
      <c r="D26" s="4" t="n">
        <v>-1</v>
      </c>
    </row>
    <row r="27" customFormat="false" ht="15.75" hidden="false" customHeight="false" outlineLevel="0" collapsed="false">
      <c r="A27" s="76"/>
      <c r="B27" s="4"/>
      <c r="C27" s="4"/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B26:B40" type="list">
      <formula1>'8 Серия'!$B$6:$B$15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202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43</v>
      </c>
      <c r="C6" s="29" t="n">
        <f aca="false">SUM(H6:AW6)</f>
        <v>36.75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24.25</v>
      </c>
      <c r="G6" s="148" t="s">
        <v>34</v>
      </c>
      <c r="H6" s="34" t="n">
        <v>2.5</v>
      </c>
      <c r="I6" s="34" t="n">
        <v>2.75</v>
      </c>
      <c r="J6" s="35"/>
      <c r="K6" s="36"/>
      <c r="L6" s="45"/>
      <c r="M6" s="33" t="s">
        <v>30</v>
      </c>
      <c r="N6" s="34"/>
      <c r="O6" s="34" t="n">
        <v>4.25</v>
      </c>
      <c r="P6" s="35" t="s">
        <v>29</v>
      </c>
      <c r="Q6" s="36" t="n">
        <v>0.5</v>
      </c>
      <c r="R6" s="37" t="n">
        <v>0.5</v>
      </c>
      <c r="S6" s="35" t="s">
        <v>34</v>
      </c>
      <c r="T6" s="34" t="n">
        <v>2.5</v>
      </c>
      <c r="U6" s="34" t="n">
        <v>3</v>
      </c>
      <c r="V6" s="35"/>
      <c r="W6" s="36"/>
      <c r="X6" s="37"/>
      <c r="Y6" s="35" t="s">
        <v>28</v>
      </c>
      <c r="Z6" s="34" t="n">
        <v>2.5</v>
      </c>
      <c r="AA6" s="34" t="n">
        <v>4</v>
      </c>
      <c r="AB6" s="35" t="s">
        <v>36</v>
      </c>
      <c r="AC6" s="36"/>
      <c r="AD6" s="37"/>
      <c r="AE6" s="35" t="s">
        <v>31</v>
      </c>
      <c r="AF6" s="34" t="n">
        <v>2.5</v>
      </c>
      <c r="AG6" s="34" t="n">
        <v>4</v>
      </c>
      <c r="AH6" s="35"/>
      <c r="AI6" s="36"/>
      <c r="AJ6" s="37"/>
      <c r="AK6" s="35" t="s">
        <v>28</v>
      </c>
      <c r="AL6" s="34"/>
      <c r="AM6" s="34" t="n">
        <v>1.25</v>
      </c>
      <c r="AN6" s="35"/>
      <c r="AO6" s="36"/>
      <c r="AP6" s="37"/>
      <c r="AQ6" s="35" t="s">
        <v>31</v>
      </c>
      <c r="AR6" s="34" t="n">
        <v>2.5</v>
      </c>
      <c r="AS6" s="34" t="n">
        <v>4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70</v>
      </c>
      <c r="C7" s="29" t="n">
        <f aca="false">SUM(H7:AW7)</f>
        <v>30</v>
      </c>
      <c r="D7" s="82" t="n">
        <f aca="false">E7/2.5</f>
        <v>3</v>
      </c>
      <c r="E7" s="138" t="n">
        <f aca="false">SUM(H7+N7+T7+Z7+AF7+AL7+AR7)</f>
        <v>7.5</v>
      </c>
      <c r="F7" s="32" t="n">
        <f aca="false">C7-E7</f>
        <v>22.5</v>
      </c>
      <c r="G7" s="148" t="s">
        <v>28</v>
      </c>
      <c r="H7" s="34"/>
      <c r="I7" s="34" t="n">
        <v>3</v>
      </c>
      <c r="J7" s="35"/>
      <c r="K7" s="36"/>
      <c r="L7" s="37"/>
      <c r="M7" s="33" t="s">
        <v>28</v>
      </c>
      <c r="N7" s="34"/>
      <c r="O7" s="34" t="n">
        <v>3.5</v>
      </c>
      <c r="P7" s="35" t="s">
        <v>33</v>
      </c>
      <c r="Q7" s="36"/>
      <c r="R7" s="37"/>
      <c r="S7" s="35" t="s">
        <v>28</v>
      </c>
      <c r="T7" s="34"/>
      <c r="U7" s="34" t="n">
        <v>1.75</v>
      </c>
      <c r="V7" s="35"/>
      <c r="W7" s="36"/>
      <c r="X7" s="37"/>
      <c r="Y7" s="35" t="s">
        <v>28</v>
      </c>
      <c r="Z7" s="34" t="n">
        <v>2.5</v>
      </c>
      <c r="AA7" s="34" t="n">
        <v>3.5</v>
      </c>
      <c r="AB7" s="35" t="s">
        <v>36</v>
      </c>
      <c r="AC7" s="36"/>
      <c r="AD7" s="37"/>
      <c r="AE7" s="35" t="s">
        <v>31</v>
      </c>
      <c r="AF7" s="34" t="n">
        <v>2.5</v>
      </c>
      <c r="AG7" s="34" t="n">
        <v>3.75</v>
      </c>
      <c r="AH7" s="35"/>
      <c r="AI7" s="36"/>
      <c r="AJ7" s="37"/>
      <c r="AK7" s="35" t="s">
        <v>34</v>
      </c>
      <c r="AL7" s="34" t="n">
        <v>2.5</v>
      </c>
      <c r="AM7" s="34" t="n">
        <v>4.5</v>
      </c>
      <c r="AN7" s="35"/>
      <c r="AO7" s="36"/>
      <c r="AP7" s="37"/>
      <c r="AQ7" s="35" t="s">
        <v>30</v>
      </c>
      <c r="AR7" s="34"/>
      <c r="AS7" s="34" t="n">
        <v>2.5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71</v>
      </c>
      <c r="C8" s="29" t="n">
        <f aca="false">SUM(H8:AW8)</f>
        <v>27.75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17.75</v>
      </c>
      <c r="G8" s="148" t="s">
        <v>31</v>
      </c>
      <c r="H8" s="34" t="n">
        <v>2.5</v>
      </c>
      <c r="I8" s="34" t="n">
        <v>3.75</v>
      </c>
      <c r="J8" s="35"/>
      <c r="K8" s="36"/>
      <c r="L8" s="37"/>
      <c r="M8" s="33" t="s">
        <v>31</v>
      </c>
      <c r="N8" s="34" t="n">
        <v>2.5</v>
      </c>
      <c r="O8" s="34" t="n">
        <v>2.25</v>
      </c>
      <c r="P8" s="35"/>
      <c r="Q8" s="36"/>
      <c r="R8" s="37"/>
      <c r="S8" s="35" t="s">
        <v>31</v>
      </c>
      <c r="T8" s="34" t="n">
        <v>2.5</v>
      </c>
      <c r="U8" s="34" t="n">
        <v>3.5</v>
      </c>
      <c r="V8" s="35"/>
      <c r="W8" s="36"/>
      <c r="X8" s="45"/>
      <c r="Y8" s="35" t="s">
        <v>28</v>
      </c>
      <c r="Z8" s="34" t="n">
        <v>2.5</v>
      </c>
      <c r="AA8" s="34" t="n">
        <v>2</v>
      </c>
      <c r="AB8" s="35"/>
      <c r="AC8" s="36"/>
      <c r="AD8" s="37"/>
      <c r="AE8" s="35" t="s">
        <v>30</v>
      </c>
      <c r="AF8" s="34"/>
      <c r="AG8" s="34" t="n">
        <v>2.5</v>
      </c>
      <c r="AH8" s="35" t="s">
        <v>29</v>
      </c>
      <c r="AI8" s="36" t="n">
        <v>0.5</v>
      </c>
      <c r="AJ8" s="37" t="n">
        <v>0.5</v>
      </c>
      <c r="AK8" s="35" t="s">
        <v>30</v>
      </c>
      <c r="AL8" s="34"/>
      <c r="AM8" s="43" t="n">
        <v>1.75</v>
      </c>
      <c r="AN8" s="35"/>
      <c r="AO8" s="36"/>
      <c r="AP8" s="37"/>
      <c r="AQ8" s="35" t="s">
        <v>28</v>
      </c>
      <c r="AR8" s="34"/>
      <c r="AS8" s="34" t="n">
        <v>3.5</v>
      </c>
      <c r="AT8" s="35"/>
      <c r="AU8" s="36"/>
      <c r="AV8" s="37"/>
      <c r="AW8" s="32" t="n">
        <v>-2.5</v>
      </c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188</v>
      </c>
      <c r="C9" s="29" t="n">
        <f aca="false">SUM(H9:AW9)</f>
        <v>27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19.5</v>
      </c>
      <c r="G9" s="148" t="s">
        <v>28</v>
      </c>
      <c r="H9" s="34"/>
      <c r="I9" s="34" t="n">
        <v>2.75</v>
      </c>
      <c r="J9" s="35"/>
      <c r="K9" s="36"/>
      <c r="L9" s="37"/>
      <c r="M9" s="33" t="s">
        <v>28</v>
      </c>
      <c r="N9" s="34"/>
      <c r="O9" s="34" t="n">
        <v>1.75</v>
      </c>
      <c r="P9" s="35"/>
      <c r="Q9" s="36"/>
      <c r="R9" s="37"/>
      <c r="S9" s="35" t="s">
        <v>28</v>
      </c>
      <c r="T9" s="34"/>
      <c r="U9" s="34" t="n">
        <v>3.5</v>
      </c>
      <c r="V9" s="35"/>
      <c r="W9" s="36"/>
      <c r="X9" s="37"/>
      <c r="Y9" s="35" t="s">
        <v>28</v>
      </c>
      <c r="Z9" s="34" t="n">
        <v>2.5</v>
      </c>
      <c r="AA9" s="34" t="n">
        <v>3.25</v>
      </c>
      <c r="AB9" s="35"/>
      <c r="AC9" s="36"/>
      <c r="AD9" s="37"/>
      <c r="AE9" s="35" t="s">
        <v>28</v>
      </c>
      <c r="AF9" s="34"/>
      <c r="AG9" s="34" t="n">
        <v>2</v>
      </c>
      <c r="AH9" s="35"/>
      <c r="AI9" s="36"/>
      <c r="AJ9" s="37"/>
      <c r="AK9" s="35" t="s">
        <v>31</v>
      </c>
      <c r="AL9" s="34" t="n">
        <v>2.5</v>
      </c>
      <c r="AM9" s="34" t="n">
        <v>3.25</v>
      </c>
      <c r="AN9" s="35"/>
      <c r="AO9" s="36"/>
      <c r="AP9" s="37"/>
      <c r="AQ9" s="35" t="s">
        <v>31</v>
      </c>
      <c r="AR9" s="34" t="n">
        <v>2.5</v>
      </c>
      <c r="AS9" s="34" t="n">
        <v>3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32</v>
      </c>
      <c r="C10" s="29" t="n">
        <f aca="false">SUM(H10:AW10)</f>
        <v>26.5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19</v>
      </c>
      <c r="G10" s="148" t="s">
        <v>28</v>
      </c>
      <c r="H10" s="34"/>
      <c r="I10" s="43" t="n">
        <v>2</v>
      </c>
      <c r="J10" s="35"/>
      <c r="K10" s="36"/>
      <c r="L10" s="37"/>
      <c r="M10" s="33" t="s">
        <v>34</v>
      </c>
      <c r="N10" s="34" t="n">
        <v>2.5</v>
      </c>
      <c r="O10" s="43" t="n">
        <v>3.5</v>
      </c>
      <c r="P10" s="35" t="s">
        <v>36</v>
      </c>
      <c r="Q10" s="36"/>
      <c r="R10" s="37"/>
      <c r="S10" s="35" t="s">
        <v>30</v>
      </c>
      <c r="T10" s="34"/>
      <c r="U10" s="34" t="n">
        <v>1.75</v>
      </c>
      <c r="V10" s="35" t="s">
        <v>29</v>
      </c>
      <c r="W10" s="36"/>
      <c r="X10" s="37" t="n">
        <v>0.5</v>
      </c>
      <c r="Y10" s="35" t="s">
        <v>30</v>
      </c>
      <c r="Z10" s="34" t="n">
        <v>2.5</v>
      </c>
      <c r="AA10" s="34" t="n">
        <v>3.5</v>
      </c>
      <c r="AB10" s="35"/>
      <c r="AC10" s="34"/>
      <c r="AD10" s="45"/>
      <c r="AE10" s="35" t="s">
        <v>34</v>
      </c>
      <c r="AF10" s="34" t="n">
        <v>2.5</v>
      </c>
      <c r="AG10" s="34" t="n">
        <v>2.75</v>
      </c>
      <c r="AH10" s="35"/>
      <c r="AI10" s="36"/>
      <c r="AJ10" s="45"/>
      <c r="AK10" s="35" t="s">
        <v>28</v>
      </c>
      <c r="AL10" s="34"/>
      <c r="AM10" s="43" t="n">
        <v>0.75</v>
      </c>
      <c r="AN10" s="35" t="s">
        <v>29</v>
      </c>
      <c r="AO10" s="34" t="n">
        <v>0</v>
      </c>
      <c r="AP10" s="45" t="n">
        <v>1</v>
      </c>
      <c r="AQ10" s="35" t="s">
        <v>28</v>
      </c>
      <c r="AR10" s="34"/>
      <c r="AS10" s="34" t="n">
        <v>3.25</v>
      </c>
      <c r="AT10" s="35"/>
      <c r="AU10" s="36"/>
      <c r="AV10" s="45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184</v>
      </c>
      <c r="C11" s="29" t="n">
        <f aca="false">SUM(H11:AW11)</f>
        <v>25.75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18.25</v>
      </c>
      <c r="G11" s="148" t="s">
        <v>31</v>
      </c>
      <c r="H11" s="34" t="n">
        <v>2.5</v>
      </c>
      <c r="I11" s="34" t="n">
        <v>3.25</v>
      </c>
      <c r="J11" s="35"/>
      <c r="K11" s="36"/>
      <c r="L11" s="37"/>
      <c r="M11" s="33" t="s">
        <v>28</v>
      </c>
      <c r="N11" s="34"/>
      <c r="O11" s="34" t="n">
        <v>3</v>
      </c>
      <c r="P11" s="35"/>
      <c r="Q11" s="36"/>
      <c r="R11" s="37"/>
      <c r="S11" s="35" t="s">
        <v>31</v>
      </c>
      <c r="T11" s="34" t="n">
        <v>2.5</v>
      </c>
      <c r="U11" s="34" t="n">
        <v>3.5</v>
      </c>
      <c r="V11" s="35"/>
      <c r="W11" s="36"/>
      <c r="X11" s="37"/>
      <c r="Y11" s="35" t="s">
        <v>28</v>
      </c>
      <c r="Z11" s="34" t="n">
        <v>2.5</v>
      </c>
      <c r="AA11" s="34" t="n">
        <v>2.5</v>
      </c>
      <c r="AB11" s="35"/>
      <c r="AC11" s="36"/>
      <c r="AD11" s="37"/>
      <c r="AE11" s="35" t="s">
        <v>28</v>
      </c>
      <c r="AF11" s="34"/>
      <c r="AG11" s="34" t="n">
        <v>2.25</v>
      </c>
      <c r="AH11" s="35"/>
      <c r="AI11" s="36"/>
      <c r="AJ11" s="37"/>
      <c r="AK11" s="35" t="s">
        <v>28</v>
      </c>
      <c r="AL11" s="34"/>
      <c r="AM11" s="34" t="n">
        <v>2</v>
      </c>
      <c r="AN11" s="35"/>
      <c r="AO11" s="36"/>
      <c r="AP11" s="37"/>
      <c r="AQ11" s="35" t="s">
        <v>28</v>
      </c>
      <c r="AR11" s="34"/>
      <c r="AS11" s="34" t="n">
        <v>1.75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190</v>
      </c>
      <c r="C12" s="29" t="n">
        <f aca="false">SUM(H12:AW12)</f>
        <v>24.5</v>
      </c>
      <c r="D12" s="82" t="n">
        <f aca="false">E12/2.5</f>
        <v>2</v>
      </c>
      <c r="E12" s="138" t="n">
        <f aca="false">SUM(H12+N12+T12+Z12+AF12+AL12+AR12)</f>
        <v>5</v>
      </c>
      <c r="F12" s="32" t="n">
        <f aca="false">C12-E12</f>
        <v>19.5</v>
      </c>
      <c r="G12" s="148" t="s">
        <v>30</v>
      </c>
      <c r="H12" s="34"/>
      <c r="I12" s="34" t="n">
        <v>2.5</v>
      </c>
      <c r="J12" s="35" t="s">
        <v>29</v>
      </c>
      <c r="K12" s="36"/>
      <c r="L12" s="37" t="n">
        <v>0.5</v>
      </c>
      <c r="M12" s="33" t="s">
        <v>28</v>
      </c>
      <c r="N12" s="34"/>
      <c r="O12" s="43" t="n">
        <v>1.75</v>
      </c>
      <c r="P12" s="35"/>
      <c r="Q12" s="36"/>
      <c r="R12" s="37"/>
      <c r="S12" s="35" t="s">
        <v>28</v>
      </c>
      <c r="T12" s="34"/>
      <c r="U12" s="34" t="n">
        <v>2.25</v>
      </c>
      <c r="V12" s="35"/>
      <c r="W12" s="36"/>
      <c r="X12" s="37"/>
      <c r="Y12" s="35" t="s">
        <v>28</v>
      </c>
      <c r="Z12" s="34" t="n">
        <v>2.5</v>
      </c>
      <c r="AA12" s="34" t="n">
        <v>3</v>
      </c>
      <c r="AB12" s="35"/>
      <c r="AC12" s="36"/>
      <c r="AD12" s="37"/>
      <c r="AE12" s="35" t="s">
        <v>28</v>
      </c>
      <c r="AF12" s="34"/>
      <c r="AG12" s="34" t="n">
        <v>2.5</v>
      </c>
      <c r="AH12" s="35"/>
      <c r="AI12" s="36"/>
      <c r="AJ12" s="37"/>
      <c r="AK12" s="35" t="s">
        <v>31</v>
      </c>
      <c r="AL12" s="34" t="n">
        <v>2.5</v>
      </c>
      <c r="AM12" s="34" t="n">
        <v>3.5</v>
      </c>
      <c r="AN12" s="35"/>
      <c r="AO12" s="36"/>
      <c r="AP12" s="37"/>
      <c r="AQ12" s="35" t="s">
        <v>28</v>
      </c>
      <c r="AR12" s="34"/>
      <c r="AS12" s="34" t="n">
        <v>2.5</v>
      </c>
      <c r="AT12" s="35" t="s">
        <v>29</v>
      </c>
      <c r="AU12" s="36"/>
      <c r="AV12" s="37" t="n">
        <v>1</v>
      </c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203</v>
      </c>
      <c r="C13" s="29" t="n">
        <f aca="false">SUM(H13:AW13)</f>
        <v>20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15</v>
      </c>
      <c r="G13" s="148" t="s">
        <v>28</v>
      </c>
      <c r="H13" s="34"/>
      <c r="I13" s="34" t="n">
        <v>1.75</v>
      </c>
      <c r="J13" s="35"/>
      <c r="K13" s="36"/>
      <c r="L13" s="37"/>
      <c r="M13" s="33" t="s">
        <v>31</v>
      </c>
      <c r="N13" s="34" t="n">
        <v>2.5</v>
      </c>
      <c r="O13" s="34" t="n">
        <v>3.25</v>
      </c>
      <c r="P13" s="35"/>
      <c r="Q13" s="36"/>
      <c r="R13" s="37"/>
      <c r="S13" s="35" t="s">
        <v>28</v>
      </c>
      <c r="T13" s="34"/>
      <c r="U13" s="43" t="n">
        <v>1.5</v>
      </c>
      <c r="V13" s="35"/>
      <c r="W13" s="36"/>
      <c r="X13" s="37"/>
      <c r="Y13" s="35" t="s">
        <v>31</v>
      </c>
      <c r="Z13" s="34"/>
      <c r="AA13" s="34" t="n">
        <v>2</v>
      </c>
      <c r="AB13" s="35"/>
      <c r="AC13" s="36"/>
      <c r="AD13" s="37"/>
      <c r="AE13" s="35" t="s">
        <v>28</v>
      </c>
      <c r="AF13" s="34"/>
      <c r="AG13" s="34" t="n">
        <v>1.75</v>
      </c>
      <c r="AH13" s="35"/>
      <c r="AI13" s="36"/>
      <c r="AJ13" s="37"/>
      <c r="AK13" s="35" t="s">
        <v>28</v>
      </c>
      <c r="AL13" s="34"/>
      <c r="AM13" s="34" t="n">
        <v>1.5</v>
      </c>
      <c r="AN13" s="35"/>
      <c r="AO13" s="36"/>
      <c r="AP13" s="37"/>
      <c r="AQ13" s="35" t="s">
        <v>34</v>
      </c>
      <c r="AR13" s="34" t="n">
        <v>2.5</v>
      </c>
      <c r="AS13" s="34" t="n">
        <v>3.25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204</v>
      </c>
      <c r="C14" s="29" t="n">
        <f aca="false">SUM(H14:AW14)</f>
        <v>16.25</v>
      </c>
      <c r="D14" s="82" t="n">
        <f aca="false">E14/2.5</f>
        <v>0</v>
      </c>
      <c r="E14" s="138" t="n">
        <f aca="false">SUM(H14+N14+T14+Z14+AF14+AL14+AR14)</f>
        <v>0</v>
      </c>
      <c r="F14" s="32" t="n">
        <f aca="false">C14-E14</f>
        <v>16.25</v>
      </c>
      <c r="G14" s="148" t="s">
        <v>28</v>
      </c>
      <c r="H14" s="34"/>
      <c r="I14" s="34" t="n">
        <v>2.5</v>
      </c>
      <c r="J14" s="35"/>
      <c r="K14" s="36"/>
      <c r="L14" s="37"/>
      <c r="M14" s="33" t="s">
        <v>28</v>
      </c>
      <c r="N14" s="34"/>
      <c r="O14" s="34" t="n">
        <v>2</v>
      </c>
      <c r="P14" s="35" t="s">
        <v>33</v>
      </c>
      <c r="Q14" s="36"/>
      <c r="R14" s="37"/>
      <c r="S14" s="35" t="s">
        <v>28</v>
      </c>
      <c r="T14" s="34"/>
      <c r="U14" s="34" t="n">
        <v>2.75</v>
      </c>
      <c r="V14" s="35"/>
      <c r="W14" s="36"/>
      <c r="X14" s="37"/>
      <c r="Y14" s="35" t="s">
        <v>31</v>
      </c>
      <c r="Z14" s="34"/>
      <c r="AA14" s="34" t="n">
        <v>2.75</v>
      </c>
      <c r="AB14" s="35" t="s">
        <v>33</v>
      </c>
      <c r="AC14" s="36"/>
      <c r="AD14" s="37"/>
      <c r="AE14" s="35" t="s">
        <v>28</v>
      </c>
      <c r="AF14" s="34"/>
      <c r="AG14" s="34" t="n">
        <v>2</v>
      </c>
      <c r="AH14" s="35"/>
      <c r="AI14" s="36"/>
      <c r="AJ14" s="37"/>
      <c r="AK14" s="35" t="s">
        <v>28</v>
      </c>
      <c r="AL14" s="34"/>
      <c r="AM14" s="34" t="n">
        <v>2</v>
      </c>
      <c r="AN14" s="35"/>
      <c r="AO14" s="36"/>
      <c r="AP14" s="37"/>
      <c r="AQ14" s="35" t="s">
        <v>28</v>
      </c>
      <c r="AR14" s="34"/>
      <c r="AS14" s="34" t="n">
        <v>2.25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192</v>
      </c>
      <c r="C15" s="29" t="n">
        <f aca="false">SUM(H15:AW15)</f>
        <v>14.25</v>
      </c>
      <c r="D15" s="85" t="n">
        <f aca="false">E15/2.5</f>
        <v>0</v>
      </c>
      <c r="E15" s="149" t="n">
        <f aca="false">SUM(H15+N15+T15+Z15+AF15+AL15+AR15)</f>
        <v>0</v>
      </c>
      <c r="F15" s="55" t="n">
        <f aca="false">C15-E15</f>
        <v>14.25</v>
      </c>
      <c r="G15" s="150" t="s">
        <v>28</v>
      </c>
      <c r="H15" s="50"/>
      <c r="I15" s="50" t="n">
        <v>2</v>
      </c>
      <c r="J15" s="51"/>
      <c r="K15" s="52"/>
      <c r="L15" s="53"/>
      <c r="M15" s="49" t="s">
        <v>28</v>
      </c>
      <c r="N15" s="50"/>
      <c r="O15" s="50" t="n">
        <v>2.5</v>
      </c>
      <c r="P15" s="51"/>
      <c r="Q15" s="52"/>
      <c r="R15" s="94"/>
      <c r="S15" s="51" t="s">
        <v>28</v>
      </c>
      <c r="T15" s="50"/>
      <c r="U15" s="50" t="n">
        <v>2.25</v>
      </c>
      <c r="V15" s="51"/>
      <c r="W15" s="52"/>
      <c r="X15" s="53"/>
      <c r="Y15" s="51" t="s">
        <v>34</v>
      </c>
      <c r="Z15" s="50"/>
      <c r="AA15" s="93" t="n">
        <v>1.25</v>
      </c>
      <c r="AB15" s="51"/>
      <c r="AC15" s="52"/>
      <c r="AD15" s="53"/>
      <c r="AE15" s="51" t="s">
        <v>28</v>
      </c>
      <c r="AF15" s="50"/>
      <c r="AG15" s="50" t="n">
        <v>2.75</v>
      </c>
      <c r="AH15" s="51"/>
      <c r="AI15" s="52"/>
      <c r="AJ15" s="53"/>
      <c r="AK15" s="51" t="s">
        <v>28</v>
      </c>
      <c r="AL15" s="50"/>
      <c r="AM15" s="50" t="n">
        <v>1.75</v>
      </c>
      <c r="AN15" s="51"/>
      <c r="AO15" s="52"/>
      <c r="AP15" s="53"/>
      <c r="AQ15" s="51" t="s">
        <v>28</v>
      </c>
      <c r="AR15" s="50"/>
      <c r="AS15" s="50" t="n">
        <v>1.75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57" t="n">
        <v>1.94722222222222</v>
      </c>
      <c r="H16" s="57"/>
      <c r="I16" s="57"/>
      <c r="J16" s="57"/>
      <c r="K16" s="57"/>
      <c r="L16" s="57"/>
      <c r="M16" s="59" t="n">
        <v>2.17222222222222</v>
      </c>
      <c r="N16" s="59"/>
      <c r="O16" s="59"/>
      <c r="P16" s="59"/>
      <c r="Q16" s="59"/>
      <c r="R16" s="59"/>
      <c r="S16" s="59" t="n">
        <v>1.66736111111111</v>
      </c>
      <c r="T16" s="59"/>
      <c r="U16" s="59"/>
      <c r="V16" s="59"/>
      <c r="W16" s="59"/>
      <c r="X16" s="59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52</v>
      </c>
      <c r="H18" s="65"/>
      <c r="I18" s="65"/>
      <c r="J18" s="65"/>
      <c r="K18" s="65"/>
      <c r="L18" s="65"/>
      <c r="M18" s="66" t="s">
        <v>51</v>
      </c>
      <c r="N18" s="66"/>
      <c r="O18" s="66"/>
      <c r="P18" s="66"/>
      <c r="Q18" s="66"/>
      <c r="R18" s="66"/>
      <c r="S18" s="66" t="s">
        <v>52</v>
      </c>
      <c r="T18" s="66"/>
      <c r="U18" s="66"/>
      <c r="V18" s="66"/>
      <c r="W18" s="66"/>
      <c r="X18" s="66"/>
      <c r="Y18" s="66" t="s">
        <v>50</v>
      </c>
      <c r="Z18" s="66"/>
      <c r="AA18" s="66"/>
      <c r="AB18" s="66"/>
      <c r="AC18" s="66"/>
      <c r="AD18" s="66"/>
      <c r="AE18" s="66" t="s">
        <v>52</v>
      </c>
      <c r="AF18" s="66"/>
      <c r="AG18" s="66"/>
      <c r="AH18" s="66"/>
      <c r="AI18" s="66"/>
      <c r="AJ18" s="66"/>
      <c r="AK18" s="66" t="s">
        <v>54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1</v>
      </c>
      <c r="B26" s="4" t="s">
        <v>32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2</v>
      </c>
      <c r="B27" s="4" t="s">
        <v>190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 t="n">
        <v>2</v>
      </c>
      <c r="B28" s="4" t="s">
        <v>32</v>
      </c>
      <c r="C28" s="4" t="s">
        <v>65</v>
      </c>
      <c r="D28" s="4" t="n">
        <v>-1</v>
      </c>
    </row>
    <row r="29" customFormat="false" ht="15.75" hidden="false" customHeight="false" outlineLevel="0" collapsed="false">
      <c r="A29" s="4" t="n">
        <v>3</v>
      </c>
      <c r="B29" s="4" t="s">
        <v>203</v>
      </c>
      <c r="C29" s="4" t="s">
        <v>65</v>
      </c>
      <c r="D29" s="4" t="n">
        <v>-0.5</v>
      </c>
    </row>
    <row r="30" customFormat="false" ht="15.75" hidden="false" customHeight="false" outlineLevel="0" collapsed="false">
      <c r="A30" s="4" t="n">
        <v>4</v>
      </c>
      <c r="B30" s="4" t="s">
        <v>192</v>
      </c>
      <c r="C30" s="4" t="s">
        <v>65</v>
      </c>
      <c r="D30" s="4" t="n">
        <v>-0.5</v>
      </c>
    </row>
    <row r="31" customFormat="false" ht="15.75" hidden="false" customHeight="false" outlineLevel="0" collapsed="false">
      <c r="A31" s="4" t="n">
        <v>6</v>
      </c>
      <c r="B31" s="4" t="s">
        <v>32</v>
      </c>
      <c r="C31" s="4" t="s">
        <v>65</v>
      </c>
      <c r="D31" s="4" t="n">
        <v>-1.5</v>
      </c>
    </row>
    <row r="32" customFormat="false" ht="15.75" hidden="false" customHeight="false" outlineLevel="0" collapsed="false">
      <c r="A32" s="4" t="n">
        <v>6</v>
      </c>
      <c r="B32" s="4" t="s">
        <v>71</v>
      </c>
      <c r="C32" s="4" t="s">
        <v>65</v>
      </c>
      <c r="D32" s="4" t="n">
        <v>-0.5</v>
      </c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'9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67</v>
      </c>
      <c r="C6" s="29" t="n">
        <f aca="false">SUM(H6:AW6)</f>
        <v>32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22</v>
      </c>
      <c r="G6" s="148" t="s">
        <v>28</v>
      </c>
      <c r="H6" s="34"/>
      <c r="I6" s="34" t="n">
        <v>1.75</v>
      </c>
      <c r="J6" s="35"/>
      <c r="K6" s="36"/>
      <c r="L6" s="45"/>
      <c r="M6" s="33" t="s">
        <v>28</v>
      </c>
      <c r="N6" s="34" t="n">
        <v>2.5</v>
      </c>
      <c r="O6" s="34" t="n">
        <v>4.25</v>
      </c>
      <c r="P6" s="35" t="s">
        <v>36</v>
      </c>
      <c r="Q6" s="36"/>
      <c r="R6" s="37"/>
      <c r="S6" s="35" t="s">
        <v>31</v>
      </c>
      <c r="T6" s="34" t="n">
        <v>2.5</v>
      </c>
      <c r="U6" s="34" t="n">
        <v>3.75</v>
      </c>
      <c r="V6" s="35"/>
      <c r="W6" s="36"/>
      <c r="X6" s="37"/>
      <c r="Y6" s="35" t="s">
        <v>28</v>
      </c>
      <c r="Z6" s="34" t="n">
        <v>2.5</v>
      </c>
      <c r="AA6" s="34" t="n">
        <v>3</v>
      </c>
      <c r="AB6" s="35" t="s">
        <v>29</v>
      </c>
      <c r="AC6" s="36" t="n">
        <v>0.5</v>
      </c>
      <c r="AD6" s="37" t="n">
        <v>0.5</v>
      </c>
      <c r="AE6" s="35" t="s">
        <v>28</v>
      </c>
      <c r="AF6" s="34" t="n">
        <v>2.5</v>
      </c>
      <c r="AG6" s="34" t="n">
        <v>3.25</v>
      </c>
      <c r="AH6" s="35"/>
      <c r="AI6" s="36"/>
      <c r="AJ6" s="37"/>
      <c r="AK6" s="35" t="s">
        <v>28</v>
      </c>
      <c r="AL6" s="34"/>
      <c r="AM6" s="34" t="n">
        <v>2</v>
      </c>
      <c r="AN6" s="35"/>
      <c r="AO6" s="36"/>
      <c r="AP6" s="37"/>
      <c r="AQ6" s="35" t="s">
        <v>28</v>
      </c>
      <c r="AR6" s="34"/>
      <c r="AS6" s="43" t="n">
        <v>3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206</v>
      </c>
      <c r="C7" s="29" t="n">
        <f aca="false">SUM(H7:AW7)</f>
        <v>31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21</v>
      </c>
      <c r="G7" s="148" t="s">
        <v>34</v>
      </c>
      <c r="H7" s="34" t="n">
        <v>2.5</v>
      </c>
      <c r="I7" s="34" t="n">
        <v>4</v>
      </c>
      <c r="J7" s="35"/>
      <c r="K7" s="36"/>
      <c r="L7" s="37"/>
      <c r="M7" s="33" t="s">
        <v>28</v>
      </c>
      <c r="N7" s="34" t="n">
        <v>2.5</v>
      </c>
      <c r="O7" s="34" t="n">
        <v>1.25</v>
      </c>
      <c r="P7" s="35"/>
      <c r="Q7" s="36"/>
      <c r="R7" s="37"/>
      <c r="S7" s="35" t="s">
        <v>28</v>
      </c>
      <c r="T7" s="34"/>
      <c r="U7" s="34" t="n">
        <v>2.75</v>
      </c>
      <c r="V7" s="35" t="s">
        <v>29</v>
      </c>
      <c r="W7" s="36"/>
      <c r="X7" s="37" t="n">
        <v>0.5</v>
      </c>
      <c r="Y7" s="35" t="s">
        <v>34</v>
      </c>
      <c r="Z7" s="34"/>
      <c r="AA7" s="34" t="n">
        <v>3</v>
      </c>
      <c r="AB7" s="35"/>
      <c r="AC7" s="36"/>
      <c r="AD7" s="37"/>
      <c r="AE7" s="35" t="s">
        <v>34</v>
      </c>
      <c r="AF7" s="34"/>
      <c r="AG7" s="34" t="n">
        <v>2.25</v>
      </c>
      <c r="AH7" s="35"/>
      <c r="AI7" s="36"/>
      <c r="AJ7" s="37"/>
      <c r="AK7" s="35" t="s">
        <v>31</v>
      </c>
      <c r="AL7" s="34" t="n">
        <v>2.5</v>
      </c>
      <c r="AM7" s="34" t="n">
        <v>3.75</v>
      </c>
      <c r="AN7" s="35"/>
      <c r="AO7" s="36"/>
      <c r="AP7" s="37"/>
      <c r="AQ7" s="35" t="s">
        <v>31</v>
      </c>
      <c r="AR7" s="34" t="n">
        <v>2.5</v>
      </c>
      <c r="AS7" s="34" t="n">
        <v>3.5</v>
      </c>
      <c r="AT7" s="35" t="s">
        <v>36</v>
      </c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147</v>
      </c>
      <c r="C8" s="29" t="n">
        <f aca="false">SUM(H8:AW8)</f>
        <v>30.25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20.25</v>
      </c>
      <c r="G8" s="148" t="s">
        <v>28</v>
      </c>
      <c r="H8" s="34"/>
      <c r="I8" s="34" t="n">
        <v>1.5</v>
      </c>
      <c r="J8" s="35"/>
      <c r="K8" s="36"/>
      <c r="L8" s="37"/>
      <c r="M8" s="33" t="s">
        <v>34</v>
      </c>
      <c r="N8" s="34"/>
      <c r="O8" s="34" t="n">
        <v>2</v>
      </c>
      <c r="P8" s="35" t="s">
        <v>33</v>
      </c>
      <c r="Q8" s="36"/>
      <c r="R8" s="37"/>
      <c r="S8" s="35" t="s">
        <v>34</v>
      </c>
      <c r="T8" s="34" t="n">
        <v>2.5</v>
      </c>
      <c r="U8" s="34" t="n">
        <v>4</v>
      </c>
      <c r="V8" s="35"/>
      <c r="W8" s="36"/>
      <c r="X8" s="37"/>
      <c r="Y8" s="35" t="s">
        <v>31</v>
      </c>
      <c r="Z8" s="34"/>
      <c r="AA8" s="34" t="n">
        <v>2</v>
      </c>
      <c r="AB8" s="35"/>
      <c r="AC8" s="36"/>
      <c r="AD8" s="37"/>
      <c r="AE8" s="35" t="s">
        <v>28</v>
      </c>
      <c r="AF8" s="34" t="n">
        <v>2.5</v>
      </c>
      <c r="AG8" s="34" t="n">
        <v>2.5</v>
      </c>
      <c r="AH8" s="35"/>
      <c r="AI8" s="36"/>
      <c r="AJ8" s="37"/>
      <c r="AK8" s="35" t="s">
        <v>34</v>
      </c>
      <c r="AL8" s="34" t="n">
        <v>2.5</v>
      </c>
      <c r="AM8" s="34" t="n">
        <v>4.25</v>
      </c>
      <c r="AN8" s="35"/>
      <c r="AO8" s="36"/>
      <c r="AP8" s="37"/>
      <c r="AQ8" s="35" t="s">
        <v>34</v>
      </c>
      <c r="AR8" s="34" t="n">
        <v>2.5</v>
      </c>
      <c r="AS8" s="34" t="n">
        <v>4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179</v>
      </c>
      <c r="C9" s="29" t="n">
        <f aca="false">SUM(H9:AW9)</f>
        <v>30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20</v>
      </c>
      <c r="G9" s="148" t="s">
        <v>30</v>
      </c>
      <c r="H9" s="34"/>
      <c r="I9" s="34" t="n">
        <v>3.25</v>
      </c>
      <c r="J9" s="35" t="s">
        <v>29</v>
      </c>
      <c r="K9" s="36" t="n">
        <v>0.5</v>
      </c>
      <c r="L9" s="37" t="n">
        <v>0.5</v>
      </c>
      <c r="M9" s="33" t="s">
        <v>28</v>
      </c>
      <c r="N9" s="34" t="n">
        <v>2.5</v>
      </c>
      <c r="O9" s="34" t="n">
        <v>3.75</v>
      </c>
      <c r="P9" s="35"/>
      <c r="Q9" s="36"/>
      <c r="R9" s="37"/>
      <c r="S9" s="35" t="s">
        <v>31</v>
      </c>
      <c r="T9" s="34" t="n">
        <v>2.5</v>
      </c>
      <c r="U9" s="34" t="n">
        <v>3.5</v>
      </c>
      <c r="V9" s="35"/>
      <c r="W9" s="36"/>
      <c r="X9" s="37"/>
      <c r="Y9" s="35" t="s">
        <v>31</v>
      </c>
      <c r="Z9" s="34"/>
      <c r="AA9" s="34" t="n">
        <v>1.25</v>
      </c>
      <c r="AB9" s="35"/>
      <c r="AC9" s="36"/>
      <c r="AD9" s="37"/>
      <c r="AE9" s="35" t="s">
        <v>28</v>
      </c>
      <c r="AF9" s="34" t="n">
        <v>2.5</v>
      </c>
      <c r="AG9" s="34" t="n">
        <v>2</v>
      </c>
      <c r="AH9" s="35" t="s">
        <v>29</v>
      </c>
      <c r="AI9" s="36"/>
      <c r="AJ9" s="37" t="n">
        <v>1</v>
      </c>
      <c r="AK9" s="35" t="s">
        <v>28</v>
      </c>
      <c r="AL9" s="34"/>
      <c r="AM9" s="34" t="n">
        <v>1.75</v>
      </c>
      <c r="AN9" s="35"/>
      <c r="AO9" s="36"/>
      <c r="AP9" s="37"/>
      <c r="AQ9" s="35" t="s">
        <v>31</v>
      </c>
      <c r="AR9" s="34" t="n">
        <v>2.5</v>
      </c>
      <c r="AS9" s="34" t="n">
        <v>2.5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150</v>
      </c>
      <c r="C10" s="29" t="n">
        <f aca="false">SUM(H10:AW10)</f>
        <v>29.25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19.25</v>
      </c>
      <c r="G10" s="148" t="s">
        <v>31</v>
      </c>
      <c r="H10" s="34" t="n">
        <v>2.5</v>
      </c>
      <c r="I10" s="34" t="n">
        <v>3.25</v>
      </c>
      <c r="J10" s="35"/>
      <c r="K10" s="36"/>
      <c r="L10" s="37"/>
      <c r="M10" s="33" t="s">
        <v>28</v>
      </c>
      <c r="N10" s="34" t="n">
        <v>2.5</v>
      </c>
      <c r="O10" s="34" t="n">
        <v>1.75</v>
      </c>
      <c r="P10" s="35" t="s">
        <v>29</v>
      </c>
      <c r="Q10" s="36"/>
      <c r="R10" s="37" t="n">
        <v>0.5</v>
      </c>
      <c r="S10" s="35" t="s">
        <v>30</v>
      </c>
      <c r="T10" s="34"/>
      <c r="U10" s="34" t="n">
        <v>1.75</v>
      </c>
      <c r="V10" s="35"/>
      <c r="W10" s="36"/>
      <c r="X10" s="45"/>
      <c r="Y10" s="35" t="s">
        <v>28</v>
      </c>
      <c r="Z10" s="34" t="n">
        <v>2.5</v>
      </c>
      <c r="AA10" s="34" t="n">
        <v>2.75</v>
      </c>
      <c r="AB10" s="35"/>
      <c r="AC10" s="36"/>
      <c r="AD10" s="37"/>
      <c r="AE10" s="35" t="s">
        <v>28</v>
      </c>
      <c r="AF10" s="34" t="n">
        <v>2.5</v>
      </c>
      <c r="AG10" s="34" t="n">
        <v>3</v>
      </c>
      <c r="AH10" s="35"/>
      <c r="AI10" s="36"/>
      <c r="AJ10" s="37"/>
      <c r="AK10" s="35" t="s">
        <v>28</v>
      </c>
      <c r="AL10" s="34"/>
      <c r="AM10" s="34" t="n">
        <v>3.75</v>
      </c>
      <c r="AN10" s="35"/>
      <c r="AO10" s="36"/>
      <c r="AP10" s="37"/>
      <c r="AQ10" s="35" t="s">
        <v>28</v>
      </c>
      <c r="AR10" s="34"/>
      <c r="AS10" s="43" t="n">
        <v>2.5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41</v>
      </c>
      <c r="C11" s="29" t="n">
        <f aca="false">SUM(H11:AW11)</f>
        <v>27.5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17.5</v>
      </c>
      <c r="G11" s="148" t="s">
        <v>31</v>
      </c>
      <c r="H11" s="34" t="n">
        <v>2.5</v>
      </c>
      <c r="I11" s="34" t="n">
        <v>2.75</v>
      </c>
      <c r="J11" s="35"/>
      <c r="K11" s="36"/>
      <c r="L11" s="37"/>
      <c r="M11" s="33" t="s">
        <v>30</v>
      </c>
      <c r="N11" s="34" t="n">
        <v>2.5</v>
      </c>
      <c r="O11" s="34" t="n">
        <v>4</v>
      </c>
      <c r="P11" s="35"/>
      <c r="Q11" s="36"/>
      <c r="R11" s="45"/>
      <c r="S11" s="35" t="s">
        <v>28</v>
      </c>
      <c r="T11" s="34"/>
      <c r="U11" s="34" t="n">
        <v>1.5</v>
      </c>
      <c r="V11" s="35"/>
      <c r="W11" s="36"/>
      <c r="X11" s="37"/>
      <c r="Y11" s="35" t="s">
        <v>28</v>
      </c>
      <c r="Z11" s="34" t="n">
        <v>2.5</v>
      </c>
      <c r="AA11" s="34" t="n">
        <v>3.25</v>
      </c>
      <c r="AB11" s="35"/>
      <c r="AC11" s="36"/>
      <c r="AD11" s="37"/>
      <c r="AE11" s="35" t="s">
        <v>28</v>
      </c>
      <c r="AF11" s="34" t="n">
        <v>2.5</v>
      </c>
      <c r="AG11" s="34" t="n">
        <v>2.5</v>
      </c>
      <c r="AH11" s="35"/>
      <c r="AI11" s="36"/>
      <c r="AJ11" s="37"/>
      <c r="AK11" s="35" t="s">
        <v>28</v>
      </c>
      <c r="AL11" s="34"/>
      <c r="AM11" s="34" t="n">
        <v>1.75</v>
      </c>
      <c r="AN11" s="35"/>
      <c r="AO11" s="36"/>
      <c r="AP11" s="37"/>
      <c r="AQ11" s="35" t="s">
        <v>28</v>
      </c>
      <c r="AR11" s="34"/>
      <c r="AS11" s="34" t="n">
        <v>1.75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207</v>
      </c>
      <c r="C12" s="29" t="n">
        <f aca="false">SUM(H12:AW12)</f>
        <v>22.75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15.25</v>
      </c>
      <c r="G12" s="148" t="s">
        <v>28</v>
      </c>
      <c r="H12" s="34"/>
      <c r="I12" s="34" t="n">
        <v>3</v>
      </c>
      <c r="J12" s="35"/>
      <c r="K12" s="36"/>
      <c r="L12" s="37"/>
      <c r="M12" s="33" t="s">
        <v>28</v>
      </c>
      <c r="N12" s="34" t="n">
        <v>2.5</v>
      </c>
      <c r="O12" s="34" t="n">
        <v>2</v>
      </c>
      <c r="P12" s="35" t="s">
        <v>36</v>
      </c>
      <c r="Q12" s="36"/>
      <c r="R12" s="37"/>
      <c r="S12" s="35" t="s">
        <v>28</v>
      </c>
      <c r="T12" s="34"/>
      <c r="U12" s="34" t="n">
        <v>2</v>
      </c>
      <c r="V12" s="35"/>
      <c r="W12" s="36"/>
      <c r="X12" s="37"/>
      <c r="Y12" s="35" t="s">
        <v>28</v>
      </c>
      <c r="Z12" s="34" t="n">
        <v>2.5</v>
      </c>
      <c r="AA12" s="34" t="n">
        <v>2.25</v>
      </c>
      <c r="AB12" s="35"/>
      <c r="AC12" s="34"/>
      <c r="AD12" s="45"/>
      <c r="AE12" s="35" t="s">
        <v>31</v>
      </c>
      <c r="AF12" s="34"/>
      <c r="AG12" s="43" t="n">
        <v>1.5</v>
      </c>
      <c r="AH12" s="35"/>
      <c r="AI12" s="36"/>
      <c r="AJ12" s="45"/>
      <c r="AK12" s="35" t="s">
        <v>31</v>
      </c>
      <c r="AL12" s="34" t="n">
        <v>2.5</v>
      </c>
      <c r="AM12" s="34" t="n">
        <v>3.5</v>
      </c>
      <c r="AN12" s="35"/>
      <c r="AO12" s="34"/>
      <c r="AP12" s="45"/>
      <c r="AQ12" s="35" t="s">
        <v>30</v>
      </c>
      <c r="AR12" s="34"/>
      <c r="AS12" s="34" t="n">
        <v>1</v>
      </c>
      <c r="AT12" s="35" t="s">
        <v>33</v>
      </c>
      <c r="AU12" s="36"/>
      <c r="AV12" s="45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37</v>
      </c>
      <c r="C13" s="29" t="n">
        <f aca="false">SUM(H13:AW13)</f>
        <v>22.75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17.75</v>
      </c>
      <c r="G13" s="148" t="s">
        <v>28</v>
      </c>
      <c r="H13" s="34"/>
      <c r="I13" s="43" t="n">
        <v>1.5</v>
      </c>
      <c r="J13" s="35"/>
      <c r="K13" s="36"/>
      <c r="L13" s="37"/>
      <c r="M13" s="33" t="s">
        <v>31</v>
      </c>
      <c r="N13" s="34"/>
      <c r="O13" s="34" t="n">
        <v>2</v>
      </c>
      <c r="P13" s="35"/>
      <c r="Q13" s="36"/>
      <c r="R13" s="37"/>
      <c r="S13" s="35" t="s">
        <v>28</v>
      </c>
      <c r="T13" s="34"/>
      <c r="U13" s="34" t="n">
        <v>2.25</v>
      </c>
      <c r="V13" s="35"/>
      <c r="W13" s="36"/>
      <c r="X13" s="37"/>
      <c r="Y13" s="35" t="s">
        <v>28</v>
      </c>
      <c r="Z13" s="34" t="n">
        <v>2.5</v>
      </c>
      <c r="AA13" s="34" t="n">
        <v>3.5</v>
      </c>
      <c r="AB13" s="35"/>
      <c r="AC13" s="36"/>
      <c r="AD13" s="37"/>
      <c r="AE13" s="35" t="s">
        <v>28</v>
      </c>
      <c r="AF13" s="34" t="n">
        <v>2.5</v>
      </c>
      <c r="AG13" s="34" t="n">
        <v>3.25</v>
      </c>
      <c r="AH13" s="35"/>
      <c r="AI13" s="36"/>
      <c r="AJ13" s="37"/>
      <c r="AK13" s="35" t="s">
        <v>30</v>
      </c>
      <c r="AL13" s="34"/>
      <c r="AM13" s="43" t="n">
        <v>2.25</v>
      </c>
      <c r="AN13" s="35"/>
      <c r="AO13" s="36"/>
      <c r="AP13" s="37"/>
      <c r="AQ13" s="35" t="s">
        <v>28</v>
      </c>
      <c r="AR13" s="34"/>
      <c r="AS13" s="43" t="n">
        <v>3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173</v>
      </c>
      <c r="C14" s="29" t="n">
        <f aca="false">SUM(H14:AW14)</f>
        <v>22.75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17.75</v>
      </c>
      <c r="G14" s="148" t="s">
        <v>28</v>
      </c>
      <c r="H14" s="34"/>
      <c r="I14" s="34" t="n">
        <v>1.75</v>
      </c>
      <c r="J14" s="35"/>
      <c r="K14" s="36"/>
      <c r="L14" s="37"/>
      <c r="M14" s="33" t="s">
        <v>28</v>
      </c>
      <c r="N14" s="34" t="n">
        <v>2.5</v>
      </c>
      <c r="O14" s="34" t="n">
        <v>3</v>
      </c>
      <c r="P14" s="35"/>
      <c r="Q14" s="36"/>
      <c r="R14" s="37"/>
      <c r="S14" s="35" t="s">
        <v>28</v>
      </c>
      <c r="T14" s="34"/>
      <c r="U14" s="34" t="n">
        <v>1.75</v>
      </c>
      <c r="V14" s="35"/>
      <c r="W14" s="36"/>
      <c r="X14" s="37"/>
      <c r="Y14" s="35" t="s">
        <v>30</v>
      </c>
      <c r="Z14" s="34" t="n">
        <v>2.5</v>
      </c>
      <c r="AA14" s="34" t="n">
        <v>3.25</v>
      </c>
      <c r="AB14" s="35"/>
      <c r="AC14" s="36"/>
      <c r="AD14" s="37"/>
      <c r="AE14" s="35" t="s">
        <v>31</v>
      </c>
      <c r="AF14" s="34"/>
      <c r="AG14" s="34" t="n">
        <v>2.5</v>
      </c>
      <c r="AH14" s="35"/>
      <c r="AI14" s="36"/>
      <c r="AJ14" s="37"/>
      <c r="AK14" s="35" t="s">
        <v>28</v>
      </c>
      <c r="AL14" s="34"/>
      <c r="AM14" s="34" t="n">
        <v>2.5</v>
      </c>
      <c r="AN14" s="35" t="s">
        <v>29</v>
      </c>
      <c r="AO14" s="36" t="n">
        <v>0.5</v>
      </c>
      <c r="AP14" s="37" t="n">
        <v>0.5</v>
      </c>
      <c r="AQ14" s="35" t="s">
        <v>28</v>
      </c>
      <c r="AR14" s="34"/>
      <c r="AS14" s="34" t="n">
        <v>2</v>
      </c>
      <c r="AT14" s="35" t="s">
        <v>33</v>
      </c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208</v>
      </c>
      <c r="C15" s="29" t="n">
        <f aca="false">SUM(H15:AW15)</f>
        <v>21.5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16.5</v>
      </c>
      <c r="G15" s="150" t="s">
        <v>28</v>
      </c>
      <c r="H15" s="50"/>
      <c r="I15" s="50" t="n">
        <v>2</v>
      </c>
      <c r="J15" s="51"/>
      <c r="K15" s="52"/>
      <c r="L15" s="53"/>
      <c r="M15" s="49" t="s">
        <v>31</v>
      </c>
      <c r="N15" s="50"/>
      <c r="O15" s="50" t="n">
        <v>2.25</v>
      </c>
      <c r="P15" s="51"/>
      <c r="Q15" s="52"/>
      <c r="R15" s="53"/>
      <c r="S15" s="51" t="s">
        <v>28</v>
      </c>
      <c r="T15" s="50"/>
      <c r="U15" s="50" t="n">
        <v>2</v>
      </c>
      <c r="V15" s="51"/>
      <c r="W15" s="52"/>
      <c r="X15" s="53"/>
      <c r="Y15" s="51" t="s">
        <v>28</v>
      </c>
      <c r="Z15" s="50" t="n">
        <v>2.5</v>
      </c>
      <c r="AA15" s="50" t="n">
        <v>2.5</v>
      </c>
      <c r="AB15" s="51"/>
      <c r="AC15" s="52"/>
      <c r="AD15" s="53"/>
      <c r="AE15" s="51" t="s">
        <v>30</v>
      </c>
      <c r="AF15" s="50" t="n">
        <v>2.5</v>
      </c>
      <c r="AG15" s="50" t="n">
        <v>2.75</v>
      </c>
      <c r="AH15" s="51"/>
      <c r="AI15" s="52"/>
      <c r="AJ15" s="53"/>
      <c r="AK15" s="51" t="s">
        <v>28</v>
      </c>
      <c r="AL15" s="50"/>
      <c r="AM15" s="50" t="n">
        <v>1.75</v>
      </c>
      <c r="AN15" s="51"/>
      <c r="AO15" s="52"/>
      <c r="AP15" s="53"/>
      <c r="AQ15" s="51" t="s">
        <v>28</v>
      </c>
      <c r="AR15" s="50"/>
      <c r="AS15" s="50" t="n">
        <v>2.75</v>
      </c>
      <c r="AT15" s="51" t="s">
        <v>29</v>
      </c>
      <c r="AU15" s="52"/>
      <c r="AV15" s="53" t="n">
        <v>0.5</v>
      </c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57" t="n">
        <v>1.95833333333333</v>
      </c>
      <c r="H16" s="57"/>
      <c r="I16" s="57"/>
      <c r="J16" s="57"/>
      <c r="K16" s="57"/>
      <c r="L16" s="57"/>
      <c r="M16" s="59" t="n">
        <v>2.375</v>
      </c>
      <c r="N16" s="59"/>
      <c r="O16" s="59"/>
      <c r="P16" s="59"/>
      <c r="Q16" s="59"/>
      <c r="R16" s="59"/>
      <c r="S16" s="59" t="n">
        <v>1.375</v>
      </c>
      <c r="T16" s="59"/>
      <c r="U16" s="59"/>
      <c r="V16" s="59"/>
      <c r="W16" s="59"/>
      <c r="X16" s="59"/>
      <c r="Y16" s="58" t="s">
        <v>209</v>
      </c>
      <c r="Z16" s="58"/>
      <c r="AA16" s="58"/>
      <c r="AB16" s="58"/>
      <c r="AC16" s="58"/>
      <c r="AD16" s="58"/>
      <c r="AE16" s="59" t="n">
        <v>2</v>
      </c>
      <c r="AF16" s="59"/>
      <c r="AG16" s="59"/>
      <c r="AH16" s="59"/>
      <c r="AI16" s="59"/>
      <c r="AJ16" s="59"/>
      <c r="AK16" s="59" t="n">
        <v>1.83333333333333</v>
      </c>
      <c r="AL16" s="59"/>
      <c r="AM16" s="59"/>
      <c r="AN16" s="59"/>
      <c r="AO16" s="59"/>
      <c r="AP16" s="59"/>
      <c r="AQ16" s="59" t="n">
        <v>3.08333333333333</v>
      </c>
      <c r="AR16" s="59"/>
      <c r="AS16" s="59"/>
      <c r="AT16" s="59"/>
      <c r="AU16" s="59"/>
      <c r="AV16" s="59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8"/>
      <c r="Z17" s="58"/>
      <c r="AA17" s="58"/>
      <c r="AB17" s="58"/>
      <c r="AC17" s="58"/>
      <c r="AD17" s="58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52</v>
      </c>
      <c r="H18" s="65"/>
      <c r="I18" s="65"/>
      <c r="J18" s="65"/>
      <c r="K18" s="65"/>
      <c r="L18" s="65"/>
      <c r="M18" s="66" t="s">
        <v>50</v>
      </c>
      <c r="N18" s="66"/>
      <c r="O18" s="66"/>
      <c r="P18" s="66"/>
      <c r="Q18" s="66"/>
      <c r="R18" s="66"/>
      <c r="S18" s="66" t="s">
        <v>54</v>
      </c>
      <c r="T18" s="66"/>
      <c r="U18" s="66"/>
      <c r="V18" s="66"/>
      <c r="W18" s="66"/>
      <c r="X18" s="66"/>
      <c r="Y18" s="66" t="s">
        <v>53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54</v>
      </c>
      <c r="AL18" s="66"/>
      <c r="AM18" s="66"/>
      <c r="AN18" s="66"/>
      <c r="AO18" s="66"/>
      <c r="AP18" s="66"/>
      <c r="AQ18" s="66" t="s">
        <v>51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1</v>
      </c>
      <c r="B26" s="4" t="s">
        <v>37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5</v>
      </c>
      <c r="B27" s="4" t="s">
        <v>207</v>
      </c>
      <c r="C27" s="4" t="s">
        <v>64</v>
      </c>
      <c r="D27" s="4" t="n">
        <v>-1</v>
      </c>
    </row>
    <row r="28" customFormat="false" ht="15.75" hidden="false" customHeight="false" outlineLevel="0" collapsed="false">
      <c r="A28" s="76" t="n">
        <v>6</v>
      </c>
      <c r="B28" s="4" t="s">
        <v>37</v>
      </c>
      <c r="C28" s="4" t="s">
        <v>65</v>
      </c>
      <c r="D28" s="4" t="n">
        <v>-1</v>
      </c>
    </row>
    <row r="29" customFormat="false" ht="15.75" hidden="false" customHeight="false" outlineLevel="0" collapsed="false">
      <c r="A29" s="4" t="n">
        <v>7</v>
      </c>
      <c r="B29" s="4" t="s">
        <v>67</v>
      </c>
      <c r="C29" s="4" t="s">
        <v>64</v>
      </c>
      <c r="D29" s="4" t="n">
        <v>-1</v>
      </c>
    </row>
    <row r="30" customFormat="false" ht="15.75" hidden="false" customHeight="false" outlineLevel="0" collapsed="false">
      <c r="A30" s="4" t="n">
        <v>7</v>
      </c>
      <c r="B30" s="4" t="s">
        <v>37</v>
      </c>
      <c r="C30" s="4" t="s">
        <v>65</v>
      </c>
      <c r="D30" s="4" t="n">
        <v>-1.5</v>
      </c>
    </row>
    <row r="31" customFormat="false" ht="15.75" hidden="false" customHeight="false" outlineLevel="0" collapsed="false">
      <c r="A31" s="4" t="n">
        <v>7</v>
      </c>
      <c r="B31" s="4" t="s">
        <v>150</v>
      </c>
      <c r="C31" s="4" t="s">
        <v>65</v>
      </c>
      <c r="D31" s="4" t="n">
        <v>-0.5</v>
      </c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B26:B40" type="list">
      <formula1>'10 Серия'!$B$6:$B$15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67</v>
      </c>
      <c r="C6" s="29" t="n">
        <f aca="false">SUM(H6:AW6)</f>
        <v>37.25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27.25</v>
      </c>
      <c r="G6" s="148" t="s">
        <v>31</v>
      </c>
      <c r="H6" s="34"/>
      <c r="I6" s="34" t="n">
        <v>3.5</v>
      </c>
      <c r="J6" s="35"/>
      <c r="K6" s="36"/>
      <c r="L6" s="37"/>
      <c r="M6" s="33" t="s">
        <v>30</v>
      </c>
      <c r="N6" s="34" t="n">
        <v>2.5</v>
      </c>
      <c r="O6" s="34" t="n">
        <v>4.75</v>
      </c>
      <c r="P6" s="35" t="s">
        <v>29</v>
      </c>
      <c r="Q6" s="36" t="n">
        <v>1</v>
      </c>
      <c r="R6" s="37" t="n">
        <v>0.5</v>
      </c>
      <c r="S6" s="35" t="s">
        <v>28</v>
      </c>
      <c r="T6" s="34" t="n">
        <v>2.5</v>
      </c>
      <c r="U6" s="34" t="n">
        <v>3.75</v>
      </c>
      <c r="V6" s="35"/>
      <c r="W6" s="36"/>
      <c r="X6" s="37"/>
      <c r="Y6" s="35" t="s">
        <v>28</v>
      </c>
      <c r="Z6" s="34"/>
      <c r="AA6" s="34" t="n">
        <v>2</v>
      </c>
      <c r="AB6" s="35" t="s">
        <v>33</v>
      </c>
      <c r="AC6" s="34"/>
      <c r="AD6" s="45"/>
      <c r="AE6" s="35" t="s">
        <v>34</v>
      </c>
      <c r="AF6" s="34" t="n">
        <v>2.5</v>
      </c>
      <c r="AG6" s="34" t="n">
        <v>4.5</v>
      </c>
      <c r="AH6" s="35" t="s">
        <v>36</v>
      </c>
      <c r="AI6" s="36"/>
      <c r="AJ6" s="45"/>
      <c r="AK6" s="35" t="s">
        <v>28</v>
      </c>
      <c r="AL6" s="34" t="n">
        <v>2.5</v>
      </c>
      <c r="AM6" s="34" t="n">
        <v>4</v>
      </c>
      <c r="AN6" s="35" t="s">
        <v>29</v>
      </c>
      <c r="AO6" s="34"/>
      <c r="AP6" s="45" t="n">
        <v>1</v>
      </c>
      <c r="AQ6" s="35" t="s">
        <v>28</v>
      </c>
      <c r="AR6" s="34"/>
      <c r="AS6" s="34" t="n">
        <v>2.25</v>
      </c>
      <c r="AT6" s="35"/>
      <c r="AU6" s="36"/>
      <c r="AV6" s="45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37</v>
      </c>
      <c r="C7" s="29" t="n">
        <f aca="false">SUM(H7:AW7)</f>
        <v>37.25</v>
      </c>
      <c r="D7" s="82" t="n">
        <f aca="false">E7/2.5</f>
        <v>5</v>
      </c>
      <c r="E7" s="138" t="n">
        <f aca="false">SUM(H7+N7+T7+Z7+AF7+AL7+AR7)</f>
        <v>12.5</v>
      </c>
      <c r="F7" s="32" t="n">
        <f aca="false">C7-E7</f>
        <v>24.75</v>
      </c>
      <c r="G7" s="148" t="s">
        <v>30</v>
      </c>
      <c r="H7" s="34" t="n">
        <v>2.5</v>
      </c>
      <c r="I7" s="34" t="n">
        <v>3.5</v>
      </c>
      <c r="J7" s="35"/>
      <c r="K7" s="36"/>
      <c r="L7" s="37"/>
      <c r="M7" s="33" t="s">
        <v>28</v>
      </c>
      <c r="N7" s="34" t="n">
        <v>2.5</v>
      </c>
      <c r="O7" s="34" t="n">
        <v>4.25</v>
      </c>
      <c r="P7" s="35"/>
      <c r="Q7" s="36"/>
      <c r="R7" s="37"/>
      <c r="S7" s="35" t="s">
        <v>28</v>
      </c>
      <c r="T7" s="34" t="n">
        <v>2.5</v>
      </c>
      <c r="U7" s="34" t="n">
        <v>3.75</v>
      </c>
      <c r="V7" s="35" t="s">
        <v>36</v>
      </c>
      <c r="W7" s="36"/>
      <c r="X7" s="37"/>
      <c r="Y7" s="35" t="s">
        <v>28</v>
      </c>
      <c r="Z7" s="34"/>
      <c r="AA7" s="34" t="n">
        <v>3.5</v>
      </c>
      <c r="AB7" s="35" t="s">
        <v>29</v>
      </c>
      <c r="AC7" s="36" t="n">
        <v>0.5</v>
      </c>
      <c r="AD7" s="37" t="n">
        <v>0.5</v>
      </c>
      <c r="AE7" s="35" t="s">
        <v>28</v>
      </c>
      <c r="AF7" s="34"/>
      <c r="AG7" s="34" t="n">
        <v>1.25</v>
      </c>
      <c r="AH7" s="35"/>
      <c r="AI7" s="36"/>
      <c r="AJ7" s="37"/>
      <c r="AK7" s="35" t="s">
        <v>28</v>
      </c>
      <c r="AL7" s="34" t="n">
        <v>2.5</v>
      </c>
      <c r="AM7" s="34" t="n">
        <v>3.75</v>
      </c>
      <c r="AN7" s="35"/>
      <c r="AO7" s="36"/>
      <c r="AP7" s="37"/>
      <c r="AQ7" s="35" t="s">
        <v>31</v>
      </c>
      <c r="AR7" s="34" t="n">
        <v>2.5</v>
      </c>
      <c r="AS7" s="34" t="n">
        <v>3.75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208</v>
      </c>
      <c r="C8" s="29" t="n">
        <f aca="false">SUM(H8:AW8)</f>
        <v>30.5</v>
      </c>
      <c r="D8" s="82" t="n">
        <f aca="false">E8/2.5</f>
        <v>5</v>
      </c>
      <c r="E8" s="138" t="n">
        <f aca="false">SUM(H8+N8+T8+Z8+AF8+AL8+AR8)</f>
        <v>12.5</v>
      </c>
      <c r="F8" s="32" t="n">
        <f aca="false">C8-E8</f>
        <v>18</v>
      </c>
      <c r="G8" s="148" t="s">
        <v>28</v>
      </c>
      <c r="H8" s="34" t="n">
        <v>2.5</v>
      </c>
      <c r="I8" s="34" t="n">
        <v>2</v>
      </c>
      <c r="J8" s="35"/>
      <c r="K8" s="36"/>
      <c r="L8" s="37"/>
      <c r="M8" s="33" t="s">
        <v>28</v>
      </c>
      <c r="N8" s="34" t="n">
        <v>2.5</v>
      </c>
      <c r="O8" s="34" t="n">
        <v>3.5</v>
      </c>
      <c r="P8" s="35"/>
      <c r="Q8" s="36"/>
      <c r="R8" s="37"/>
      <c r="S8" s="35" t="s">
        <v>31</v>
      </c>
      <c r="T8" s="34"/>
      <c r="U8" s="34" t="n">
        <v>2</v>
      </c>
      <c r="V8" s="35" t="s">
        <v>33</v>
      </c>
      <c r="W8" s="36"/>
      <c r="X8" s="45"/>
      <c r="Y8" s="35" t="s">
        <v>31</v>
      </c>
      <c r="Z8" s="34" t="n">
        <v>2.5</v>
      </c>
      <c r="AA8" s="34" t="n">
        <v>1.75</v>
      </c>
      <c r="AB8" s="35"/>
      <c r="AC8" s="36"/>
      <c r="AD8" s="37"/>
      <c r="AE8" s="35" t="s">
        <v>31</v>
      </c>
      <c r="AF8" s="34" t="n">
        <v>2.5</v>
      </c>
      <c r="AG8" s="34" t="n">
        <v>2.75</v>
      </c>
      <c r="AH8" s="35"/>
      <c r="AI8" s="36"/>
      <c r="AJ8" s="37"/>
      <c r="AK8" s="35" t="s">
        <v>28</v>
      </c>
      <c r="AL8" s="34" t="n">
        <v>2.5</v>
      </c>
      <c r="AM8" s="34" t="n">
        <v>4.25</v>
      </c>
      <c r="AN8" s="35"/>
      <c r="AO8" s="153"/>
      <c r="AP8" s="37"/>
      <c r="AQ8" s="35" t="s">
        <v>28</v>
      </c>
      <c r="AR8" s="34"/>
      <c r="AS8" s="34" t="n">
        <v>1.75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41</v>
      </c>
      <c r="C9" s="29" t="n">
        <f aca="false">SUM(H9:AW9)</f>
        <v>30.5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20.5</v>
      </c>
      <c r="G9" s="148" t="s">
        <v>28</v>
      </c>
      <c r="H9" s="34" t="n">
        <v>2.5</v>
      </c>
      <c r="I9" s="34" t="n">
        <v>2</v>
      </c>
      <c r="J9" s="35" t="s">
        <v>29</v>
      </c>
      <c r="K9" s="36"/>
      <c r="L9" s="37" t="n">
        <v>0.5</v>
      </c>
      <c r="M9" s="33" t="s">
        <v>28</v>
      </c>
      <c r="N9" s="34" t="n">
        <v>2.5</v>
      </c>
      <c r="O9" s="34" t="n">
        <v>3</v>
      </c>
      <c r="P9" s="35"/>
      <c r="Q9" s="36"/>
      <c r="R9" s="45"/>
      <c r="S9" s="35" t="s">
        <v>28</v>
      </c>
      <c r="T9" s="34" t="n">
        <v>2.5</v>
      </c>
      <c r="U9" s="34" t="n">
        <v>3</v>
      </c>
      <c r="V9" s="35" t="s">
        <v>36</v>
      </c>
      <c r="W9" s="36"/>
      <c r="X9" s="37"/>
      <c r="Y9" s="35" t="s">
        <v>28</v>
      </c>
      <c r="Z9" s="34"/>
      <c r="AA9" s="34" t="n">
        <v>3.5</v>
      </c>
      <c r="AB9" s="35" t="s">
        <v>33</v>
      </c>
      <c r="AC9" s="36"/>
      <c r="AD9" s="37"/>
      <c r="AE9" s="35" t="s">
        <v>30</v>
      </c>
      <c r="AF9" s="34"/>
      <c r="AG9" s="34" t="n">
        <v>2</v>
      </c>
      <c r="AH9" s="35" t="s">
        <v>33</v>
      </c>
      <c r="AI9" s="36"/>
      <c r="AJ9" s="37"/>
      <c r="AK9" s="35" t="s">
        <v>28</v>
      </c>
      <c r="AL9" s="34" t="n">
        <v>2.5</v>
      </c>
      <c r="AM9" s="34" t="n">
        <v>4</v>
      </c>
      <c r="AN9" s="35"/>
      <c r="AO9" s="36"/>
      <c r="AP9" s="37"/>
      <c r="AQ9" s="35" t="s">
        <v>28</v>
      </c>
      <c r="AR9" s="34"/>
      <c r="AS9" s="34" t="n">
        <v>2.5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191</v>
      </c>
      <c r="C10" s="29" t="n">
        <f aca="false">SUM(H10:AW10)</f>
        <v>30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20</v>
      </c>
      <c r="G10" s="148" t="s">
        <v>28</v>
      </c>
      <c r="H10" s="34" t="n">
        <v>2.5</v>
      </c>
      <c r="I10" s="34" t="n">
        <v>3.5</v>
      </c>
      <c r="J10" s="35"/>
      <c r="K10" s="36"/>
      <c r="L10" s="37"/>
      <c r="M10" s="33" t="s">
        <v>34</v>
      </c>
      <c r="N10" s="34"/>
      <c r="O10" s="34" t="n">
        <v>2</v>
      </c>
      <c r="P10" s="35"/>
      <c r="Q10" s="36"/>
      <c r="R10" s="37"/>
      <c r="S10" s="35" t="s">
        <v>30</v>
      </c>
      <c r="T10" s="34" t="n">
        <v>2.5</v>
      </c>
      <c r="U10" s="34" t="n">
        <v>3.5</v>
      </c>
      <c r="V10" s="35" t="s">
        <v>29</v>
      </c>
      <c r="W10" s="36" t="n">
        <v>0.5</v>
      </c>
      <c r="X10" s="37" t="n">
        <v>0.5</v>
      </c>
      <c r="Y10" s="35" t="s">
        <v>34</v>
      </c>
      <c r="Z10" s="34" t="n">
        <v>2.5</v>
      </c>
      <c r="AA10" s="34" t="n">
        <v>2</v>
      </c>
      <c r="AB10" s="35"/>
      <c r="AC10" s="36"/>
      <c r="AD10" s="37"/>
      <c r="AE10" s="35" t="s">
        <v>28</v>
      </c>
      <c r="AF10" s="34"/>
      <c r="AG10" s="34" t="n">
        <v>1.75</v>
      </c>
      <c r="AH10" s="35" t="s">
        <v>29</v>
      </c>
      <c r="AI10" s="36"/>
      <c r="AJ10" s="37" t="n">
        <v>1</v>
      </c>
      <c r="AK10" s="35" t="s">
        <v>34</v>
      </c>
      <c r="AL10" s="34"/>
      <c r="AM10" s="34" t="n">
        <v>2</v>
      </c>
      <c r="AN10" s="35"/>
      <c r="AO10" s="36"/>
      <c r="AP10" s="37"/>
      <c r="AQ10" s="35" t="s">
        <v>31</v>
      </c>
      <c r="AR10" s="34" t="n">
        <v>2.5</v>
      </c>
      <c r="AS10" s="34" t="n">
        <v>3.25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173</v>
      </c>
      <c r="C11" s="29" t="n">
        <f aca="false">SUM(H11:AW11)</f>
        <v>30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20</v>
      </c>
      <c r="G11" s="148" t="s">
        <v>28</v>
      </c>
      <c r="H11" s="34" t="n">
        <v>2.5</v>
      </c>
      <c r="I11" s="34" t="n">
        <v>2.5</v>
      </c>
      <c r="J11" s="35"/>
      <c r="K11" s="36"/>
      <c r="L11" s="37"/>
      <c r="M11" s="33" t="s">
        <v>28</v>
      </c>
      <c r="N11" s="34" t="n">
        <v>2.5</v>
      </c>
      <c r="O11" s="34" t="n">
        <v>3.75</v>
      </c>
      <c r="P11" s="35"/>
      <c r="Q11" s="36"/>
      <c r="R11" s="37"/>
      <c r="S11" s="35" t="s">
        <v>34</v>
      </c>
      <c r="T11" s="34"/>
      <c r="U11" s="34" t="n">
        <v>3</v>
      </c>
      <c r="V11" s="35"/>
      <c r="W11" s="36"/>
      <c r="X11" s="37"/>
      <c r="Y11" s="35" t="s">
        <v>31</v>
      </c>
      <c r="Z11" s="34" t="n">
        <v>2.5</v>
      </c>
      <c r="AA11" s="34" t="n">
        <v>4</v>
      </c>
      <c r="AB11" s="35" t="s">
        <v>36</v>
      </c>
      <c r="AC11" s="36"/>
      <c r="AD11" s="37"/>
      <c r="AE11" s="35" t="s">
        <v>28</v>
      </c>
      <c r="AF11" s="34"/>
      <c r="AG11" s="34" t="n">
        <v>1.75</v>
      </c>
      <c r="AH11" s="35" t="s">
        <v>33</v>
      </c>
      <c r="AI11" s="36"/>
      <c r="AJ11" s="37"/>
      <c r="AK11" s="35" t="s">
        <v>28</v>
      </c>
      <c r="AL11" s="34" t="n">
        <v>2.5</v>
      </c>
      <c r="AM11" s="34" t="n">
        <v>2.25</v>
      </c>
      <c r="AN11" s="35"/>
      <c r="AO11" s="36"/>
      <c r="AP11" s="37"/>
      <c r="AQ11" s="35" t="s">
        <v>28</v>
      </c>
      <c r="AR11" s="34"/>
      <c r="AS11" s="43" t="n">
        <v>2.75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211</v>
      </c>
      <c r="C12" s="29" t="n">
        <f aca="false">SUM(H12:AW12)</f>
        <v>28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20.5</v>
      </c>
      <c r="G12" s="148" t="s">
        <v>31</v>
      </c>
      <c r="H12" s="34"/>
      <c r="I12" s="34" t="n">
        <v>2.75</v>
      </c>
      <c r="J12" s="35"/>
      <c r="K12" s="36"/>
      <c r="L12" s="37"/>
      <c r="M12" s="33" t="s">
        <v>28</v>
      </c>
      <c r="N12" s="34" t="n">
        <v>2.5</v>
      </c>
      <c r="O12" s="34" t="n">
        <v>3.25</v>
      </c>
      <c r="P12" s="35"/>
      <c r="Q12" s="36"/>
      <c r="R12" s="37"/>
      <c r="S12" s="35" t="s">
        <v>28</v>
      </c>
      <c r="T12" s="34" t="n">
        <v>2.5</v>
      </c>
      <c r="U12" s="34" t="n">
        <v>3.5</v>
      </c>
      <c r="V12" s="35"/>
      <c r="W12" s="36"/>
      <c r="X12" s="37"/>
      <c r="Y12" s="35" t="s">
        <v>28</v>
      </c>
      <c r="Z12" s="34"/>
      <c r="AA12" s="34" t="n">
        <v>3.25</v>
      </c>
      <c r="AB12" s="35" t="s">
        <v>33</v>
      </c>
      <c r="AC12" s="36"/>
      <c r="AD12" s="37"/>
      <c r="AE12" s="35" t="s">
        <v>28</v>
      </c>
      <c r="AF12" s="34"/>
      <c r="AG12" s="34" t="n">
        <v>3</v>
      </c>
      <c r="AH12" s="35"/>
      <c r="AI12" s="36"/>
      <c r="AJ12" s="37"/>
      <c r="AK12" s="35" t="s">
        <v>28</v>
      </c>
      <c r="AL12" s="34" t="n">
        <v>2.5</v>
      </c>
      <c r="AM12" s="34" t="n">
        <v>3.25</v>
      </c>
      <c r="AN12" s="35"/>
      <c r="AO12" s="36"/>
      <c r="AP12" s="37"/>
      <c r="AQ12" s="35" t="s">
        <v>28</v>
      </c>
      <c r="AR12" s="34"/>
      <c r="AS12" s="34" t="n">
        <v>1.5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206</v>
      </c>
      <c r="C13" s="29" t="n">
        <f aca="false">SUM(H13:AW13)</f>
        <v>28</v>
      </c>
      <c r="D13" s="82" t="n">
        <f aca="false">E13/2.5</f>
        <v>3</v>
      </c>
      <c r="E13" s="138" t="n">
        <f aca="false">SUM(H13+N13+T13+Z13+AF13+AL13+AR13)</f>
        <v>7.5</v>
      </c>
      <c r="F13" s="32" t="n">
        <f aca="false">C13-E13</f>
        <v>20.5</v>
      </c>
      <c r="G13" s="148" t="s">
        <v>28</v>
      </c>
      <c r="H13" s="34" t="n">
        <v>2.5</v>
      </c>
      <c r="I13" s="34" t="n">
        <v>4</v>
      </c>
      <c r="J13" s="35"/>
      <c r="K13" s="36"/>
      <c r="L13" s="45"/>
      <c r="M13" s="33" t="s">
        <v>31</v>
      </c>
      <c r="N13" s="34"/>
      <c r="O13" s="43" t="n">
        <v>1.75</v>
      </c>
      <c r="P13" s="35"/>
      <c r="Q13" s="36"/>
      <c r="R13" s="37"/>
      <c r="S13" s="35" t="s">
        <v>28</v>
      </c>
      <c r="T13" s="34" t="n">
        <v>2.5</v>
      </c>
      <c r="U13" s="34" t="n">
        <v>3.25</v>
      </c>
      <c r="V13" s="35"/>
      <c r="W13" s="36"/>
      <c r="X13" s="37"/>
      <c r="Y13" s="35" t="s">
        <v>28</v>
      </c>
      <c r="Z13" s="34"/>
      <c r="AA13" s="34" t="n">
        <v>1.5</v>
      </c>
      <c r="AB13" s="35"/>
      <c r="AC13" s="36"/>
      <c r="AD13" s="37"/>
      <c r="AE13" s="35" t="s">
        <v>28</v>
      </c>
      <c r="AF13" s="34"/>
      <c r="AG13" s="34" t="n">
        <v>3.75</v>
      </c>
      <c r="AH13" s="35"/>
      <c r="AI13" s="36"/>
      <c r="AJ13" s="37"/>
      <c r="AK13" s="35" t="s">
        <v>30</v>
      </c>
      <c r="AL13" s="34" t="n">
        <v>2.5</v>
      </c>
      <c r="AM13" s="34" t="n">
        <v>3</v>
      </c>
      <c r="AN13" s="35"/>
      <c r="AO13" s="36"/>
      <c r="AP13" s="37"/>
      <c r="AQ13" s="35" t="s">
        <v>30</v>
      </c>
      <c r="AR13" s="34"/>
      <c r="AS13" s="34" t="n">
        <v>2.75</v>
      </c>
      <c r="AT13" s="35" t="s">
        <v>29</v>
      </c>
      <c r="AU13" s="36"/>
      <c r="AV13" s="37" t="n">
        <v>0.5</v>
      </c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207</v>
      </c>
      <c r="C14" s="29" t="n">
        <f aca="false">SUM(H14:AW14)</f>
        <v>22.5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17.5</v>
      </c>
      <c r="G14" s="148" t="s">
        <v>28</v>
      </c>
      <c r="H14" s="34" t="n">
        <v>2.5</v>
      </c>
      <c r="I14" s="34" t="n">
        <v>2.5</v>
      </c>
      <c r="J14" s="35"/>
      <c r="K14" s="36"/>
      <c r="L14" s="37"/>
      <c r="M14" s="33" t="s">
        <v>31</v>
      </c>
      <c r="N14" s="34"/>
      <c r="O14" s="34" t="n">
        <v>2.25</v>
      </c>
      <c r="P14" s="35"/>
      <c r="Q14" s="36"/>
      <c r="R14" s="37"/>
      <c r="S14" s="35" t="s">
        <v>31</v>
      </c>
      <c r="T14" s="34"/>
      <c r="U14" s="34" t="n">
        <v>2.75</v>
      </c>
      <c r="V14" s="35"/>
      <c r="W14" s="36"/>
      <c r="X14" s="37"/>
      <c r="Y14" s="35" t="s">
        <v>28</v>
      </c>
      <c r="Z14" s="34"/>
      <c r="AA14" s="34" t="n">
        <v>2.5</v>
      </c>
      <c r="AB14" s="35"/>
      <c r="AC14" s="36"/>
      <c r="AD14" s="37"/>
      <c r="AE14" s="35" t="s">
        <v>28</v>
      </c>
      <c r="AF14" s="34"/>
      <c r="AG14" s="34" t="n">
        <v>1.75</v>
      </c>
      <c r="AH14" s="35"/>
      <c r="AI14" s="36"/>
      <c r="AJ14" s="37"/>
      <c r="AK14" s="35" t="s">
        <v>31</v>
      </c>
      <c r="AL14" s="34"/>
      <c r="AM14" s="34" t="n">
        <v>2.5</v>
      </c>
      <c r="AN14" s="35"/>
      <c r="AO14" s="36"/>
      <c r="AP14" s="37"/>
      <c r="AQ14" s="35" t="s">
        <v>34</v>
      </c>
      <c r="AR14" s="34" t="n">
        <v>2.5</v>
      </c>
      <c r="AS14" s="34" t="n">
        <v>3.25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68</v>
      </c>
      <c r="C15" s="29" t="n">
        <f aca="false">SUM(H15:AW15)</f>
        <v>21</v>
      </c>
      <c r="D15" s="85" t="n">
        <f aca="false">E15/2.5</f>
        <v>3</v>
      </c>
      <c r="E15" s="149" t="n">
        <f aca="false">SUM(H15+N15+T15+Z15+AF15+AL15+AR15)</f>
        <v>7.5</v>
      </c>
      <c r="F15" s="55" t="n">
        <f aca="false">C15-E15</f>
        <v>13.5</v>
      </c>
      <c r="G15" s="150" t="s">
        <v>34</v>
      </c>
      <c r="H15" s="50"/>
      <c r="I15" s="93" t="n">
        <v>0</v>
      </c>
      <c r="J15" s="51"/>
      <c r="K15" s="52"/>
      <c r="L15" s="53"/>
      <c r="M15" s="49" t="s">
        <v>28</v>
      </c>
      <c r="N15" s="50" t="n">
        <v>2.5</v>
      </c>
      <c r="O15" s="50" t="n">
        <v>2.5</v>
      </c>
      <c r="P15" s="51"/>
      <c r="Q15" s="52"/>
      <c r="R15" s="53"/>
      <c r="S15" s="51" t="s">
        <v>28</v>
      </c>
      <c r="T15" s="50" t="n">
        <v>2.5</v>
      </c>
      <c r="U15" s="93" t="n">
        <v>0.5</v>
      </c>
      <c r="V15" s="51"/>
      <c r="W15" s="52"/>
      <c r="X15" s="53"/>
      <c r="Y15" s="51" t="s">
        <v>30</v>
      </c>
      <c r="Z15" s="50"/>
      <c r="AA15" s="50" t="n">
        <v>3</v>
      </c>
      <c r="AB15" s="51"/>
      <c r="AC15" s="52"/>
      <c r="AD15" s="53"/>
      <c r="AE15" s="51" t="s">
        <v>31</v>
      </c>
      <c r="AF15" s="50" t="n">
        <v>2.5</v>
      </c>
      <c r="AG15" s="50" t="n">
        <v>3</v>
      </c>
      <c r="AH15" s="51"/>
      <c r="AI15" s="52"/>
      <c r="AJ15" s="53"/>
      <c r="AK15" s="51" t="s">
        <v>31</v>
      </c>
      <c r="AL15" s="50"/>
      <c r="AM15" s="50" t="n">
        <v>2.25</v>
      </c>
      <c r="AN15" s="51"/>
      <c r="AO15" s="52"/>
      <c r="AP15" s="53"/>
      <c r="AQ15" s="51" t="s">
        <v>28</v>
      </c>
      <c r="AR15" s="50"/>
      <c r="AS15" s="50" t="n">
        <v>2.25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143" t="s">
        <v>212</v>
      </c>
      <c r="H16" s="143"/>
      <c r="I16" s="143"/>
      <c r="J16" s="143"/>
      <c r="K16" s="143"/>
      <c r="L16" s="143"/>
      <c r="M16" s="58" t="s">
        <v>213</v>
      </c>
      <c r="N16" s="58"/>
      <c r="O16" s="58"/>
      <c r="P16" s="58"/>
      <c r="Q16" s="58"/>
      <c r="R16" s="58"/>
      <c r="S16" s="58" t="s">
        <v>214</v>
      </c>
      <c r="T16" s="58"/>
      <c r="U16" s="58"/>
      <c r="V16" s="58"/>
      <c r="W16" s="58"/>
      <c r="X16" s="58"/>
      <c r="Y16" s="58" t="s">
        <v>215</v>
      </c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89</v>
      </c>
      <c r="H18" s="65"/>
      <c r="I18" s="65"/>
      <c r="J18" s="65"/>
      <c r="K18" s="65"/>
      <c r="L18" s="65"/>
      <c r="M18" s="66" t="s">
        <v>55</v>
      </c>
      <c r="N18" s="66"/>
      <c r="O18" s="66"/>
      <c r="P18" s="66"/>
      <c r="Q18" s="66"/>
      <c r="R18" s="66"/>
      <c r="S18" s="66" t="s">
        <v>50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51</v>
      </c>
      <c r="AF18" s="66"/>
      <c r="AG18" s="66"/>
      <c r="AH18" s="66"/>
      <c r="AI18" s="66"/>
      <c r="AJ18" s="66"/>
      <c r="AK18" s="66" t="s">
        <v>53</v>
      </c>
      <c r="AL18" s="66"/>
      <c r="AM18" s="66"/>
      <c r="AN18" s="66"/>
      <c r="AO18" s="66"/>
      <c r="AP18" s="66"/>
      <c r="AQ18" s="66" t="s">
        <v>52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1</v>
      </c>
      <c r="B26" s="4" t="s">
        <v>68</v>
      </c>
      <c r="C26" s="4" t="s">
        <v>64</v>
      </c>
      <c r="D26" s="4" t="n">
        <v>-1</v>
      </c>
    </row>
    <row r="27" customFormat="false" ht="15.75" hidden="false" customHeight="false" outlineLevel="0" collapsed="false">
      <c r="A27" s="76" t="n">
        <v>2</v>
      </c>
      <c r="B27" s="4" t="s">
        <v>206</v>
      </c>
      <c r="C27" s="4" t="s">
        <v>64</v>
      </c>
      <c r="D27" s="4" t="n">
        <v>-1</v>
      </c>
    </row>
    <row r="28" customFormat="false" ht="15.75" hidden="false" customHeight="false" outlineLevel="0" collapsed="false">
      <c r="A28" s="76" t="n">
        <v>3</v>
      </c>
      <c r="B28" s="4" t="s">
        <v>68</v>
      </c>
      <c r="C28" s="4" t="s">
        <v>64</v>
      </c>
      <c r="D28" s="4" t="n">
        <v>-1</v>
      </c>
    </row>
    <row r="29" customFormat="false" ht="15.75" hidden="false" customHeight="false" outlineLevel="0" collapsed="false">
      <c r="A29" s="4" t="n">
        <v>7</v>
      </c>
      <c r="B29" s="4" t="s">
        <v>173</v>
      </c>
      <c r="C29" s="4" t="s">
        <v>65</v>
      </c>
      <c r="D29" s="4" t="n">
        <v>-0.5</v>
      </c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'11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37</v>
      </c>
      <c r="C6" s="29" t="n">
        <f aca="false">SUM(H6:AW6)</f>
        <v>41.75</v>
      </c>
      <c r="D6" s="79" t="n">
        <f aca="false">E6/2.5</f>
        <v>7</v>
      </c>
      <c r="E6" s="147" t="n">
        <f aca="false">SUM(H6+N6+T6+Z6+AF6+AL6+AR6)</f>
        <v>17.5</v>
      </c>
      <c r="F6" s="39" t="n">
        <f aca="false">C6-E6</f>
        <v>24.25</v>
      </c>
      <c r="G6" s="148" t="s">
        <v>28</v>
      </c>
      <c r="H6" s="34" t="n">
        <v>2.5</v>
      </c>
      <c r="I6" s="34" t="n">
        <v>3.5</v>
      </c>
      <c r="J6" s="35"/>
      <c r="K6" s="36"/>
      <c r="L6" s="45"/>
      <c r="M6" s="33" t="s">
        <v>28</v>
      </c>
      <c r="N6" s="34" t="n">
        <v>2.5</v>
      </c>
      <c r="O6" s="34" t="n">
        <v>2.5</v>
      </c>
      <c r="P6" s="35"/>
      <c r="Q6" s="36"/>
      <c r="R6" s="37"/>
      <c r="S6" s="35" t="s">
        <v>30</v>
      </c>
      <c r="T6" s="34" t="n">
        <v>2.5</v>
      </c>
      <c r="U6" s="34" t="n">
        <v>3.25</v>
      </c>
      <c r="V6" s="35"/>
      <c r="W6" s="36"/>
      <c r="X6" s="37"/>
      <c r="Y6" s="35" t="s">
        <v>34</v>
      </c>
      <c r="Z6" s="34" t="n">
        <v>2.5</v>
      </c>
      <c r="AA6" s="34" t="n">
        <v>3.5</v>
      </c>
      <c r="AB6" s="35"/>
      <c r="AC6" s="36"/>
      <c r="AD6" s="37"/>
      <c r="AE6" s="35" t="s">
        <v>34</v>
      </c>
      <c r="AF6" s="34" t="n">
        <v>2.5</v>
      </c>
      <c r="AG6" s="34" t="n">
        <v>4</v>
      </c>
      <c r="AH6" s="35"/>
      <c r="AI6" s="36"/>
      <c r="AJ6" s="37"/>
      <c r="AK6" s="35" t="s">
        <v>31</v>
      </c>
      <c r="AL6" s="34" t="n">
        <v>2.5</v>
      </c>
      <c r="AM6" s="34" t="n">
        <v>4.25</v>
      </c>
      <c r="AN6" s="35"/>
      <c r="AO6" s="36"/>
      <c r="AP6" s="37"/>
      <c r="AQ6" s="35" t="s">
        <v>31</v>
      </c>
      <c r="AR6" s="34" t="n">
        <v>2.5</v>
      </c>
      <c r="AS6" s="43" t="n">
        <v>3.25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68</v>
      </c>
      <c r="C7" s="29" t="n">
        <f aca="false">SUM(H7:AW7)</f>
        <v>30.5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20.5</v>
      </c>
      <c r="G7" s="148" t="s">
        <v>28</v>
      </c>
      <c r="H7" s="34" t="n">
        <v>2.5</v>
      </c>
      <c r="I7" s="34" t="n">
        <v>3</v>
      </c>
      <c r="J7" s="35"/>
      <c r="K7" s="36"/>
      <c r="L7" s="37"/>
      <c r="M7" s="33" t="s">
        <v>28</v>
      </c>
      <c r="N7" s="34" t="n">
        <v>2.5</v>
      </c>
      <c r="O7" s="34" t="n">
        <v>3.25</v>
      </c>
      <c r="P7" s="35"/>
      <c r="Q7" s="36"/>
      <c r="R7" s="37"/>
      <c r="S7" s="35" t="s">
        <v>28</v>
      </c>
      <c r="T7" s="34" t="n">
        <v>2.5</v>
      </c>
      <c r="U7" s="34" t="n">
        <v>3.75</v>
      </c>
      <c r="V7" s="35" t="s">
        <v>36</v>
      </c>
      <c r="W7" s="36"/>
      <c r="X7" s="37"/>
      <c r="Y7" s="35" t="s">
        <v>28</v>
      </c>
      <c r="Z7" s="34"/>
      <c r="AA7" s="34" t="n">
        <v>2.5</v>
      </c>
      <c r="AB7" s="35" t="s">
        <v>29</v>
      </c>
      <c r="AC7" s="36"/>
      <c r="AD7" s="37" t="n">
        <v>0.5</v>
      </c>
      <c r="AE7" s="35" t="s">
        <v>28</v>
      </c>
      <c r="AF7" s="34"/>
      <c r="AG7" s="43" t="n">
        <v>1.5</v>
      </c>
      <c r="AH7" s="35"/>
      <c r="AI7" s="36"/>
      <c r="AJ7" s="37"/>
      <c r="AK7" s="35" t="s">
        <v>28</v>
      </c>
      <c r="AL7" s="34"/>
      <c r="AM7" s="34" t="n">
        <v>2.75</v>
      </c>
      <c r="AN7" s="35"/>
      <c r="AO7" s="36"/>
      <c r="AP7" s="37"/>
      <c r="AQ7" s="35" t="s">
        <v>31</v>
      </c>
      <c r="AR7" s="34" t="n">
        <v>2.5</v>
      </c>
      <c r="AS7" s="34" t="n">
        <v>3.25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191</v>
      </c>
      <c r="C8" s="29" t="n">
        <f aca="false">SUM(H8:AW8)</f>
        <v>29.75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19.75</v>
      </c>
      <c r="G8" s="148" t="s">
        <v>28</v>
      </c>
      <c r="H8" s="34" t="n">
        <v>2.5</v>
      </c>
      <c r="I8" s="34" t="n">
        <v>3</v>
      </c>
      <c r="J8" s="35"/>
      <c r="K8" s="36"/>
      <c r="L8" s="37"/>
      <c r="M8" s="33" t="s">
        <v>28</v>
      </c>
      <c r="N8" s="34" t="n">
        <v>2.5</v>
      </c>
      <c r="O8" s="34" t="n">
        <v>4</v>
      </c>
      <c r="P8" s="35"/>
      <c r="Q8" s="36"/>
      <c r="R8" s="37"/>
      <c r="S8" s="35" t="s">
        <v>28</v>
      </c>
      <c r="T8" s="34" t="n">
        <v>2.5</v>
      </c>
      <c r="U8" s="34" t="n">
        <v>2.75</v>
      </c>
      <c r="V8" s="35"/>
      <c r="W8" s="36"/>
      <c r="X8" s="37"/>
      <c r="Y8" s="35" t="s">
        <v>28</v>
      </c>
      <c r="Z8" s="34"/>
      <c r="AA8" s="34" t="n">
        <v>2.5</v>
      </c>
      <c r="AB8" s="35"/>
      <c r="AC8" s="36"/>
      <c r="AD8" s="37"/>
      <c r="AE8" s="35" t="s">
        <v>31</v>
      </c>
      <c r="AF8" s="34" t="n">
        <v>2.5</v>
      </c>
      <c r="AG8" s="34" t="n">
        <v>2.5</v>
      </c>
      <c r="AH8" s="35"/>
      <c r="AI8" s="36"/>
      <c r="AJ8" s="37"/>
      <c r="AK8" s="35" t="s">
        <v>28</v>
      </c>
      <c r="AL8" s="34"/>
      <c r="AM8" s="34" t="n">
        <v>2.75</v>
      </c>
      <c r="AN8" s="35"/>
      <c r="AO8" s="36"/>
      <c r="AP8" s="37"/>
      <c r="AQ8" s="35" t="s">
        <v>28</v>
      </c>
      <c r="AR8" s="34"/>
      <c r="AS8" s="34" t="n">
        <v>2.25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217</v>
      </c>
      <c r="C9" s="29" t="n">
        <f aca="false">SUM(H9:AW9)</f>
        <v>29.5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22</v>
      </c>
      <c r="G9" s="148" t="s">
        <v>28</v>
      </c>
      <c r="H9" s="34" t="n">
        <v>2.5</v>
      </c>
      <c r="I9" s="34" t="n">
        <v>3</v>
      </c>
      <c r="J9" s="35" t="s">
        <v>36</v>
      </c>
      <c r="K9" s="36"/>
      <c r="L9" s="37"/>
      <c r="M9" s="33" t="s">
        <v>28</v>
      </c>
      <c r="N9" s="34" t="n">
        <v>2.5</v>
      </c>
      <c r="O9" s="34" t="n">
        <v>3</v>
      </c>
      <c r="P9" s="35" t="s">
        <v>29</v>
      </c>
      <c r="Q9" s="36" t="n">
        <v>0.5</v>
      </c>
      <c r="R9" s="37" t="n">
        <v>0.5</v>
      </c>
      <c r="S9" s="35" t="s">
        <v>28</v>
      </c>
      <c r="T9" s="34" t="n">
        <v>2.5</v>
      </c>
      <c r="U9" s="34" t="n">
        <v>3.25</v>
      </c>
      <c r="V9" s="35"/>
      <c r="W9" s="36"/>
      <c r="X9" s="37"/>
      <c r="Y9" s="35" t="s">
        <v>28</v>
      </c>
      <c r="Z9" s="34"/>
      <c r="AA9" s="34" t="n">
        <v>1.5</v>
      </c>
      <c r="AB9" s="35"/>
      <c r="AC9" s="34"/>
      <c r="AD9" s="45"/>
      <c r="AE9" s="35" t="s">
        <v>28</v>
      </c>
      <c r="AF9" s="34"/>
      <c r="AG9" s="34" t="n">
        <v>3.75</v>
      </c>
      <c r="AH9" s="35"/>
      <c r="AI9" s="153"/>
      <c r="AJ9" s="45"/>
      <c r="AK9" s="35" t="s">
        <v>28</v>
      </c>
      <c r="AL9" s="34"/>
      <c r="AM9" s="34" t="n">
        <v>1.75</v>
      </c>
      <c r="AN9" s="35"/>
      <c r="AO9" s="34"/>
      <c r="AP9" s="45"/>
      <c r="AQ9" s="35" t="s">
        <v>30</v>
      </c>
      <c r="AR9" s="34"/>
      <c r="AS9" s="34" t="n">
        <v>3.25</v>
      </c>
      <c r="AT9" s="35" t="s">
        <v>29</v>
      </c>
      <c r="AU9" s="36" t="n">
        <v>0.5</v>
      </c>
      <c r="AV9" s="45" t="n">
        <v>1</v>
      </c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70</v>
      </c>
      <c r="C10" s="29" t="n">
        <f aca="false">SUM(H10:AW10)</f>
        <v>28.5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18.5</v>
      </c>
      <c r="G10" s="148" t="s">
        <v>28</v>
      </c>
      <c r="H10" s="34" t="n">
        <v>2.5</v>
      </c>
      <c r="I10" s="34" t="n">
        <v>2.75</v>
      </c>
      <c r="J10" s="35" t="s">
        <v>29</v>
      </c>
      <c r="K10" s="36"/>
      <c r="L10" s="37" t="n">
        <v>0.5</v>
      </c>
      <c r="M10" s="33" t="s">
        <v>30</v>
      </c>
      <c r="N10" s="34" t="n">
        <v>2.5</v>
      </c>
      <c r="O10" s="34" t="n">
        <v>3.25</v>
      </c>
      <c r="P10" s="35"/>
      <c r="Q10" s="36"/>
      <c r="R10" s="37"/>
      <c r="S10" s="35" t="s">
        <v>31</v>
      </c>
      <c r="T10" s="34"/>
      <c r="U10" s="34" t="n">
        <v>1.5</v>
      </c>
      <c r="V10" s="35"/>
      <c r="W10" s="36"/>
      <c r="X10" s="37"/>
      <c r="Y10" s="35" t="s">
        <v>28</v>
      </c>
      <c r="Z10" s="34"/>
      <c r="AA10" s="34" t="n">
        <v>2.5</v>
      </c>
      <c r="AB10" s="35"/>
      <c r="AC10" s="36"/>
      <c r="AD10" s="37"/>
      <c r="AE10" s="35" t="s">
        <v>28</v>
      </c>
      <c r="AF10" s="34"/>
      <c r="AG10" s="34" t="n">
        <v>2</v>
      </c>
      <c r="AH10" s="35"/>
      <c r="AI10" s="36"/>
      <c r="AJ10" s="37"/>
      <c r="AK10" s="35" t="s">
        <v>31</v>
      </c>
      <c r="AL10" s="34" t="n">
        <v>2.5</v>
      </c>
      <c r="AM10" s="34" t="n">
        <v>3.5</v>
      </c>
      <c r="AN10" s="35"/>
      <c r="AO10" s="36"/>
      <c r="AP10" s="37"/>
      <c r="AQ10" s="35" t="s">
        <v>34</v>
      </c>
      <c r="AR10" s="34" t="n">
        <v>2.5</v>
      </c>
      <c r="AS10" s="34" t="n">
        <v>2.5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165</v>
      </c>
      <c r="C11" s="29" t="n">
        <f aca="false">SUM(H11:AW11)</f>
        <v>26.5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16.5</v>
      </c>
      <c r="G11" s="148" t="s">
        <v>31</v>
      </c>
      <c r="H11" s="34"/>
      <c r="I11" s="34" t="n">
        <v>1.5</v>
      </c>
      <c r="J11" s="35"/>
      <c r="K11" s="36"/>
      <c r="L11" s="37"/>
      <c r="M11" s="33" t="s">
        <v>28</v>
      </c>
      <c r="N11" s="34" t="n">
        <v>2.5</v>
      </c>
      <c r="O11" s="34" t="n">
        <v>2.75</v>
      </c>
      <c r="P11" s="35"/>
      <c r="Q11" s="36"/>
      <c r="R11" s="37"/>
      <c r="S11" s="35" t="s">
        <v>28</v>
      </c>
      <c r="T11" s="34" t="n">
        <v>2.5</v>
      </c>
      <c r="U11" s="34" t="n">
        <v>3</v>
      </c>
      <c r="V11" s="35" t="s">
        <v>36</v>
      </c>
      <c r="W11" s="36"/>
      <c r="X11" s="45"/>
      <c r="Y11" s="35" t="s">
        <v>30</v>
      </c>
      <c r="Z11" s="34"/>
      <c r="AA11" s="34" t="n">
        <v>2.75</v>
      </c>
      <c r="AB11" s="35"/>
      <c r="AC11" s="36"/>
      <c r="AD11" s="37"/>
      <c r="AE11" s="35" t="s">
        <v>31</v>
      </c>
      <c r="AF11" s="34" t="n">
        <v>2.5</v>
      </c>
      <c r="AG11" s="43" t="n">
        <v>2</v>
      </c>
      <c r="AH11" s="35"/>
      <c r="AI11" s="36"/>
      <c r="AJ11" s="37"/>
      <c r="AK11" s="35" t="s">
        <v>34</v>
      </c>
      <c r="AL11" s="34" t="n">
        <v>2.5</v>
      </c>
      <c r="AM11" s="34" t="n">
        <v>3</v>
      </c>
      <c r="AN11" s="35"/>
      <c r="AO11" s="36"/>
      <c r="AP11" s="37"/>
      <c r="AQ11" s="35" t="s">
        <v>28</v>
      </c>
      <c r="AR11" s="34"/>
      <c r="AS11" s="34" t="n">
        <v>1.5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41</v>
      </c>
      <c r="C12" s="29" t="n">
        <f aca="false">SUM(H12:AW12)</f>
        <v>23</v>
      </c>
      <c r="D12" s="82" t="n">
        <f aca="false">E12/2.5</f>
        <v>2</v>
      </c>
      <c r="E12" s="138" t="n">
        <f aca="false">SUM(H12+N12+T12+Z12+AF12+AL12+AR12)</f>
        <v>5</v>
      </c>
      <c r="F12" s="32" t="n">
        <f aca="false">C12-E12</f>
        <v>18</v>
      </c>
      <c r="G12" s="148" t="s">
        <v>30</v>
      </c>
      <c r="H12" s="34" t="n">
        <v>2.5</v>
      </c>
      <c r="I12" s="34" t="n">
        <v>3.25</v>
      </c>
      <c r="J12" s="35" t="s">
        <v>36</v>
      </c>
      <c r="K12" s="36"/>
      <c r="L12" s="37"/>
      <c r="M12" s="33" t="s">
        <v>31</v>
      </c>
      <c r="N12" s="34"/>
      <c r="O12" s="34" t="n">
        <v>2</v>
      </c>
      <c r="P12" s="35"/>
      <c r="Q12" s="36"/>
      <c r="R12" s="37"/>
      <c r="S12" s="35" t="s">
        <v>28</v>
      </c>
      <c r="T12" s="34" t="n">
        <v>2.5</v>
      </c>
      <c r="U12" s="34" t="n">
        <v>3.5</v>
      </c>
      <c r="V12" s="35" t="s">
        <v>36</v>
      </c>
      <c r="W12" s="36"/>
      <c r="X12" s="37"/>
      <c r="Y12" s="35" t="s">
        <v>28</v>
      </c>
      <c r="Z12" s="34"/>
      <c r="AA12" s="34" t="n">
        <v>1.5</v>
      </c>
      <c r="AB12" s="35"/>
      <c r="AC12" s="36"/>
      <c r="AD12" s="37"/>
      <c r="AE12" s="35" t="s">
        <v>28</v>
      </c>
      <c r="AF12" s="34"/>
      <c r="AG12" s="34" t="n">
        <v>2</v>
      </c>
      <c r="AH12" s="35"/>
      <c r="AI12" s="36"/>
      <c r="AJ12" s="37"/>
      <c r="AK12" s="35" t="s">
        <v>28</v>
      </c>
      <c r="AL12" s="34"/>
      <c r="AM12" s="34" t="n">
        <v>2.5</v>
      </c>
      <c r="AN12" s="35" t="s">
        <v>29</v>
      </c>
      <c r="AO12" s="36"/>
      <c r="AP12" s="37" t="n">
        <v>0.5</v>
      </c>
      <c r="AQ12" s="35" t="s">
        <v>28</v>
      </c>
      <c r="AR12" s="34"/>
      <c r="AS12" s="34" t="n">
        <v>2.75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40</v>
      </c>
      <c r="C13" s="29" t="n">
        <f aca="false">SUM(H13:AW13)</f>
        <v>22</v>
      </c>
      <c r="D13" s="82" t="n">
        <f aca="false">E13/2.5</f>
        <v>1</v>
      </c>
      <c r="E13" s="138" t="n">
        <f aca="false">SUM(H13+N13+T13+Z13+AF13+AL13+AR13)</f>
        <v>2.5</v>
      </c>
      <c r="F13" s="32" t="n">
        <f aca="false">C13-E13</f>
        <v>19.5</v>
      </c>
      <c r="G13" s="148" t="s">
        <v>31</v>
      </c>
      <c r="H13" s="34"/>
      <c r="I13" s="34" t="n">
        <v>2.25</v>
      </c>
      <c r="J13" s="35"/>
      <c r="K13" s="36"/>
      <c r="L13" s="37"/>
      <c r="M13" s="33" t="s">
        <v>31</v>
      </c>
      <c r="N13" s="34"/>
      <c r="O13" s="34" t="n">
        <v>2.25</v>
      </c>
      <c r="P13" s="35"/>
      <c r="Q13" s="36"/>
      <c r="R13" s="37"/>
      <c r="S13" s="35" t="s">
        <v>28</v>
      </c>
      <c r="T13" s="34" t="n">
        <v>2.5</v>
      </c>
      <c r="U13" s="34" t="n">
        <v>2.5</v>
      </c>
      <c r="V13" s="35" t="s">
        <v>29</v>
      </c>
      <c r="W13" s="36"/>
      <c r="X13" s="37" t="n">
        <v>0.5</v>
      </c>
      <c r="Y13" s="35" t="s">
        <v>28</v>
      </c>
      <c r="Z13" s="34"/>
      <c r="AA13" s="34" t="n">
        <v>2.25</v>
      </c>
      <c r="AB13" s="35"/>
      <c r="AC13" s="36"/>
      <c r="AD13" s="37"/>
      <c r="AE13" s="35" t="s">
        <v>30</v>
      </c>
      <c r="AF13" s="34"/>
      <c r="AG13" s="34" t="n">
        <v>2.5</v>
      </c>
      <c r="AH13" s="35"/>
      <c r="AI13" s="36"/>
      <c r="AJ13" s="37" t="n">
        <v>1</v>
      </c>
      <c r="AK13" s="35" t="s">
        <v>28</v>
      </c>
      <c r="AL13" s="34"/>
      <c r="AM13" s="34" t="n">
        <v>3.25</v>
      </c>
      <c r="AN13" s="35"/>
      <c r="AO13" s="36"/>
      <c r="AP13" s="37"/>
      <c r="AQ13" s="35" t="s">
        <v>28</v>
      </c>
      <c r="AR13" s="34"/>
      <c r="AS13" s="34" t="n">
        <v>3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166</v>
      </c>
      <c r="C14" s="29" t="n">
        <f aca="false">SUM(H14:AW14)</f>
        <v>22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</v>
      </c>
      <c r="G14" s="148" t="s">
        <v>28</v>
      </c>
      <c r="H14" s="34" t="n">
        <v>2.5</v>
      </c>
      <c r="I14" s="34" t="n">
        <v>1.75</v>
      </c>
      <c r="J14" s="35"/>
      <c r="K14" s="36"/>
      <c r="L14" s="37"/>
      <c r="M14" s="33" t="s">
        <v>34</v>
      </c>
      <c r="N14" s="34"/>
      <c r="O14" s="34" t="n">
        <v>1.25</v>
      </c>
      <c r="P14" s="35"/>
      <c r="Q14" s="36"/>
      <c r="R14" s="37"/>
      <c r="S14" s="35" t="s">
        <v>31</v>
      </c>
      <c r="T14" s="34"/>
      <c r="U14" s="34" t="n">
        <v>2.5</v>
      </c>
      <c r="V14" s="35" t="s">
        <v>33</v>
      </c>
      <c r="W14" s="36"/>
      <c r="X14" s="37"/>
      <c r="Y14" s="35" t="s">
        <v>31</v>
      </c>
      <c r="Z14" s="34" t="n">
        <v>2.5</v>
      </c>
      <c r="AA14" s="34" t="n">
        <v>2.75</v>
      </c>
      <c r="AB14" s="35"/>
      <c r="AC14" s="36"/>
      <c r="AD14" s="37"/>
      <c r="AE14" s="35" t="s">
        <v>28</v>
      </c>
      <c r="AF14" s="34"/>
      <c r="AG14" s="34" t="n">
        <v>3.5</v>
      </c>
      <c r="AH14" s="35"/>
      <c r="AI14" s="36"/>
      <c r="AJ14" s="37"/>
      <c r="AK14" s="35" t="s">
        <v>30</v>
      </c>
      <c r="AL14" s="34"/>
      <c r="AM14" s="34" t="n">
        <v>2.25</v>
      </c>
      <c r="AN14" s="35"/>
      <c r="AO14" s="36"/>
      <c r="AP14" s="37"/>
      <c r="AQ14" s="35" t="s">
        <v>28</v>
      </c>
      <c r="AR14" s="34"/>
      <c r="AS14" s="34" t="n">
        <v>3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211</v>
      </c>
      <c r="C15" s="29" t="n">
        <f aca="false">SUM(H15:AW15)</f>
        <v>21.25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16.25</v>
      </c>
      <c r="G15" s="150" t="s">
        <v>34</v>
      </c>
      <c r="H15" s="50"/>
      <c r="I15" s="50" t="n">
        <v>1.75</v>
      </c>
      <c r="J15" s="51" t="s">
        <v>33</v>
      </c>
      <c r="K15" s="52"/>
      <c r="L15" s="53"/>
      <c r="M15" s="49" t="s">
        <v>28</v>
      </c>
      <c r="N15" s="50" t="n">
        <v>2.5</v>
      </c>
      <c r="O15" s="50" t="n">
        <v>3.25</v>
      </c>
      <c r="P15" s="51"/>
      <c r="Q15" s="52"/>
      <c r="R15" s="94"/>
      <c r="S15" s="51" t="s">
        <v>34</v>
      </c>
      <c r="T15" s="50"/>
      <c r="U15" s="93" t="n">
        <v>1.5</v>
      </c>
      <c r="V15" s="51"/>
      <c r="W15" s="52"/>
      <c r="X15" s="53"/>
      <c r="Y15" s="51" t="s">
        <v>31</v>
      </c>
      <c r="Z15" s="50" t="n">
        <v>2.5</v>
      </c>
      <c r="AA15" s="50" t="n">
        <v>3.25</v>
      </c>
      <c r="AB15" s="51"/>
      <c r="AC15" s="52"/>
      <c r="AD15" s="53"/>
      <c r="AE15" s="51" t="s">
        <v>28</v>
      </c>
      <c r="AF15" s="50"/>
      <c r="AG15" s="50" t="n">
        <v>2.5</v>
      </c>
      <c r="AH15" s="51"/>
      <c r="AI15" s="52"/>
      <c r="AJ15" s="53"/>
      <c r="AK15" s="51" t="s">
        <v>28</v>
      </c>
      <c r="AL15" s="50"/>
      <c r="AM15" s="50" t="n">
        <v>1.5</v>
      </c>
      <c r="AN15" s="51"/>
      <c r="AO15" s="52"/>
      <c r="AP15" s="53"/>
      <c r="AQ15" s="51" t="s">
        <v>28</v>
      </c>
      <c r="AR15" s="50"/>
      <c r="AS15" s="50" t="n">
        <v>2.5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55</v>
      </c>
      <c r="N18" s="66"/>
      <c r="O18" s="66"/>
      <c r="P18" s="66"/>
      <c r="Q18" s="66"/>
      <c r="R18" s="66"/>
      <c r="S18" s="66" t="s">
        <v>88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52</v>
      </c>
      <c r="AF18" s="66"/>
      <c r="AG18" s="66"/>
      <c r="AH18" s="66"/>
      <c r="AI18" s="66"/>
      <c r="AJ18" s="66"/>
      <c r="AK18" s="66" t="s">
        <v>54</v>
      </c>
      <c r="AL18" s="66"/>
      <c r="AM18" s="66"/>
      <c r="AN18" s="66"/>
      <c r="AO18" s="66"/>
      <c r="AP18" s="66"/>
      <c r="AQ18" s="66" t="s">
        <v>52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3</v>
      </c>
      <c r="B26" s="4" t="s">
        <v>211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5</v>
      </c>
      <c r="B27" s="4" t="s">
        <v>68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 t="n">
        <v>5</v>
      </c>
      <c r="B28" s="4" t="s">
        <v>165</v>
      </c>
      <c r="C28" s="4" t="s">
        <v>65</v>
      </c>
      <c r="D28" s="4" t="n">
        <v>-0.5</v>
      </c>
    </row>
    <row r="29" customFormat="false" ht="15.75" hidden="false" customHeight="false" outlineLevel="0" collapsed="false">
      <c r="A29" s="4" t="n">
        <v>7</v>
      </c>
      <c r="B29" s="4" t="s">
        <v>37</v>
      </c>
      <c r="C29" s="4" t="s">
        <v>65</v>
      </c>
      <c r="D29" s="4" t="n">
        <v>-0.5</v>
      </c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  <dataValidation allowBlank="true" errorStyle="stop" operator="between" showDropDown="false" showErrorMessage="true" showInputMessage="false" sqref="B26:B40" type="list">
      <formula1>'12 Серия'!$B$6:$B$15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78</v>
      </c>
      <c r="C6" s="29" t="n">
        <f aca="false">SUM(H6:AW6)</f>
        <v>30.5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20.5</v>
      </c>
      <c r="G6" s="148" t="s">
        <v>28</v>
      </c>
      <c r="H6" s="34"/>
      <c r="I6" s="34" t="n">
        <v>1.75</v>
      </c>
      <c r="J6" s="35"/>
      <c r="K6" s="36"/>
      <c r="L6" s="45"/>
      <c r="M6" s="33" t="s">
        <v>31</v>
      </c>
      <c r="N6" s="34" t="n">
        <v>2.5</v>
      </c>
      <c r="O6" s="34" t="n">
        <v>3.75</v>
      </c>
      <c r="P6" s="35"/>
      <c r="Q6" s="36"/>
      <c r="R6" s="37"/>
      <c r="S6" s="35" t="s">
        <v>28</v>
      </c>
      <c r="T6" s="34" t="n">
        <v>2.5</v>
      </c>
      <c r="U6" s="34" t="n">
        <v>4.25</v>
      </c>
      <c r="V6" s="35"/>
      <c r="W6" s="36"/>
      <c r="X6" s="37"/>
      <c r="Y6" s="35" t="s">
        <v>34</v>
      </c>
      <c r="Z6" s="34" t="n">
        <v>2.5</v>
      </c>
      <c r="AA6" s="34" t="n">
        <v>3.25</v>
      </c>
      <c r="AB6" s="35"/>
      <c r="AC6" s="36"/>
      <c r="AD6" s="37"/>
      <c r="AE6" s="35" t="s">
        <v>28</v>
      </c>
      <c r="AF6" s="34" t="n">
        <v>2.5</v>
      </c>
      <c r="AG6" s="34" t="n">
        <v>2.75</v>
      </c>
      <c r="AH6" s="35"/>
      <c r="AI6" s="36"/>
      <c r="AJ6" s="37"/>
      <c r="AK6" s="35" t="s">
        <v>31</v>
      </c>
      <c r="AL6" s="34"/>
      <c r="AM6" s="34" t="n">
        <v>2.75</v>
      </c>
      <c r="AN6" s="35" t="s">
        <v>33</v>
      </c>
      <c r="AO6" s="36"/>
      <c r="AP6" s="37"/>
      <c r="AQ6" s="35" t="s">
        <v>28</v>
      </c>
      <c r="AR6" s="34"/>
      <c r="AS6" s="34" t="n">
        <v>2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219</v>
      </c>
      <c r="C7" s="29" t="n">
        <f aca="false">SUM(H7:AW7)</f>
        <v>30.5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20.5</v>
      </c>
      <c r="G7" s="148" t="s">
        <v>30</v>
      </c>
      <c r="H7" s="34"/>
      <c r="I7" s="34" t="n">
        <v>3.25</v>
      </c>
      <c r="J7" s="35" t="s">
        <v>33</v>
      </c>
      <c r="K7" s="36"/>
      <c r="L7" s="37"/>
      <c r="M7" s="33" t="s">
        <v>28</v>
      </c>
      <c r="N7" s="34"/>
      <c r="O7" s="34" t="n">
        <v>2.25</v>
      </c>
      <c r="P7" s="35"/>
      <c r="Q7" s="36"/>
      <c r="R7" s="37"/>
      <c r="S7" s="35" t="s">
        <v>28</v>
      </c>
      <c r="T7" s="34" t="n">
        <v>2.5</v>
      </c>
      <c r="U7" s="34" t="n">
        <v>3.25</v>
      </c>
      <c r="V7" s="35"/>
      <c r="W7" s="36"/>
      <c r="X7" s="37"/>
      <c r="Y7" s="35" t="s">
        <v>31</v>
      </c>
      <c r="Z7" s="34" t="n">
        <v>2.5</v>
      </c>
      <c r="AA7" s="34" t="n">
        <v>3.5</v>
      </c>
      <c r="AB7" s="35"/>
      <c r="AC7" s="36"/>
      <c r="AD7" s="37"/>
      <c r="AE7" s="35" t="s">
        <v>28</v>
      </c>
      <c r="AF7" s="34" t="n">
        <v>2.5</v>
      </c>
      <c r="AG7" s="34" t="n">
        <v>2.5</v>
      </c>
      <c r="AH7" s="35"/>
      <c r="AI7" s="36"/>
      <c r="AJ7" s="37"/>
      <c r="AK7" s="35" t="s">
        <v>28</v>
      </c>
      <c r="AL7" s="34" t="n">
        <v>2.5</v>
      </c>
      <c r="AM7" s="34" t="n">
        <v>4</v>
      </c>
      <c r="AN7" s="35"/>
      <c r="AO7" s="36"/>
      <c r="AP7" s="37"/>
      <c r="AQ7" s="35" t="s">
        <v>28</v>
      </c>
      <c r="AR7" s="34"/>
      <c r="AS7" s="34" t="n">
        <v>1.75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183</v>
      </c>
      <c r="C8" s="29" t="n">
        <f aca="false">SUM(H8:AW8)</f>
        <v>30.25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20.25</v>
      </c>
      <c r="G8" s="148" t="s">
        <v>31</v>
      </c>
      <c r="H8" s="34" t="n">
        <v>2.5</v>
      </c>
      <c r="I8" s="34" t="n">
        <v>4.25</v>
      </c>
      <c r="J8" s="35"/>
      <c r="K8" s="36"/>
      <c r="L8" s="37"/>
      <c r="M8" s="33" t="s">
        <v>28</v>
      </c>
      <c r="N8" s="34"/>
      <c r="O8" s="34" t="n">
        <v>2.25</v>
      </c>
      <c r="P8" s="35"/>
      <c r="Q8" s="36"/>
      <c r="R8" s="37"/>
      <c r="S8" s="35" t="s">
        <v>31</v>
      </c>
      <c r="T8" s="34"/>
      <c r="U8" s="34" t="n">
        <v>1.25</v>
      </c>
      <c r="V8" s="35"/>
      <c r="W8" s="36"/>
      <c r="X8" s="37"/>
      <c r="Y8" s="35" t="s">
        <v>28</v>
      </c>
      <c r="Z8" s="34"/>
      <c r="AA8" s="34" t="n">
        <v>2.25</v>
      </c>
      <c r="AB8" s="35"/>
      <c r="AC8" s="36"/>
      <c r="AD8" s="37"/>
      <c r="AE8" s="35" t="s">
        <v>28</v>
      </c>
      <c r="AF8" s="34" t="n">
        <v>2.5</v>
      </c>
      <c r="AG8" s="34" t="n">
        <v>3.25</v>
      </c>
      <c r="AH8" s="35"/>
      <c r="AI8" s="36"/>
      <c r="AJ8" s="37"/>
      <c r="AK8" s="35" t="s">
        <v>28</v>
      </c>
      <c r="AL8" s="34" t="n">
        <v>2.5</v>
      </c>
      <c r="AM8" s="34" t="n">
        <v>3.5</v>
      </c>
      <c r="AN8" s="35" t="s">
        <v>36</v>
      </c>
      <c r="AO8" s="36"/>
      <c r="AP8" s="37"/>
      <c r="AQ8" s="35" t="s">
        <v>34</v>
      </c>
      <c r="AR8" s="34" t="n">
        <v>2.5</v>
      </c>
      <c r="AS8" s="34" t="n">
        <v>3.5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220</v>
      </c>
      <c r="C9" s="29" t="n">
        <f aca="false">SUM(H9:AW9)</f>
        <v>29.75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19.75</v>
      </c>
      <c r="G9" s="148" t="s">
        <v>28</v>
      </c>
      <c r="H9" s="34"/>
      <c r="I9" s="34" t="n">
        <v>3</v>
      </c>
      <c r="J9" s="35"/>
      <c r="K9" s="36"/>
      <c r="L9" s="37"/>
      <c r="M9" s="33" t="s">
        <v>28</v>
      </c>
      <c r="N9" s="34"/>
      <c r="O9" s="34" t="n">
        <v>3</v>
      </c>
      <c r="P9" s="35"/>
      <c r="Q9" s="36"/>
      <c r="R9" s="37"/>
      <c r="S9" s="35" t="s">
        <v>28</v>
      </c>
      <c r="T9" s="34" t="n">
        <v>2.5</v>
      </c>
      <c r="U9" s="34" t="n">
        <v>3</v>
      </c>
      <c r="V9" s="35" t="s">
        <v>29</v>
      </c>
      <c r="W9" s="36" t="n">
        <v>0.5</v>
      </c>
      <c r="X9" s="37" t="n">
        <v>0.5</v>
      </c>
      <c r="Y9" s="35" t="s">
        <v>31</v>
      </c>
      <c r="Z9" s="34" t="n">
        <v>2.5</v>
      </c>
      <c r="AA9" s="34" t="n">
        <v>3.5</v>
      </c>
      <c r="AB9" s="35"/>
      <c r="AC9" s="36"/>
      <c r="AD9" s="37"/>
      <c r="AE9" s="35" t="s">
        <v>28</v>
      </c>
      <c r="AF9" s="34" t="n">
        <v>2.5</v>
      </c>
      <c r="AG9" s="34" t="n">
        <v>2.25</v>
      </c>
      <c r="AH9" s="35"/>
      <c r="AI9" s="36"/>
      <c r="AJ9" s="37"/>
      <c r="AK9" s="35" t="s">
        <v>28</v>
      </c>
      <c r="AL9" s="34" t="n">
        <v>2.5</v>
      </c>
      <c r="AM9" s="34" t="n">
        <v>2</v>
      </c>
      <c r="AN9" s="35"/>
      <c r="AO9" s="36"/>
      <c r="AP9" s="37"/>
      <c r="AQ9" s="35" t="s">
        <v>28</v>
      </c>
      <c r="AR9" s="34"/>
      <c r="AS9" s="34" t="n">
        <v>2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221</v>
      </c>
      <c r="C10" s="29" t="n">
        <f aca="false">SUM(H10:AW10)</f>
        <v>28.75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21.25</v>
      </c>
      <c r="G10" s="148" t="s">
        <v>28</v>
      </c>
      <c r="H10" s="34"/>
      <c r="I10" s="34" t="n">
        <v>3.5</v>
      </c>
      <c r="J10" s="35"/>
      <c r="K10" s="36"/>
      <c r="L10" s="37"/>
      <c r="M10" s="33" t="s">
        <v>30</v>
      </c>
      <c r="N10" s="34"/>
      <c r="O10" s="34" t="n">
        <v>2.75</v>
      </c>
      <c r="P10" s="35" t="s">
        <v>29</v>
      </c>
      <c r="Q10" s="36" t="n">
        <v>0.5</v>
      </c>
      <c r="R10" s="37" t="n">
        <v>0.5</v>
      </c>
      <c r="S10" s="35" t="s">
        <v>30</v>
      </c>
      <c r="T10" s="34" t="n">
        <v>2.5</v>
      </c>
      <c r="U10" s="43" t="n">
        <v>2.5</v>
      </c>
      <c r="V10" s="35"/>
      <c r="W10" s="36"/>
      <c r="X10" s="37"/>
      <c r="Y10" s="35" t="s">
        <v>28</v>
      </c>
      <c r="Z10" s="34"/>
      <c r="AA10" s="34" t="n">
        <v>1.75</v>
      </c>
      <c r="AB10" s="35"/>
      <c r="AC10" s="36"/>
      <c r="AD10" s="37"/>
      <c r="AE10" s="35" t="s">
        <v>28</v>
      </c>
      <c r="AF10" s="34" t="n">
        <v>2.5</v>
      </c>
      <c r="AG10" s="34" t="n">
        <v>3.75</v>
      </c>
      <c r="AH10" s="35"/>
      <c r="AI10" s="36"/>
      <c r="AJ10" s="37"/>
      <c r="AK10" s="35" t="s">
        <v>28</v>
      </c>
      <c r="AL10" s="34" t="n">
        <v>2.5</v>
      </c>
      <c r="AM10" s="34" t="n">
        <v>2.5</v>
      </c>
      <c r="AN10" s="35"/>
      <c r="AO10" s="36"/>
      <c r="AP10" s="37"/>
      <c r="AQ10" s="35" t="s">
        <v>28</v>
      </c>
      <c r="AR10" s="34"/>
      <c r="AS10" s="34" t="n">
        <v>2.5</v>
      </c>
      <c r="AT10" s="35"/>
      <c r="AU10" s="36"/>
      <c r="AV10" s="37" t="n">
        <v>1</v>
      </c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222</v>
      </c>
      <c r="C11" s="29" t="n">
        <f aca="false">SUM(H11:AW11)</f>
        <v>28.5</v>
      </c>
      <c r="D11" s="82" t="n">
        <f aca="false">E11/2.5</f>
        <v>4</v>
      </c>
      <c r="E11" s="138" t="n">
        <f aca="false">SUM(H11+N11+T11+Z11+AF11+AL11+AR11)</f>
        <v>10</v>
      </c>
      <c r="F11" s="32" t="n">
        <f aca="false">C11-E11</f>
        <v>18.5</v>
      </c>
      <c r="G11" s="148" t="s">
        <v>34</v>
      </c>
      <c r="H11" s="34" t="n">
        <v>2.5</v>
      </c>
      <c r="I11" s="34" t="n">
        <v>3.75</v>
      </c>
      <c r="J11" s="35" t="s">
        <v>36</v>
      </c>
      <c r="K11" s="36"/>
      <c r="L11" s="37"/>
      <c r="M11" s="33" t="s">
        <v>34</v>
      </c>
      <c r="N11" s="34" t="n">
        <v>2.5</v>
      </c>
      <c r="O11" s="34" t="n">
        <v>3.75</v>
      </c>
      <c r="P11" s="35"/>
      <c r="Q11" s="36"/>
      <c r="R11" s="37"/>
      <c r="S11" s="35" t="s">
        <v>28</v>
      </c>
      <c r="T11" s="34" t="n">
        <v>2.5</v>
      </c>
      <c r="U11" s="34" t="n">
        <v>2.75</v>
      </c>
      <c r="V11" s="35"/>
      <c r="W11" s="36"/>
      <c r="X11" s="37"/>
      <c r="Y11" s="35" t="s">
        <v>30</v>
      </c>
      <c r="Z11" s="34"/>
      <c r="AA11" s="34" t="n">
        <v>2.5</v>
      </c>
      <c r="AB11" s="35"/>
      <c r="AC11" s="36"/>
      <c r="AD11" s="37"/>
      <c r="AE11" s="35" t="s">
        <v>31</v>
      </c>
      <c r="AF11" s="34"/>
      <c r="AG11" s="34" t="n">
        <v>2.5</v>
      </c>
      <c r="AH11" s="35"/>
      <c r="AI11" s="36"/>
      <c r="AJ11" s="37"/>
      <c r="AK11" s="35" t="s">
        <v>30</v>
      </c>
      <c r="AL11" s="34" t="n">
        <v>2.5</v>
      </c>
      <c r="AM11" s="34" t="n">
        <v>2.25</v>
      </c>
      <c r="AN11" s="35" t="s">
        <v>29</v>
      </c>
      <c r="AO11" s="36"/>
      <c r="AP11" s="37" t="n">
        <v>0.5</v>
      </c>
      <c r="AQ11" s="35" t="s">
        <v>30</v>
      </c>
      <c r="AR11" s="34"/>
      <c r="AS11" s="34" t="n">
        <v>2</v>
      </c>
      <c r="AT11" s="35"/>
      <c r="AU11" s="36"/>
      <c r="AV11" s="37"/>
      <c r="AW11" s="32" t="n">
        <v>-1.5</v>
      </c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223</v>
      </c>
      <c r="C12" s="29" t="n">
        <f aca="false">SUM(H12:AW12)</f>
        <v>27.5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20</v>
      </c>
      <c r="G12" s="148" t="s">
        <v>28</v>
      </c>
      <c r="H12" s="34"/>
      <c r="I12" s="34" t="n">
        <v>1.75</v>
      </c>
      <c r="J12" s="35"/>
      <c r="K12" s="36"/>
      <c r="L12" s="37"/>
      <c r="M12" s="33" t="s">
        <v>28</v>
      </c>
      <c r="N12" s="34"/>
      <c r="O12" s="34" t="n">
        <v>2.25</v>
      </c>
      <c r="P12" s="35"/>
      <c r="Q12" s="36"/>
      <c r="R12" s="37"/>
      <c r="S12" s="35" t="s">
        <v>28</v>
      </c>
      <c r="T12" s="34" t="n">
        <v>2.5</v>
      </c>
      <c r="U12" s="34" t="n">
        <v>3.5</v>
      </c>
      <c r="V12" s="35"/>
      <c r="W12" s="36"/>
      <c r="X12" s="37"/>
      <c r="Y12" s="35" t="s">
        <v>28</v>
      </c>
      <c r="Z12" s="34"/>
      <c r="AA12" s="34" t="n">
        <v>2.75</v>
      </c>
      <c r="AB12" s="35"/>
      <c r="AC12" s="34"/>
      <c r="AD12" s="45"/>
      <c r="AE12" s="35" t="s">
        <v>31</v>
      </c>
      <c r="AF12" s="34"/>
      <c r="AG12" s="34" t="n">
        <v>2.5</v>
      </c>
      <c r="AH12" s="35"/>
      <c r="AI12" s="36"/>
      <c r="AJ12" s="45"/>
      <c r="AK12" s="35" t="s">
        <v>28</v>
      </c>
      <c r="AL12" s="34" t="n">
        <v>2.5</v>
      </c>
      <c r="AM12" s="34" t="n">
        <v>3.5</v>
      </c>
      <c r="AN12" s="35" t="s">
        <v>36</v>
      </c>
      <c r="AO12" s="34"/>
      <c r="AP12" s="45"/>
      <c r="AQ12" s="35" t="s">
        <v>31</v>
      </c>
      <c r="AR12" s="34" t="n">
        <v>2.5</v>
      </c>
      <c r="AS12" s="34" t="n">
        <v>3.75</v>
      </c>
      <c r="AT12" s="35"/>
      <c r="AU12" s="36"/>
      <c r="AV12" s="45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224</v>
      </c>
      <c r="C13" s="29" t="n">
        <f aca="false">SUM(H13:AW13)</f>
        <v>25</v>
      </c>
      <c r="D13" s="82" t="n">
        <f aca="false">E13/2.5</f>
        <v>4</v>
      </c>
      <c r="E13" s="138" t="n">
        <f aca="false">SUM(H13+N13+T13+Z13+AF13+AL13+AR13)</f>
        <v>10</v>
      </c>
      <c r="F13" s="32" t="n">
        <f aca="false">C13-E13</f>
        <v>15</v>
      </c>
      <c r="G13" s="148" t="s">
        <v>31</v>
      </c>
      <c r="H13" s="34" t="n">
        <v>2.5</v>
      </c>
      <c r="I13" s="34" t="n">
        <v>2</v>
      </c>
      <c r="J13" s="35"/>
      <c r="K13" s="36"/>
      <c r="L13" s="37"/>
      <c r="M13" s="33" t="s">
        <v>28</v>
      </c>
      <c r="N13" s="34"/>
      <c r="O13" s="34" t="n">
        <v>1.5</v>
      </c>
      <c r="P13" s="35"/>
      <c r="Q13" s="36"/>
      <c r="R13" s="37"/>
      <c r="S13" s="35" t="s">
        <v>28</v>
      </c>
      <c r="T13" s="34" t="n">
        <v>2.5</v>
      </c>
      <c r="U13" s="34" t="n">
        <v>2.75</v>
      </c>
      <c r="V13" s="35"/>
      <c r="W13" s="36"/>
      <c r="X13" s="45"/>
      <c r="Y13" s="35" t="s">
        <v>28</v>
      </c>
      <c r="Z13" s="34"/>
      <c r="AA13" s="34" t="n">
        <v>2</v>
      </c>
      <c r="AB13" s="35" t="s">
        <v>29</v>
      </c>
      <c r="AC13" s="36"/>
      <c r="AD13" s="37" t="n">
        <v>0.5</v>
      </c>
      <c r="AE13" s="35" t="s">
        <v>30</v>
      </c>
      <c r="AF13" s="34" t="n">
        <v>2.5</v>
      </c>
      <c r="AG13" s="34" t="n">
        <v>2.5</v>
      </c>
      <c r="AH13" s="35"/>
      <c r="AI13" s="36"/>
      <c r="AJ13" s="37"/>
      <c r="AK13" s="35" t="s">
        <v>34</v>
      </c>
      <c r="AL13" s="34"/>
      <c r="AM13" s="43" t="n">
        <v>1.75</v>
      </c>
      <c r="AN13" s="35"/>
      <c r="AO13" s="36"/>
      <c r="AP13" s="37"/>
      <c r="AQ13" s="35" t="s">
        <v>31</v>
      </c>
      <c r="AR13" s="34" t="n">
        <v>2.5</v>
      </c>
      <c r="AS13" s="43" t="n">
        <v>2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225</v>
      </c>
      <c r="C14" s="29" t="n">
        <f aca="false">SUM(H14:AW14)</f>
        <v>23.5</v>
      </c>
      <c r="D14" s="82" t="n">
        <f aca="false">E14/2.5</f>
        <v>3</v>
      </c>
      <c r="E14" s="138" t="n">
        <f aca="false">SUM(H14+N14+T14+Z14+AF14+AL14+AR14)</f>
        <v>7.5</v>
      </c>
      <c r="F14" s="32" t="n">
        <f aca="false">C14-E14</f>
        <v>16</v>
      </c>
      <c r="G14" s="148" t="s">
        <v>28</v>
      </c>
      <c r="H14" s="34"/>
      <c r="I14" s="34" t="n">
        <v>1.75</v>
      </c>
      <c r="J14" s="35" t="s">
        <v>33</v>
      </c>
      <c r="K14" s="36"/>
      <c r="L14" s="37"/>
      <c r="M14" s="33" t="s">
        <v>31</v>
      </c>
      <c r="N14" s="34" t="n">
        <v>2.5</v>
      </c>
      <c r="O14" s="34" t="n">
        <v>2.25</v>
      </c>
      <c r="P14" s="35"/>
      <c r="Q14" s="36"/>
      <c r="R14" s="37"/>
      <c r="S14" s="35" t="s">
        <v>31</v>
      </c>
      <c r="T14" s="34"/>
      <c r="U14" s="43" t="n">
        <v>1.75</v>
      </c>
      <c r="V14" s="35"/>
      <c r="W14" s="36"/>
      <c r="X14" s="37"/>
      <c r="Y14" s="35" t="s">
        <v>28</v>
      </c>
      <c r="Z14" s="34"/>
      <c r="AA14" s="34" t="n">
        <v>2</v>
      </c>
      <c r="AB14" s="35"/>
      <c r="AC14" s="36"/>
      <c r="AD14" s="37"/>
      <c r="AE14" s="35" t="s">
        <v>28</v>
      </c>
      <c r="AF14" s="34" t="n">
        <v>2.5</v>
      </c>
      <c r="AG14" s="34" t="n">
        <v>2.5</v>
      </c>
      <c r="AH14" s="35"/>
      <c r="AI14" s="36"/>
      <c r="AJ14" s="37"/>
      <c r="AK14" s="35" t="s">
        <v>28</v>
      </c>
      <c r="AL14" s="34" t="n">
        <v>2.5</v>
      </c>
      <c r="AM14" s="34" t="n">
        <v>3.75</v>
      </c>
      <c r="AN14" s="35"/>
      <c r="AO14" s="36"/>
      <c r="AP14" s="37"/>
      <c r="AQ14" s="35" t="s">
        <v>28</v>
      </c>
      <c r="AR14" s="34"/>
      <c r="AS14" s="34" t="n">
        <v>2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226</v>
      </c>
      <c r="C15" s="29" t="n">
        <f aca="false">SUM(H15:AW15)</f>
        <v>12.5</v>
      </c>
      <c r="D15" s="85" t="n">
        <f aca="false">E15/2.5</f>
        <v>0</v>
      </c>
      <c r="E15" s="149" t="n">
        <f aca="false">SUM(H15+N15+T15+Z15+AF15+AL15+AR15)</f>
        <v>0</v>
      </c>
      <c r="F15" s="55" t="n">
        <f aca="false">C15-E15</f>
        <v>12.5</v>
      </c>
      <c r="G15" s="150" t="s">
        <v>28</v>
      </c>
      <c r="H15" s="50"/>
      <c r="I15" s="50" t="n">
        <v>3</v>
      </c>
      <c r="J15" s="51"/>
      <c r="K15" s="52"/>
      <c r="L15" s="53"/>
      <c r="M15" s="49" t="s">
        <v>28</v>
      </c>
      <c r="N15" s="50"/>
      <c r="O15" s="50" t="n">
        <v>1.75</v>
      </c>
      <c r="P15" s="51"/>
      <c r="Q15" s="52"/>
      <c r="R15" s="94"/>
      <c r="S15" s="51" t="s">
        <v>34</v>
      </c>
      <c r="T15" s="50"/>
      <c r="U15" s="50" t="n">
        <v>2.5</v>
      </c>
      <c r="V15" s="51"/>
      <c r="W15" s="52"/>
      <c r="X15" s="53"/>
      <c r="Y15" s="51" t="s">
        <v>28</v>
      </c>
      <c r="Z15" s="50"/>
      <c r="AA15" s="50" t="n">
        <v>1</v>
      </c>
      <c r="AB15" s="51"/>
      <c r="AC15" s="52"/>
      <c r="AD15" s="53"/>
      <c r="AE15" s="51" t="s">
        <v>34</v>
      </c>
      <c r="AF15" s="50"/>
      <c r="AG15" s="50" t="n">
        <v>0.5</v>
      </c>
      <c r="AH15" s="51"/>
      <c r="AI15" s="52"/>
      <c r="AJ15" s="53"/>
      <c r="AK15" s="51" t="s">
        <v>31</v>
      </c>
      <c r="AL15" s="50"/>
      <c r="AM15" s="50" t="n">
        <v>2.5</v>
      </c>
      <c r="AN15" s="51"/>
      <c r="AO15" s="52"/>
      <c r="AP15" s="53"/>
      <c r="AQ15" s="51" t="s">
        <v>28</v>
      </c>
      <c r="AR15" s="50"/>
      <c r="AS15" s="50" t="n">
        <v>1.25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false" outlineLevel="0" collapsed="false">
      <c r="A16" s="56" t="s">
        <v>44</v>
      </c>
      <c r="B16" s="1"/>
      <c r="C16" s="2"/>
      <c r="D16" s="2"/>
      <c r="E16" s="2"/>
      <c r="F16" s="3"/>
      <c r="G16" s="143"/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51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89</v>
      </c>
      <c r="T18" s="66"/>
      <c r="U18" s="66"/>
      <c r="V18" s="66"/>
      <c r="W18" s="66"/>
      <c r="X18" s="66"/>
      <c r="Y18" s="66" t="s">
        <v>52</v>
      </c>
      <c r="Z18" s="66"/>
      <c r="AA18" s="66"/>
      <c r="AB18" s="66"/>
      <c r="AC18" s="66"/>
      <c r="AD18" s="66"/>
      <c r="AE18" s="66" t="s">
        <v>89</v>
      </c>
      <c r="AF18" s="66"/>
      <c r="AG18" s="66"/>
      <c r="AH18" s="66"/>
      <c r="AI18" s="66"/>
      <c r="AJ18" s="66"/>
      <c r="AK18" s="66" t="s">
        <v>50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3</v>
      </c>
      <c r="B26" s="4" t="s">
        <v>221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3</v>
      </c>
      <c r="B27" s="4" t="s">
        <v>225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 t="n">
        <v>6</v>
      </c>
      <c r="B28" s="4" t="s">
        <v>224</v>
      </c>
      <c r="C28" s="4" t="s">
        <v>65</v>
      </c>
      <c r="D28" s="4" t="n">
        <v>-0.5</v>
      </c>
    </row>
    <row r="29" customFormat="false" ht="15.75" hidden="false" customHeight="false" outlineLevel="0" collapsed="false">
      <c r="A29" s="4" t="n">
        <v>7</v>
      </c>
      <c r="B29" s="4" t="s">
        <v>224</v>
      </c>
      <c r="C29" s="4" t="s">
        <v>65</v>
      </c>
      <c r="D29" s="4" t="n">
        <v>-1</v>
      </c>
    </row>
    <row r="30" customFormat="false" ht="15.75" hidden="false" customHeight="false" outlineLevel="0" collapsed="false">
      <c r="A30" s="4"/>
      <c r="B30" s="4" t="s">
        <v>222</v>
      </c>
      <c r="C30" s="4" t="s">
        <v>227</v>
      </c>
      <c r="D30" s="4" t="n">
        <v>-1.5</v>
      </c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B26:B40" type="list">
      <formula1>'13 Серия'!$B$6:$B$15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29" t="s">
        <v>39</v>
      </c>
      <c r="C6" s="29" t="n">
        <f aca="false">SUM(H6:AW6)</f>
        <v>32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19.5</v>
      </c>
      <c r="G6" s="148" t="s">
        <v>31</v>
      </c>
      <c r="H6" s="34" t="n">
        <v>2.5</v>
      </c>
      <c r="I6" s="34" t="n">
        <v>3.5</v>
      </c>
      <c r="J6" s="35"/>
      <c r="K6" s="36"/>
      <c r="L6" s="37"/>
      <c r="M6" s="33" t="s">
        <v>28</v>
      </c>
      <c r="N6" s="34"/>
      <c r="O6" s="34" t="n">
        <v>3</v>
      </c>
      <c r="P6" s="35"/>
      <c r="Q6" s="36"/>
      <c r="R6" s="37"/>
      <c r="S6" s="35" t="s">
        <v>28</v>
      </c>
      <c r="T6" s="34" t="n">
        <v>2.5</v>
      </c>
      <c r="U6" s="34" t="n">
        <v>3</v>
      </c>
      <c r="V6" s="35"/>
      <c r="W6" s="36"/>
      <c r="X6" s="45"/>
      <c r="Y6" s="35" t="s">
        <v>31</v>
      </c>
      <c r="Z6" s="34" t="n">
        <v>2.5</v>
      </c>
      <c r="AA6" s="34" t="n">
        <v>2.25</v>
      </c>
      <c r="AB6" s="35"/>
      <c r="AC6" s="36"/>
      <c r="AD6" s="37"/>
      <c r="AE6" s="35" t="s">
        <v>28</v>
      </c>
      <c r="AF6" s="34" t="n">
        <v>2.5</v>
      </c>
      <c r="AG6" s="34" t="n">
        <v>2.25</v>
      </c>
      <c r="AH6" s="35"/>
      <c r="AI6" s="36"/>
      <c r="AJ6" s="37"/>
      <c r="AK6" s="35" t="s">
        <v>31</v>
      </c>
      <c r="AL6" s="34" t="n">
        <v>2.5</v>
      </c>
      <c r="AM6" s="34" t="n">
        <v>3</v>
      </c>
      <c r="AN6" s="35"/>
      <c r="AO6" s="36"/>
      <c r="AP6" s="37"/>
      <c r="AQ6" s="35" t="s">
        <v>31</v>
      </c>
      <c r="AR6" s="34"/>
      <c r="AS6" s="34" t="n">
        <v>2.5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40" t="s">
        <v>229</v>
      </c>
      <c r="C7" s="29" t="n">
        <f aca="false">SUM(H7:AW7)</f>
        <v>31.25</v>
      </c>
      <c r="D7" s="82" t="n">
        <f aca="false">E7/2.5</f>
        <v>4</v>
      </c>
      <c r="E7" s="138" t="n">
        <f aca="false">SUM(H7+N7+T7+Z7+AF7+AL7+AR7)</f>
        <v>10</v>
      </c>
      <c r="F7" s="32" t="n">
        <f aca="false">C7-E7</f>
        <v>21.25</v>
      </c>
      <c r="G7" s="148" t="s">
        <v>28</v>
      </c>
      <c r="H7" s="34"/>
      <c r="I7" s="34" t="n">
        <v>3.25</v>
      </c>
      <c r="J7" s="35" t="s">
        <v>29</v>
      </c>
      <c r="K7" s="36" t="n">
        <v>0.5</v>
      </c>
      <c r="L7" s="37" t="n">
        <v>0.5</v>
      </c>
      <c r="M7" s="33" t="s">
        <v>28</v>
      </c>
      <c r="N7" s="34"/>
      <c r="O7" s="43" t="n">
        <v>0.75</v>
      </c>
      <c r="P7" s="35"/>
      <c r="Q7" s="36"/>
      <c r="R7" s="37"/>
      <c r="S7" s="35" t="s">
        <v>28</v>
      </c>
      <c r="T7" s="34" t="n">
        <v>2.5</v>
      </c>
      <c r="U7" s="34" t="n">
        <v>4.5</v>
      </c>
      <c r="V7" s="35"/>
      <c r="W7" s="36"/>
      <c r="X7" s="37"/>
      <c r="Y7" s="35" t="s">
        <v>31</v>
      </c>
      <c r="Z7" s="34" t="n">
        <v>2.5</v>
      </c>
      <c r="AA7" s="34" t="n">
        <v>3.75</v>
      </c>
      <c r="AB7" s="35" t="s">
        <v>36</v>
      </c>
      <c r="AC7" s="36"/>
      <c r="AD7" s="37"/>
      <c r="AE7" s="35" t="s">
        <v>30</v>
      </c>
      <c r="AF7" s="34" t="n">
        <v>2.5</v>
      </c>
      <c r="AG7" s="34" t="n">
        <v>3.25</v>
      </c>
      <c r="AH7" s="35"/>
      <c r="AI7" s="36"/>
      <c r="AJ7" s="37"/>
      <c r="AK7" s="35" t="s">
        <v>28</v>
      </c>
      <c r="AL7" s="34"/>
      <c r="AM7" s="34" t="n">
        <v>1.5</v>
      </c>
      <c r="AN7" s="35"/>
      <c r="AO7" s="36"/>
      <c r="AP7" s="37"/>
      <c r="AQ7" s="35" t="s">
        <v>30</v>
      </c>
      <c r="AR7" s="34" t="n">
        <v>2.5</v>
      </c>
      <c r="AS7" s="34" t="n">
        <v>3.25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40" t="s">
        <v>177</v>
      </c>
      <c r="C8" s="29" t="n">
        <f aca="false">SUM(H8:AW8)</f>
        <v>31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21</v>
      </c>
      <c r="G8" s="148" t="s">
        <v>34</v>
      </c>
      <c r="H8" s="34" t="n">
        <v>2.5</v>
      </c>
      <c r="I8" s="34" t="n">
        <v>3.5</v>
      </c>
      <c r="J8" s="35"/>
      <c r="K8" s="36"/>
      <c r="L8" s="37"/>
      <c r="M8" s="33" t="s">
        <v>34</v>
      </c>
      <c r="N8" s="34" t="n">
        <v>2.5</v>
      </c>
      <c r="O8" s="34" t="n">
        <v>3.25</v>
      </c>
      <c r="P8" s="35"/>
      <c r="Q8" s="36"/>
      <c r="R8" s="37"/>
      <c r="S8" s="35" t="s">
        <v>28</v>
      </c>
      <c r="T8" s="34" t="n">
        <v>2.5</v>
      </c>
      <c r="U8" s="34" t="n">
        <v>2.5</v>
      </c>
      <c r="V8" s="35" t="s">
        <v>29</v>
      </c>
      <c r="W8" s="36"/>
      <c r="X8" s="37" t="n">
        <v>0.5</v>
      </c>
      <c r="Y8" s="35" t="s">
        <v>28</v>
      </c>
      <c r="Z8" s="34"/>
      <c r="AA8" s="34" t="n">
        <v>4.5</v>
      </c>
      <c r="AB8" s="35"/>
      <c r="AC8" s="36"/>
      <c r="AD8" s="37"/>
      <c r="AE8" s="35" t="s">
        <v>28</v>
      </c>
      <c r="AF8" s="34" t="n">
        <v>2.5</v>
      </c>
      <c r="AG8" s="34" t="n">
        <v>1.75</v>
      </c>
      <c r="AH8" s="35" t="s">
        <v>29</v>
      </c>
      <c r="AI8" s="36"/>
      <c r="AJ8" s="37" t="n">
        <v>1</v>
      </c>
      <c r="AK8" s="35" t="s">
        <v>28</v>
      </c>
      <c r="AL8" s="34"/>
      <c r="AM8" s="34" t="n">
        <v>2</v>
      </c>
      <c r="AN8" s="35"/>
      <c r="AO8" s="36"/>
      <c r="AP8" s="37"/>
      <c r="AQ8" s="35" t="s">
        <v>31</v>
      </c>
      <c r="AR8" s="34"/>
      <c r="AS8" s="34" t="n">
        <v>2</v>
      </c>
      <c r="AT8" s="35"/>
      <c r="AU8" s="36"/>
      <c r="AV8" s="37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40" t="s">
        <v>230</v>
      </c>
      <c r="C9" s="29" t="n">
        <f aca="false">SUM(H9:AW9)</f>
        <v>28.75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18.75</v>
      </c>
      <c r="G9" s="148" t="s">
        <v>28</v>
      </c>
      <c r="H9" s="34"/>
      <c r="I9" s="34" t="n">
        <v>3.25</v>
      </c>
      <c r="J9" s="35"/>
      <c r="K9" s="36"/>
      <c r="L9" s="45"/>
      <c r="M9" s="33" t="s">
        <v>30</v>
      </c>
      <c r="N9" s="34"/>
      <c r="O9" s="34" t="n">
        <v>1.75</v>
      </c>
      <c r="P9" s="35"/>
      <c r="Q9" s="36"/>
      <c r="R9" s="37"/>
      <c r="S9" s="35" t="s">
        <v>28</v>
      </c>
      <c r="T9" s="34" t="n">
        <v>2.5</v>
      </c>
      <c r="U9" s="34" t="n">
        <v>3</v>
      </c>
      <c r="V9" s="35"/>
      <c r="W9" s="36"/>
      <c r="X9" s="37"/>
      <c r="Y9" s="35" t="s">
        <v>34</v>
      </c>
      <c r="Z9" s="34" t="n">
        <v>2.5</v>
      </c>
      <c r="AA9" s="34" t="n">
        <v>1.75</v>
      </c>
      <c r="AB9" s="35"/>
      <c r="AC9" s="36"/>
      <c r="AD9" s="37"/>
      <c r="AE9" s="35" t="s">
        <v>28</v>
      </c>
      <c r="AF9" s="34" t="n">
        <v>2.5</v>
      </c>
      <c r="AG9" s="34" t="n">
        <v>2.75</v>
      </c>
      <c r="AH9" s="35"/>
      <c r="AI9" s="36"/>
      <c r="AJ9" s="37"/>
      <c r="AK9" s="35" t="s">
        <v>28</v>
      </c>
      <c r="AL9" s="34"/>
      <c r="AM9" s="34" t="n">
        <v>2.75</v>
      </c>
      <c r="AN9" s="35"/>
      <c r="AO9" s="36"/>
      <c r="AP9" s="37"/>
      <c r="AQ9" s="35" t="s">
        <v>28</v>
      </c>
      <c r="AR9" s="34" t="n">
        <v>2.5</v>
      </c>
      <c r="AS9" s="34" t="n">
        <v>3.5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40" t="s">
        <v>78</v>
      </c>
      <c r="C10" s="29" t="n">
        <f aca="false">SUM(H10:AW10)</f>
        <v>27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19.5</v>
      </c>
      <c r="G10" s="148" t="s">
        <v>31</v>
      </c>
      <c r="H10" s="34" t="n">
        <v>2.5</v>
      </c>
      <c r="I10" s="34" t="n">
        <v>4</v>
      </c>
      <c r="J10" s="35"/>
      <c r="K10" s="36"/>
      <c r="L10" s="37"/>
      <c r="M10" s="33" t="s">
        <v>28</v>
      </c>
      <c r="N10" s="34"/>
      <c r="O10" s="34" t="n">
        <v>2.75</v>
      </c>
      <c r="P10" s="35"/>
      <c r="Q10" s="36"/>
      <c r="R10" s="37"/>
      <c r="S10" s="35" t="s">
        <v>34</v>
      </c>
      <c r="T10" s="34"/>
      <c r="U10" s="34" t="n">
        <v>1.75</v>
      </c>
      <c r="V10" s="35"/>
      <c r="W10" s="36"/>
      <c r="X10" s="37"/>
      <c r="Y10" s="35" t="s">
        <v>28</v>
      </c>
      <c r="Z10" s="34"/>
      <c r="AA10" s="34" t="n">
        <v>2.75</v>
      </c>
      <c r="AB10" s="35" t="s">
        <v>33</v>
      </c>
      <c r="AC10" s="36"/>
      <c r="AD10" s="37"/>
      <c r="AE10" s="35" t="s">
        <v>28</v>
      </c>
      <c r="AF10" s="34" t="n">
        <v>2.5</v>
      </c>
      <c r="AG10" s="34" t="n">
        <v>2.75</v>
      </c>
      <c r="AH10" s="35"/>
      <c r="AI10" s="36"/>
      <c r="AJ10" s="37"/>
      <c r="AK10" s="35" t="s">
        <v>28</v>
      </c>
      <c r="AL10" s="34"/>
      <c r="AM10" s="34" t="n">
        <v>3.5</v>
      </c>
      <c r="AN10" s="35"/>
      <c r="AO10" s="36"/>
      <c r="AP10" s="37"/>
      <c r="AQ10" s="35" t="s">
        <v>28</v>
      </c>
      <c r="AR10" s="34" t="n">
        <v>2.5</v>
      </c>
      <c r="AS10" s="34" t="n">
        <v>2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40" t="s">
        <v>223</v>
      </c>
      <c r="C11" s="29" t="n">
        <f aca="false">SUM(H11:AW11)</f>
        <v>26.5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19</v>
      </c>
      <c r="G11" s="148" t="s">
        <v>28</v>
      </c>
      <c r="H11" s="34"/>
      <c r="I11" s="34" t="n">
        <v>1.5</v>
      </c>
      <c r="J11" s="35"/>
      <c r="K11" s="36"/>
      <c r="L11" s="37"/>
      <c r="M11" s="33" t="s">
        <v>28</v>
      </c>
      <c r="N11" s="34"/>
      <c r="O11" s="34" t="n">
        <v>2.75</v>
      </c>
      <c r="P11" s="35"/>
      <c r="Q11" s="36"/>
      <c r="R11" s="37"/>
      <c r="S11" s="35" t="s">
        <v>28</v>
      </c>
      <c r="T11" s="34" t="n">
        <v>2.5</v>
      </c>
      <c r="U11" s="34" t="n">
        <v>3</v>
      </c>
      <c r="V11" s="35"/>
      <c r="W11" s="36"/>
      <c r="X11" s="37"/>
      <c r="Y11" s="35" t="s">
        <v>30</v>
      </c>
      <c r="Z11" s="34"/>
      <c r="AA11" s="34" t="n">
        <v>3.5</v>
      </c>
      <c r="AB11" s="35"/>
      <c r="AC11" s="34"/>
      <c r="AD11" s="45"/>
      <c r="AE11" s="35" t="s">
        <v>28</v>
      </c>
      <c r="AF11" s="34" t="n">
        <v>2.5</v>
      </c>
      <c r="AG11" s="34" t="n">
        <v>2.25</v>
      </c>
      <c r="AH11" s="35"/>
      <c r="AI11" s="36"/>
      <c r="AJ11" s="45"/>
      <c r="AK11" s="35" t="s">
        <v>28</v>
      </c>
      <c r="AL11" s="34"/>
      <c r="AM11" s="34" t="n">
        <v>2.5</v>
      </c>
      <c r="AN11" s="35" t="s">
        <v>29</v>
      </c>
      <c r="AO11" s="34"/>
      <c r="AP11" s="45" t="n">
        <v>0.5</v>
      </c>
      <c r="AQ11" s="35" t="s">
        <v>28</v>
      </c>
      <c r="AR11" s="34" t="n">
        <v>2.5</v>
      </c>
      <c r="AS11" s="34" t="n">
        <v>3</v>
      </c>
      <c r="AT11" s="35"/>
      <c r="AU11" s="36"/>
      <c r="AV11" s="45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40" t="s">
        <v>221</v>
      </c>
      <c r="C12" s="29" t="n">
        <f aca="false">SUM(H12:AW12)</f>
        <v>26.25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18.75</v>
      </c>
      <c r="G12" s="148" t="s">
        <v>30</v>
      </c>
      <c r="H12" s="34"/>
      <c r="I12" s="43" t="n">
        <v>1.5</v>
      </c>
      <c r="J12" s="35"/>
      <c r="K12" s="36"/>
      <c r="L12" s="37"/>
      <c r="M12" s="33" t="s">
        <v>31</v>
      </c>
      <c r="N12" s="34" t="n">
        <v>2.5</v>
      </c>
      <c r="O12" s="34" t="n">
        <v>3.5</v>
      </c>
      <c r="P12" s="35"/>
      <c r="Q12" s="36"/>
      <c r="R12" s="37"/>
      <c r="S12" s="35" t="s">
        <v>28</v>
      </c>
      <c r="T12" s="34" t="n">
        <v>2.5</v>
      </c>
      <c r="U12" s="34" t="n">
        <v>4.5</v>
      </c>
      <c r="V12" s="35"/>
      <c r="W12" s="36"/>
      <c r="X12" s="37"/>
      <c r="Y12" s="35" t="s">
        <v>28</v>
      </c>
      <c r="Z12" s="34"/>
      <c r="AA12" s="34" t="n">
        <v>2</v>
      </c>
      <c r="AB12" s="35" t="s">
        <v>29</v>
      </c>
      <c r="AC12" s="36"/>
      <c r="AD12" s="37" t="n">
        <v>0.5</v>
      </c>
      <c r="AE12" s="35" t="s">
        <v>31</v>
      </c>
      <c r="AF12" s="34"/>
      <c r="AG12" s="34" t="n">
        <v>2</v>
      </c>
      <c r="AH12" s="35"/>
      <c r="AI12" s="36"/>
      <c r="AJ12" s="37"/>
      <c r="AK12" s="35" t="s">
        <v>30</v>
      </c>
      <c r="AL12" s="34"/>
      <c r="AM12" s="43" t="n">
        <v>1</v>
      </c>
      <c r="AN12" s="35"/>
      <c r="AO12" s="36"/>
      <c r="AP12" s="37"/>
      <c r="AQ12" s="35" t="s">
        <v>28</v>
      </c>
      <c r="AR12" s="34" t="n">
        <v>2.5</v>
      </c>
      <c r="AS12" s="34" t="n">
        <v>3.75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40" t="s">
        <v>159</v>
      </c>
      <c r="C13" s="29" t="n">
        <f aca="false">SUM(H13:AW13)</f>
        <v>26.25</v>
      </c>
      <c r="D13" s="82" t="n">
        <f aca="false">E13/2.5</f>
        <v>3</v>
      </c>
      <c r="E13" s="138" t="n">
        <f aca="false">SUM(H13+N13+T13+Z13+AF13+AL13+AR13)</f>
        <v>7.5</v>
      </c>
      <c r="F13" s="32" t="n">
        <f aca="false">C13-E13</f>
        <v>18.75</v>
      </c>
      <c r="G13" s="148" t="s">
        <v>28</v>
      </c>
      <c r="H13" s="34"/>
      <c r="I13" s="34" t="n">
        <v>1.75</v>
      </c>
      <c r="J13" s="35"/>
      <c r="K13" s="36"/>
      <c r="L13" s="37"/>
      <c r="M13" s="33" t="s">
        <v>28</v>
      </c>
      <c r="N13" s="34"/>
      <c r="O13" s="34" t="n">
        <v>2.75</v>
      </c>
      <c r="P13" s="35"/>
      <c r="Q13" s="36"/>
      <c r="R13" s="37"/>
      <c r="S13" s="35" t="s">
        <v>31</v>
      </c>
      <c r="T13" s="34"/>
      <c r="U13" s="34" t="n">
        <v>2.5</v>
      </c>
      <c r="V13" s="35"/>
      <c r="W13" s="36"/>
      <c r="X13" s="37"/>
      <c r="Y13" s="35" t="s">
        <v>28</v>
      </c>
      <c r="Z13" s="34"/>
      <c r="AA13" s="34" t="n">
        <v>4.25</v>
      </c>
      <c r="AB13" s="35"/>
      <c r="AC13" s="36"/>
      <c r="AD13" s="37"/>
      <c r="AE13" s="35" t="s">
        <v>28</v>
      </c>
      <c r="AF13" s="34" t="n">
        <v>2.5</v>
      </c>
      <c r="AG13" s="34" t="n">
        <v>2.5</v>
      </c>
      <c r="AH13" s="35"/>
      <c r="AI13" s="36"/>
      <c r="AJ13" s="37"/>
      <c r="AK13" s="35" t="s">
        <v>34</v>
      </c>
      <c r="AL13" s="34" t="n">
        <v>2.5</v>
      </c>
      <c r="AM13" s="34" t="n">
        <v>4</v>
      </c>
      <c r="AN13" s="35"/>
      <c r="AO13" s="36"/>
      <c r="AP13" s="37"/>
      <c r="AQ13" s="35" t="s">
        <v>28</v>
      </c>
      <c r="AR13" s="34" t="n">
        <v>2.5</v>
      </c>
      <c r="AS13" s="34" t="n">
        <v>2</v>
      </c>
      <c r="AT13" s="35"/>
      <c r="AU13" s="36"/>
      <c r="AV13" s="37"/>
      <c r="AW13" s="32" t="n">
        <v>-1</v>
      </c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40" t="s">
        <v>219</v>
      </c>
      <c r="C14" s="29" t="n">
        <f aca="false">SUM(H14:AW14)</f>
        <v>22.75</v>
      </c>
      <c r="D14" s="82" t="n">
        <f aca="false">E14/2.5</f>
        <v>2</v>
      </c>
      <c r="E14" s="138" t="n">
        <f aca="false">SUM(H14+N14+T14+Z14+AF14+AL14+AR14)</f>
        <v>5</v>
      </c>
      <c r="F14" s="32" t="n">
        <f aca="false">C14-E14</f>
        <v>17.75</v>
      </c>
      <c r="G14" s="148" t="s">
        <v>28</v>
      </c>
      <c r="H14" s="34"/>
      <c r="I14" s="34" t="n">
        <v>2.75</v>
      </c>
      <c r="J14" s="35"/>
      <c r="K14" s="36"/>
      <c r="L14" s="37"/>
      <c r="M14" s="33" t="s">
        <v>28</v>
      </c>
      <c r="N14" s="34"/>
      <c r="O14" s="34" t="n">
        <v>2.5</v>
      </c>
      <c r="P14" s="35" t="s">
        <v>29</v>
      </c>
      <c r="Q14" s="36"/>
      <c r="R14" s="45" t="n">
        <v>0.5</v>
      </c>
      <c r="S14" s="35" t="s">
        <v>30</v>
      </c>
      <c r="T14" s="34" t="n">
        <v>2.5</v>
      </c>
      <c r="U14" s="34" t="n">
        <v>4</v>
      </c>
      <c r="V14" s="35"/>
      <c r="W14" s="36"/>
      <c r="X14" s="37"/>
      <c r="Y14" s="35" t="s">
        <v>28</v>
      </c>
      <c r="Z14" s="34"/>
      <c r="AA14" s="34" t="n">
        <v>2</v>
      </c>
      <c r="AB14" s="35" t="s">
        <v>33</v>
      </c>
      <c r="AC14" s="36"/>
      <c r="AD14" s="37"/>
      <c r="AE14" s="35" t="s">
        <v>34</v>
      </c>
      <c r="AF14" s="34"/>
      <c r="AG14" s="34" t="n">
        <v>1.5</v>
      </c>
      <c r="AH14" s="35"/>
      <c r="AI14" s="36"/>
      <c r="AJ14" s="37"/>
      <c r="AK14" s="35" t="s">
        <v>31</v>
      </c>
      <c r="AL14" s="34" t="n">
        <v>2.5</v>
      </c>
      <c r="AM14" s="34" t="n">
        <v>2.5</v>
      </c>
      <c r="AN14" s="35"/>
      <c r="AO14" s="36"/>
      <c r="AP14" s="37"/>
      <c r="AQ14" s="35" t="s">
        <v>34</v>
      </c>
      <c r="AR14" s="34"/>
      <c r="AS14" s="34" t="n">
        <v>2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41" t="s">
        <v>165</v>
      </c>
      <c r="C15" s="29" t="n">
        <f aca="false">SUM(H15:AW15)</f>
        <v>21.75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16.75</v>
      </c>
      <c r="G15" s="150" t="s">
        <v>28</v>
      </c>
      <c r="H15" s="50"/>
      <c r="I15" s="50" t="n">
        <v>2.75</v>
      </c>
      <c r="J15" s="51"/>
      <c r="K15" s="52"/>
      <c r="L15" s="53"/>
      <c r="M15" s="49" t="s">
        <v>31</v>
      </c>
      <c r="N15" s="50" t="n">
        <v>2.5</v>
      </c>
      <c r="O15" s="50" t="n">
        <v>2.75</v>
      </c>
      <c r="P15" s="51"/>
      <c r="Q15" s="52"/>
      <c r="R15" s="53"/>
      <c r="S15" s="51" t="s">
        <v>31</v>
      </c>
      <c r="T15" s="50"/>
      <c r="U15" s="50" t="n">
        <v>2</v>
      </c>
      <c r="V15" s="51"/>
      <c r="W15" s="52"/>
      <c r="X15" s="53"/>
      <c r="Y15" s="51" t="s">
        <v>28</v>
      </c>
      <c r="Z15" s="50"/>
      <c r="AA15" s="50" t="n">
        <v>1.75</v>
      </c>
      <c r="AB15" s="51" t="s">
        <v>33</v>
      </c>
      <c r="AC15" s="52"/>
      <c r="AD15" s="53"/>
      <c r="AE15" s="51" t="s">
        <v>31</v>
      </c>
      <c r="AF15" s="50"/>
      <c r="AG15" s="50" t="n">
        <v>2</v>
      </c>
      <c r="AH15" s="51"/>
      <c r="AI15" s="52"/>
      <c r="AJ15" s="53"/>
      <c r="AK15" s="51" t="s">
        <v>28</v>
      </c>
      <c r="AL15" s="50"/>
      <c r="AM15" s="50" t="n">
        <v>2</v>
      </c>
      <c r="AN15" s="51"/>
      <c r="AO15" s="52"/>
      <c r="AP15" s="53"/>
      <c r="AQ15" s="51" t="s">
        <v>28</v>
      </c>
      <c r="AR15" s="50" t="n">
        <v>2.5</v>
      </c>
      <c r="AS15" s="50" t="n">
        <v>2.5</v>
      </c>
      <c r="AT15" s="51" t="s">
        <v>29</v>
      </c>
      <c r="AU15" s="52" t="n">
        <v>0.5</v>
      </c>
      <c r="AV15" s="53" t="n">
        <v>0.5</v>
      </c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143" t="s">
        <v>231</v>
      </c>
      <c r="H16" s="143"/>
      <c r="I16" s="143"/>
      <c r="J16" s="143"/>
      <c r="K16" s="143"/>
      <c r="L16" s="143"/>
      <c r="M16" s="58" t="s">
        <v>232</v>
      </c>
      <c r="N16" s="58"/>
      <c r="O16" s="58"/>
      <c r="P16" s="58"/>
      <c r="Q16" s="58"/>
      <c r="R16" s="58"/>
      <c r="S16" s="58" t="s">
        <v>233</v>
      </c>
      <c r="T16" s="58"/>
      <c r="U16" s="58"/>
      <c r="V16" s="58"/>
      <c r="W16" s="58"/>
      <c r="X16" s="58"/>
      <c r="Y16" s="58" t="s">
        <v>234</v>
      </c>
      <c r="Z16" s="58"/>
      <c r="AA16" s="58"/>
      <c r="AB16" s="58"/>
      <c r="AC16" s="58"/>
      <c r="AD16" s="58"/>
      <c r="AE16" s="58" t="s">
        <v>235</v>
      </c>
      <c r="AF16" s="58"/>
      <c r="AG16" s="58"/>
      <c r="AH16" s="58"/>
      <c r="AI16" s="58"/>
      <c r="AJ16" s="58"/>
      <c r="AK16" s="58" t="s">
        <v>236</v>
      </c>
      <c r="AL16" s="58"/>
      <c r="AM16" s="58"/>
      <c r="AN16" s="58"/>
      <c r="AO16" s="58"/>
      <c r="AP16" s="58"/>
      <c r="AQ16" s="58" t="s">
        <v>237</v>
      </c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52</v>
      </c>
      <c r="H18" s="65"/>
      <c r="I18" s="65"/>
      <c r="J18" s="65"/>
      <c r="K18" s="65"/>
      <c r="L18" s="65"/>
      <c r="M18" s="66" t="s">
        <v>52</v>
      </c>
      <c r="N18" s="66"/>
      <c r="O18" s="66"/>
      <c r="P18" s="66"/>
      <c r="Q18" s="66"/>
      <c r="R18" s="66"/>
      <c r="S18" s="66" t="s">
        <v>55</v>
      </c>
      <c r="T18" s="66"/>
      <c r="U18" s="66"/>
      <c r="V18" s="66"/>
      <c r="W18" s="66"/>
      <c r="X18" s="66"/>
      <c r="Y18" s="66" t="s">
        <v>51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54</v>
      </c>
      <c r="AL18" s="66"/>
      <c r="AM18" s="66"/>
      <c r="AN18" s="66"/>
      <c r="AO18" s="66"/>
      <c r="AP18" s="66"/>
      <c r="AQ18" s="66" t="s">
        <v>89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/>
      <c r="B26" s="4" t="s">
        <v>159</v>
      </c>
      <c r="C26" s="4" t="s">
        <v>227</v>
      </c>
      <c r="D26" s="4" t="n">
        <v>-1</v>
      </c>
    </row>
    <row r="27" customFormat="false" ht="15.75" hidden="false" customHeight="false" outlineLevel="0" collapsed="false">
      <c r="A27" s="76" t="n">
        <v>1</v>
      </c>
      <c r="B27" s="4" t="s">
        <v>221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 t="n">
        <v>2</v>
      </c>
      <c r="B28" s="4" t="s">
        <v>229</v>
      </c>
      <c r="C28" s="4" t="s">
        <v>64</v>
      </c>
      <c r="D28" s="4" t="n">
        <v>-1</v>
      </c>
    </row>
    <row r="29" customFormat="false" ht="15.75" hidden="false" customHeight="false" outlineLevel="0" collapsed="false">
      <c r="A29" s="4" t="n">
        <v>6</v>
      </c>
      <c r="B29" s="4" t="s">
        <v>221</v>
      </c>
      <c r="C29" s="4" t="s">
        <v>65</v>
      </c>
      <c r="D29" s="4" t="n">
        <v>-1</v>
      </c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B26:B40" type="list">
      <formula1>'14 Серия'!$B$6:$B$15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154" t="s">
        <v>42</v>
      </c>
      <c r="C6" s="29" t="n">
        <f aca="false">SUM(H6:AW6)</f>
        <v>32</v>
      </c>
      <c r="D6" s="79" t="n">
        <f aca="false">E6/2.5</f>
        <v>4</v>
      </c>
      <c r="E6" s="147" t="n">
        <f aca="false">SUM(H6+N6+T6+Z6+AF6+AL6+AR6)</f>
        <v>10</v>
      </c>
      <c r="F6" s="39" t="n">
        <f aca="false">C6-E6</f>
        <v>22</v>
      </c>
      <c r="G6" s="148" t="s">
        <v>28</v>
      </c>
      <c r="H6" s="34" t="n">
        <v>2.5</v>
      </c>
      <c r="I6" s="34" t="n">
        <v>4.25</v>
      </c>
      <c r="J6" s="35"/>
      <c r="K6" s="36"/>
      <c r="L6" s="45"/>
      <c r="M6" s="33" t="s">
        <v>28</v>
      </c>
      <c r="N6" s="34"/>
      <c r="O6" s="34" t="n">
        <v>2.25</v>
      </c>
      <c r="P6" s="35"/>
      <c r="Q6" s="36"/>
      <c r="R6" s="37"/>
      <c r="S6" s="35" t="s">
        <v>28</v>
      </c>
      <c r="T6" s="34"/>
      <c r="U6" s="34" t="n">
        <v>2.5</v>
      </c>
      <c r="V6" s="35" t="s">
        <v>29</v>
      </c>
      <c r="W6" s="36"/>
      <c r="X6" s="37" t="n">
        <v>0.5</v>
      </c>
      <c r="Y6" s="35" t="s">
        <v>28</v>
      </c>
      <c r="Z6" s="34" t="n">
        <v>2.5</v>
      </c>
      <c r="AA6" s="34" t="n">
        <v>3.5</v>
      </c>
      <c r="AB6" s="35"/>
      <c r="AC6" s="36"/>
      <c r="AD6" s="37"/>
      <c r="AE6" s="35" t="s">
        <v>30</v>
      </c>
      <c r="AF6" s="34"/>
      <c r="AG6" s="34" t="n">
        <v>3</v>
      </c>
      <c r="AH6" s="35"/>
      <c r="AI6" s="36"/>
      <c r="AJ6" s="37"/>
      <c r="AK6" s="35" t="s">
        <v>28</v>
      </c>
      <c r="AL6" s="34" t="n">
        <v>2.5</v>
      </c>
      <c r="AM6" s="34" t="n">
        <v>2.75</v>
      </c>
      <c r="AN6" s="35"/>
      <c r="AO6" s="36"/>
      <c r="AP6" s="37"/>
      <c r="AQ6" s="35" t="s">
        <v>31</v>
      </c>
      <c r="AR6" s="34" t="n">
        <v>2.5</v>
      </c>
      <c r="AS6" s="34" t="n">
        <v>3.25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55" t="s">
        <v>185</v>
      </c>
      <c r="C7" s="29" t="n">
        <f aca="false">SUM(H7:AW7)</f>
        <v>30</v>
      </c>
      <c r="D7" s="82" t="n">
        <f aca="false">E7/2.5</f>
        <v>3</v>
      </c>
      <c r="E7" s="138" t="n">
        <f aca="false">SUM(H7+N7+T7+Z7+AF7+AL7+AR7)</f>
        <v>7.5</v>
      </c>
      <c r="F7" s="32" t="n">
        <f aca="false">C7-E7</f>
        <v>22.5</v>
      </c>
      <c r="G7" s="148" t="s">
        <v>31</v>
      </c>
      <c r="H7" s="34"/>
      <c r="I7" s="34" t="n">
        <v>2.5</v>
      </c>
      <c r="J7" s="35"/>
      <c r="K7" s="36"/>
      <c r="L7" s="37"/>
      <c r="M7" s="33" t="s">
        <v>28</v>
      </c>
      <c r="N7" s="34"/>
      <c r="O7" s="34" t="n">
        <v>1.75</v>
      </c>
      <c r="P7" s="35" t="s">
        <v>29</v>
      </c>
      <c r="Q7" s="36"/>
      <c r="R7" s="37" t="n">
        <v>0.5</v>
      </c>
      <c r="S7" s="35" t="s">
        <v>31</v>
      </c>
      <c r="T7" s="34" t="n">
        <v>2.5</v>
      </c>
      <c r="U7" s="34" t="n">
        <v>4.5</v>
      </c>
      <c r="V7" s="35"/>
      <c r="W7" s="36"/>
      <c r="X7" s="37"/>
      <c r="Y7" s="35" t="s">
        <v>31</v>
      </c>
      <c r="Z7" s="34"/>
      <c r="AA7" s="34" t="n">
        <v>2.75</v>
      </c>
      <c r="AB7" s="35"/>
      <c r="AC7" s="36"/>
      <c r="AD7" s="37"/>
      <c r="AE7" s="35" t="s">
        <v>28</v>
      </c>
      <c r="AF7" s="34"/>
      <c r="AG7" s="34" t="n">
        <v>3.75</v>
      </c>
      <c r="AH7" s="35"/>
      <c r="AI7" s="36"/>
      <c r="AJ7" s="37"/>
      <c r="AK7" s="35" t="s">
        <v>28</v>
      </c>
      <c r="AL7" s="34" t="n">
        <v>2.5</v>
      </c>
      <c r="AM7" s="34" t="n">
        <v>2.75</v>
      </c>
      <c r="AN7" s="35"/>
      <c r="AO7" s="36"/>
      <c r="AP7" s="37"/>
      <c r="AQ7" s="35" t="s">
        <v>31</v>
      </c>
      <c r="AR7" s="34" t="n">
        <v>2.5</v>
      </c>
      <c r="AS7" s="34" t="n">
        <v>4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55" t="s">
        <v>184</v>
      </c>
      <c r="C8" s="29" t="n">
        <f aca="false">SUM(H8:AW8)</f>
        <v>29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19</v>
      </c>
      <c r="G8" s="148" t="s">
        <v>28</v>
      </c>
      <c r="H8" s="34" t="n">
        <v>2.5</v>
      </c>
      <c r="I8" s="34" t="n">
        <v>3</v>
      </c>
      <c r="J8" s="35"/>
      <c r="K8" s="36"/>
      <c r="L8" s="37"/>
      <c r="M8" s="33" t="s">
        <v>28</v>
      </c>
      <c r="N8" s="34"/>
      <c r="O8" s="34" t="n">
        <v>1.25</v>
      </c>
      <c r="P8" s="35"/>
      <c r="Q8" s="36"/>
      <c r="R8" s="37"/>
      <c r="S8" s="35" t="s">
        <v>31</v>
      </c>
      <c r="T8" s="34" t="n">
        <v>2.5</v>
      </c>
      <c r="U8" s="34" t="n">
        <v>3.25</v>
      </c>
      <c r="V8" s="35"/>
      <c r="W8" s="36"/>
      <c r="X8" s="37"/>
      <c r="Y8" s="35" t="s">
        <v>28</v>
      </c>
      <c r="Z8" s="34" t="n">
        <v>2.5</v>
      </c>
      <c r="AA8" s="34" t="n">
        <v>3.25</v>
      </c>
      <c r="AB8" s="35" t="s">
        <v>29</v>
      </c>
      <c r="AC8" s="34" t="n">
        <v>0.5</v>
      </c>
      <c r="AD8" s="45" t="n">
        <v>0.5</v>
      </c>
      <c r="AE8" s="35" t="s">
        <v>34</v>
      </c>
      <c r="AF8" s="34" t="n">
        <v>2.5</v>
      </c>
      <c r="AG8" s="34" t="n">
        <v>3.75</v>
      </c>
      <c r="AH8" s="35"/>
      <c r="AI8" s="36"/>
      <c r="AJ8" s="45"/>
      <c r="AK8" s="35" t="s">
        <v>34</v>
      </c>
      <c r="AL8" s="34"/>
      <c r="AM8" s="34" t="n">
        <v>2</v>
      </c>
      <c r="AN8" s="35"/>
      <c r="AO8" s="34"/>
      <c r="AP8" s="45"/>
      <c r="AQ8" s="35" t="s">
        <v>28</v>
      </c>
      <c r="AR8" s="34"/>
      <c r="AS8" s="34" t="n">
        <v>1.5</v>
      </c>
      <c r="AT8" s="35"/>
      <c r="AU8" s="36"/>
      <c r="AV8" s="45"/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55" t="s">
        <v>239</v>
      </c>
      <c r="C9" s="29" t="n">
        <f aca="false">SUM(H9:AW9)</f>
        <v>28.75</v>
      </c>
      <c r="D9" s="82" t="n">
        <f aca="false">E9/2.5</f>
        <v>3</v>
      </c>
      <c r="E9" s="138" t="n">
        <f aca="false">SUM(H9+N9+T9+Z9+AF9+AL9+AR9)</f>
        <v>7.5</v>
      </c>
      <c r="F9" s="32" t="n">
        <f aca="false">C9-E9</f>
        <v>21.25</v>
      </c>
      <c r="G9" s="148" t="s">
        <v>34</v>
      </c>
      <c r="H9" s="34"/>
      <c r="I9" s="34" t="n">
        <v>3</v>
      </c>
      <c r="J9" s="35"/>
      <c r="K9" s="36"/>
      <c r="L9" s="37"/>
      <c r="M9" s="33" t="s">
        <v>28</v>
      </c>
      <c r="N9" s="34"/>
      <c r="O9" s="34" t="n">
        <v>2.75</v>
      </c>
      <c r="P9" s="35"/>
      <c r="Q9" s="36"/>
      <c r="R9" s="37"/>
      <c r="S9" s="35" t="s">
        <v>34</v>
      </c>
      <c r="T9" s="34" t="n">
        <v>2.5</v>
      </c>
      <c r="U9" s="34" t="n">
        <v>4</v>
      </c>
      <c r="V9" s="35"/>
      <c r="W9" s="36"/>
      <c r="X9" s="45"/>
      <c r="Y9" s="35" t="s">
        <v>34</v>
      </c>
      <c r="Z9" s="34"/>
      <c r="AA9" s="34" t="n">
        <v>2.5</v>
      </c>
      <c r="AB9" s="35"/>
      <c r="AC9" s="36"/>
      <c r="AD9" s="37"/>
      <c r="AE9" s="35" t="s">
        <v>31</v>
      </c>
      <c r="AF9" s="34" t="n">
        <v>2.5</v>
      </c>
      <c r="AG9" s="34" t="n">
        <v>3.25</v>
      </c>
      <c r="AH9" s="35"/>
      <c r="AI9" s="36"/>
      <c r="AJ9" s="37"/>
      <c r="AK9" s="35" t="s">
        <v>28</v>
      </c>
      <c r="AL9" s="34" t="n">
        <v>2.5</v>
      </c>
      <c r="AM9" s="34" t="n">
        <v>2.25</v>
      </c>
      <c r="AN9" s="35" t="s">
        <v>29</v>
      </c>
      <c r="AO9" s="36"/>
      <c r="AP9" s="37" t="n">
        <v>0.5</v>
      </c>
      <c r="AQ9" s="35" t="s">
        <v>28</v>
      </c>
      <c r="AR9" s="34"/>
      <c r="AS9" s="34" t="n">
        <v>2</v>
      </c>
      <c r="AT9" s="35" t="s">
        <v>29</v>
      </c>
      <c r="AU9" s="36"/>
      <c r="AV9" s="37" t="n">
        <v>1</v>
      </c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55" t="s">
        <v>159</v>
      </c>
      <c r="C10" s="29" t="n">
        <f aca="false">SUM(H10:AW10)</f>
        <v>27.75</v>
      </c>
      <c r="D10" s="82" t="n">
        <f aca="false">E10/2.5</f>
        <v>3</v>
      </c>
      <c r="E10" s="138" t="n">
        <f aca="false">SUM(H10+N10+T10+Z10+AF10+AL10+AR10)</f>
        <v>7.5</v>
      </c>
      <c r="F10" s="32" t="n">
        <f aca="false">C10-E10</f>
        <v>20.25</v>
      </c>
      <c r="G10" s="148" t="s">
        <v>28</v>
      </c>
      <c r="H10" s="34" t="n">
        <v>2.5</v>
      </c>
      <c r="I10" s="34" t="n">
        <v>3.25</v>
      </c>
      <c r="J10" s="35" t="s">
        <v>36</v>
      </c>
      <c r="K10" s="36"/>
      <c r="L10" s="37"/>
      <c r="M10" s="33" t="s">
        <v>31</v>
      </c>
      <c r="N10" s="34" t="n">
        <v>2.5</v>
      </c>
      <c r="O10" s="34" t="n">
        <v>4.5</v>
      </c>
      <c r="P10" s="35"/>
      <c r="Q10" s="36"/>
      <c r="R10" s="37"/>
      <c r="S10" s="35" t="s">
        <v>28</v>
      </c>
      <c r="T10" s="34"/>
      <c r="U10" s="34" t="n">
        <v>1</v>
      </c>
      <c r="V10" s="35"/>
      <c r="W10" s="36"/>
      <c r="X10" s="37"/>
      <c r="Y10" s="35" t="s">
        <v>31</v>
      </c>
      <c r="Z10" s="34"/>
      <c r="AA10" s="34" t="n">
        <v>2</v>
      </c>
      <c r="AB10" s="35"/>
      <c r="AC10" s="36"/>
      <c r="AD10" s="37"/>
      <c r="AE10" s="35" t="s">
        <v>28</v>
      </c>
      <c r="AF10" s="34"/>
      <c r="AG10" s="34" t="n">
        <v>3</v>
      </c>
      <c r="AH10" s="35"/>
      <c r="AI10" s="36"/>
      <c r="AJ10" s="37"/>
      <c r="AK10" s="35" t="s">
        <v>31</v>
      </c>
      <c r="AL10" s="34"/>
      <c r="AM10" s="34" t="n">
        <v>2.5</v>
      </c>
      <c r="AN10" s="35"/>
      <c r="AO10" s="36"/>
      <c r="AP10" s="37"/>
      <c r="AQ10" s="35" t="s">
        <v>34</v>
      </c>
      <c r="AR10" s="34" t="n">
        <v>2.5</v>
      </c>
      <c r="AS10" s="34" t="n">
        <v>4</v>
      </c>
      <c r="AT10" s="35"/>
      <c r="AU10" s="36"/>
      <c r="AV10" s="37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55" t="s">
        <v>240</v>
      </c>
      <c r="C11" s="29" t="n">
        <f aca="false">SUM(H11:AW11)</f>
        <v>26.75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19.25</v>
      </c>
      <c r="G11" s="148" t="s">
        <v>30</v>
      </c>
      <c r="H11" s="34" t="n">
        <v>2.5</v>
      </c>
      <c r="I11" s="34" t="n">
        <v>2.25</v>
      </c>
      <c r="J11" s="35"/>
      <c r="K11" s="36"/>
      <c r="L11" s="37"/>
      <c r="M11" s="33" t="s">
        <v>28</v>
      </c>
      <c r="N11" s="34"/>
      <c r="O11" s="34" t="n">
        <v>2.25</v>
      </c>
      <c r="P11" s="35"/>
      <c r="Q11" s="36"/>
      <c r="R11" s="37"/>
      <c r="S11" s="35" t="s">
        <v>28</v>
      </c>
      <c r="T11" s="34"/>
      <c r="U11" s="34" t="n">
        <v>1.75</v>
      </c>
      <c r="V11" s="35"/>
      <c r="W11" s="36"/>
      <c r="X11" s="37"/>
      <c r="Y11" s="35" t="s">
        <v>28</v>
      </c>
      <c r="Z11" s="34" t="n">
        <v>2.5</v>
      </c>
      <c r="AA11" s="34" t="n">
        <v>3.75</v>
      </c>
      <c r="AB11" s="35"/>
      <c r="AC11" s="36"/>
      <c r="AD11" s="37"/>
      <c r="AE11" s="35" t="s">
        <v>28</v>
      </c>
      <c r="AF11" s="34"/>
      <c r="AG11" s="34" t="n">
        <v>2.5</v>
      </c>
      <c r="AH11" s="35" t="s">
        <v>29</v>
      </c>
      <c r="AI11" s="36"/>
      <c r="AJ11" s="37" t="n">
        <v>0.5</v>
      </c>
      <c r="AK11" s="35" t="s">
        <v>28</v>
      </c>
      <c r="AL11" s="34" t="n">
        <v>2.5</v>
      </c>
      <c r="AM11" s="34" t="n">
        <v>3.25</v>
      </c>
      <c r="AN11" s="35"/>
      <c r="AO11" s="36"/>
      <c r="AP11" s="37"/>
      <c r="AQ11" s="35" t="s">
        <v>28</v>
      </c>
      <c r="AR11" s="34"/>
      <c r="AS11" s="34" t="n">
        <v>3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55" t="s">
        <v>197</v>
      </c>
      <c r="C12" s="29" t="n">
        <f aca="false">SUM(H12:AW12)</f>
        <v>26.25</v>
      </c>
      <c r="D12" s="82" t="n">
        <f aca="false">E12/2.5</f>
        <v>4</v>
      </c>
      <c r="E12" s="138" t="n">
        <f aca="false">SUM(H12+N12+T12+Z12+AF12+AL12+AR12)</f>
        <v>10</v>
      </c>
      <c r="F12" s="32" t="n">
        <f aca="false">C12-E12</f>
        <v>16.25</v>
      </c>
      <c r="G12" s="148" t="s">
        <v>28</v>
      </c>
      <c r="H12" s="34" t="n">
        <v>2.5</v>
      </c>
      <c r="I12" s="34" t="n">
        <v>3</v>
      </c>
      <c r="J12" s="35" t="s">
        <v>36</v>
      </c>
      <c r="K12" s="36"/>
      <c r="L12" s="37"/>
      <c r="M12" s="33" t="s">
        <v>28</v>
      </c>
      <c r="N12" s="34"/>
      <c r="O12" s="34" t="n">
        <v>1.5</v>
      </c>
      <c r="P12" s="35"/>
      <c r="Q12" s="36"/>
      <c r="R12" s="45"/>
      <c r="S12" s="35" t="s">
        <v>28</v>
      </c>
      <c r="T12" s="34"/>
      <c r="U12" s="34" t="n">
        <v>1.75</v>
      </c>
      <c r="V12" s="35"/>
      <c r="W12" s="36"/>
      <c r="X12" s="37"/>
      <c r="Y12" s="35" t="s">
        <v>28</v>
      </c>
      <c r="Z12" s="34" t="n">
        <v>2.5</v>
      </c>
      <c r="AA12" s="34" t="n">
        <v>1.75</v>
      </c>
      <c r="AB12" s="35"/>
      <c r="AC12" s="36"/>
      <c r="AD12" s="37"/>
      <c r="AE12" s="35" t="s">
        <v>31</v>
      </c>
      <c r="AF12" s="34" t="n">
        <v>2.5</v>
      </c>
      <c r="AG12" s="34" t="n">
        <v>3.25</v>
      </c>
      <c r="AH12" s="35"/>
      <c r="AI12" s="36"/>
      <c r="AJ12" s="37"/>
      <c r="AK12" s="35" t="s">
        <v>28</v>
      </c>
      <c r="AL12" s="34" t="n">
        <v>2.5</v>
      </c>
      <c r="AM12" s="34" t="n">
        <v>4</v>
      </c>
      <c r="AN12" s="35"/>
      <c r="AO12" s="36"/>
      <c r="AP12" s="37"/>
      <c r="AQ12" s="35" t="s">
        <v>28</v>
      </c>
      <c r="AR12" s="34"/>
      <c r="AS12" s="34" t="n">
        <v>1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55" t="s">
        <v>173</v>
      </c>
      <c r="C13" s="29" t="n">
        <f aca="false">SUM(H13:AW13)</f>
        <v>25.5</v>
      </c>
      <c r="D13" s="82" t="n">
        <f aca="false">E13/2.5</f>
        <v>4</v>
      </c>
      <c r="E13" s="138" t="n">
        <f aca="false">SUM(H13+N13+T13+Z13+AF13+AL13+AR13)</f>
        <v>10</v>
      </c>
      <c r="F13" s="32" t="n">
        <f aca="false">C13-E13</f>
        <v>15.5</v>
      </c>
      <c r="G13" s="148" t="s">
        <v>28</v>
      </c>
      <c r="H13" s="34" t="n">
        <v>2.5</v>
      </c>
      <c r="I13" s="34" t="n">
        <v>2.25</v>
      </c>
      <c r="J13" s="35"/>
      <c r="K13" s="36"/>
      <c r="L13" s="37"/>
      <c r="M13" s="33" t="s">
        <v>31</v>
      </c>
      <c r="N13" s="34" t="n">
        <v>2.5</v>
      </c>
      <c r="O13" s="34" t="n">
        <v>3.5</v>
      </c>
      <c r="P13" s="35"/>
      <c r="Q13" s="36"/>
      <c r="R13" s="37"/>
      <c r="S13" s="35" t="s">
        <v>28</v>
      </c>
      <c r="T13" s="34"/>
      <c r="U13" s="34" t="n">
        <v>3</v>
      </c>
      <c r="V13" s="35"/>
      <c r="W13" s="36"/>
      <c r="X13" s="37"/>
      <c r="Y13" s="35" t="s">
        <v>28</v>
      </c>
      <c r="Z13" s="34" t="n">
        <v>2.5</v>
      </c>
      <c r="AA13" s="34" t="n">
        <v>1.5</v>
      </c>
      <c r="AB13" s="35"/>
      <c r="AC13" s="36"/>
      <c r="AD13" s="37"/>
      <c r="AE13" s="35" t="s">
        <v>28</v>
      </c>
      <c r="AF13" s="34"/>
      <c r="AG13" s="34" t="n">
        <v>1.5</v>
      </c>
      <c r="AH13" s="35"/>
      <c r="AI13" s="36"/>
      <c r="AJ13" s="37"/>
      <c r="AK13" s="35" t="s">
        <v>28</v>
      </c>
      <c r="AL13" s="34" t="n">
        <v>2.5</v>
      </c>
      <c r="AM13" s="34" t="n">
        <v>2.5</v>
      </c>
      <c r="AN13" s="35"/>
      <c r="AO13" s="36"/>
      <c r="AP13" s="37"/>
      <c r="AQ13" s="35" t="s">
        <v>28</v>
      </c>
      <c r="AR13" s="34"/>
      <c r="AS13" s="34" t="n">
        <v>1.25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55" t="s">
        <v>165</v>
      </c>
      <c r="C14" s="29" t="n">
        <f aca="false">SUM(H14:AW14)</f>
        <v>25.25</v>
      </c>
      <c r="D14" s="82" t="n">
        <f aca="false">E14/2.5</f>
        <v>3</v>
      </c>
      <c r="E14" s="138" t="n">
        <f aca="false">SUM(H14+N14+T14+Z14+AF14+AL14+AR14)</f>
        <v>7.5</v>
      </c>
      <c r="F14" s="32" t="n">
        <f aca="false">C14-E14</f>
        <v>17.75</v>
      </c>
      <c r="G14" s="148" t="s">
        <v>31</v>
      </c>
      <c r="H14" s="34"/>
      <c r="I14" s="34" t="n">
        <v>2.25</v>
      </c>
      <c r="J14" s="35" t="s">
        <v>33</v>
      </c>
      <c r="K14" s="36"/>
      <c r="L14" s="37"/>
      <c r="M14" s="33" t="s">
        <v>34</v>
      </c>
      <c r="N14" s="34" t="n">
        <v>2.5</v>
      </c>
      <c r="O14" s="34" t="n">
        <v>3.5</v>
      </c>
      <c r="P14" s="35"/>
      <c r="Q14" s="36"/>
      <c r="R14" s="37"/>
      <c r="S14" s="35" t="s">
        <v>28</v>
      </c>
      <c r="T14" s="34"/>
      <c r="U14" s="34" t="n">
        <v>1.75</v>
      </c>
      <c r="V14" s="35"/>
      <c r="W14" s="36"/>
      <c r="X14" s="37"/>
      <c r="Y14" s="35" t="s">
        <v>28</v>
      </c>
      <c r="Z14" s="34" t="n">
        <v>2.5</v>
      </c>
      <c r="AA14" s="34" t="n">
        <v>3</v>
      </c>
      <c r="AB14" s="35"/>
      <c r="AC14" s="36"/>
      <c r="AD14" s="37"/>
      <c r="AE14" s="35" t="s">
        <v>28</v>
      </c>
      <c r="AF14" s="34"/>
      <c r="AG14" s="34" t="n">
        <v>1.75</v>
      </c>
      <c r="AH14" s="35"/>
      <c r="AI14" s="36"/>
      <c r="AJ14" s="37"/>
      <c r="AK14" s="35" t="s">
        <v>30</v>
      </c>
      <c r="AL14" s="34" t="n">
        <v>2.5</v>
      </c>
      <c r="AM14" s="34" t="n">
        <v>2.75</v>
      </c>
      <c r="AN14" s="35"/>
      <c r="AO14" s="36"/>
      <c r="AP14" s="37"/>
      <c r="AQ14" s="35" t="s">
        <v>28</v>
      </c>
      <c r="AR14" s="34"/>
      <c r="AS14" s="34" t="n">
        <v>2.75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56" t="s">
        <v>241</v>
      </c>
      <c r="C15" s="29" t="n">
        <f aca="false">SUM(H15:AW15)</f>
        <v>21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16</v>
      </c>
      <c r="G15" s="150" t="s">
        <v>28</v>
      </c>
      <c r="H15" s="50" t="n">
        <v>2.5</v>
      </c>
      <c r="I15" s="50" t="n">
        <v>2.75</v>
      </c>
      <c r="J15" s="51" t="s">
        <v>29</v>
      </c>
      <c r="K15" s="52"/>
      <c r="L15" s="53" t="n">
        <v>0.5</v>
      </c>
      <c r="M15" s="49" t="s">
        <v>30</v>
      </c>
      <c r="N15" s="50"/>
      <c r="O15" s="50" t="n">
        <v>2</v>
      </c>
      <c r="P15" s="51"/>
      <c r="Q15" s="52"/>
      <c r="R15" s="53"/>
      <c r="S15" s="51" t="s">
        <v>30</v>
      </c>
      <c r="T15" s="50"/>
      <c r="U15" s="50" t="n">
        <v>2</v>
      </c>
      <c r="V15" s="51"/>
      <c r="W15" s="52"/>
      <c r="X15" s="53"/>
      <c r="Y15" s="51" t="s">
        <v>30</v>
      </c>
      <c r="Z15" s="50" t="n">
        <v>2.5</v>
      </c>
      <c r="AA15" s="93" t="n">
        <v>2.25</v>
      </c>
      <c r="AB15" s="51"/>
      <c r="AC15" s="52"/>
      <c r="AD15" s="53"/>
      <c r="AE15" s="51" t="s">
        <v>28</v>
      </c>
      <c r="AF15" s="50"/>
      <c r="AG15" s="50" t="n">
        <v>3</v>
      </c>
      <c r="AH15" s="51"/>
      <c r="AI15" s="52"/>
      <c r="AJ15" s="53"/>
      <c r="AK15" s="51" t="s">
        <v>31</v>
      </c>
      <c r="AL15" s="50"/>
      <c r="AM15" s="50" t="n">
        <v>2.5</v>
      </c>
      <c r="AN15" s="51"/>
      <c r="AO15" s="52"/>
      <c r="AP15" s="53"/>
      <c r="AQ15" s="51" t="s">
        <v>30</v>
      </c>
      <c r="AR15" s="50"/>
      <c r="AS15" s="93" t="n">
        <v>1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57" t="n">
        <v>2.16666666666667</v>
      </c>
      <c r="H16" s="57"/>
      <c r="I16" s="57"/>
      <c r="J16" s="57"/>
      <c r="K16" s="57"/>
      <c r="L16" s="57"/>
      <c r="M16" s="59" t="n">
        <v>1.75</v>
      </c>
      <c r="N16" s="59"/>
      <c r="O16" s="59"/>
      <c r="P16" s="59"/>
      <c r="Q16" s="59"/>
      <c r="R16" s="59"/>
      <c r="S16" s="59" t="n">
        <v>2.16666666666667</v>
      </c>
      <c r="T16" s="59"/>
      <c r="U16" s="59"/>
      <c r="V16" s="59"/>
      <c r="W16" s="59"/>
      <c r="X16" s="59"/>
      <c r="Y16" s="58" t="s">
        <v>242</v>
      </c>
      <c r="Z16" s="58"/>
      <c r="AA16" s="58"/>
      <c r="AB16" s="58"/>
      <c r="AC16" s="58"/>
      <c r="AD16" s="58"/>
      <c r="AE16" s="58" t="s">
        <v>243</v>
      </c>
      <c r="AF16" s="58"/>
      <c r="AG16" s="58"/>
      <c r="AH16" s="58"/>
      <c r="AI16" s="58"/>
      <c r="AJ16" s="58"/>
      <c r="AK16" s="58" t="s">
        <v>244</v>
      </c>
      <c r="AL16" s="58"/>
      <c r="AM16" s="58"/>
      <c r="AN16" s="58"/>
      <c r="AO16" s="58"/>
      <c r="AP16" s="58"/>
      <c r="AQ16" s="58" t="s">
        <v>243</v>
      </c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57"/>
      <c r="H17" s="57"/>
      <c r="I17" s="57"/>
      <c r="J17" s="57"/>
      <c r="K17" s="57"/>
      <c r="L17" s="57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50</v>
      </c>
      <c r="H18" s="65"/>
      <c r="I18" s="65"/>
      <c r="J18" s="65"/>
      <c r="K18" s="65"/>
      <c r="L18" s="65"/>
      <c r="M18" s="66" t="s">
        <v>54</v>
      </c>
      <c r="N18" s="66"/>
      <c r="O18" s="66"/>
      <c r="P18" s="66"/>
      <c r="Q18" s="66"/>
      <c r="R18" s="66"/>
      <c r="S18" s="66" t="s">
        <v>52</v>
      </c>
      <c r="T18" s="66"/>
      <c r="U18" s="66"/>
      <c r="V18" s="66"/>
      <c r="W18" s="66"/>
      <c r="X18" s="66"/>
      <c r="Y18" s="66" t="s">
        <v>53</v>
      </c>
      <c r="Z18" s="66"/>
      <c r="AA18" s="66"/>
      <c r="AB18" s="66"/>
      <c r="AC18" s="66"/>
      <c r="AD18" s="66"/>
      <c r="AE18" s="66" t="s">
        <v>54</v>
      </c>
      <c r="AF18" s="66"/>
      <c r="AG18" s="66"/>
      <c r="AH18" s="66"/>
      <c r="AI18" s="66"/>
      <c r="AJ18" s="66"/>
      <c r="AK18" s="66" t="s">
        <v>53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4</v>
      </c>
      <c r="B26" s="4" t="s">
        <v>241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7</v>
      </c>
      <c r="B27" s="4" t="s">
        <v>241</v>
      </c>
      <c r="C27" s="4" t="s">
        <v>65</v>
      </c>
      <c r="D27" s="4" t="n">
        <v>-1</v>
      </c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'15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9.51"/>
    <col collapsed="false" customWidth="true" hidden="false" outlineLevel="0" max="49" min="49" style="0" width="13.5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.75" hidden="false" customHeight="false" outlineLevel="0" collapsed="false">
      <c r="A2" s="5" t="s">
        <v>245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7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customFormat="false" ht="15.75" hidden="false" customHeight="false" outlineLevel="0" collapsed="false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7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customFormat="false" ht="15.75" hidden="false" customHeight="true" outlineLevel="0" collapsed="false">
      <c r="A4" s="11" t="s">
        <v>1</v>
      </c>
      <c r="B4" s="12" t="s">
        <v>2</v>
      </c>
      <c r="C4" s="13" t="s">
        <v>3</v>
      </c>
      <c r="D4" s="11" t="s">
        <v>4</v>
      </c>
      <c r="E4" s="14" t="s">
        <v>5</v>
      </c>
      <c r="F4" s="15" t="s">
        <v>6</v>
      </c>
      <c r="G4" s="16" t="s">
        <v>7</v>
      </c>
      <c r="H4" s="16"/>
      <c r="I4" s="16"/>
      <c r="J4" s="16"/>
      <c r="K4" s="16"/>
      <c r="L4" s="16"/>
      <c r="M4" s="17" t="s">
        <v>8</v>
      </c>
      <c r="N4" s="17"/>
      <c r="O4" s="17"/>
      <c r="P4" s="17"/>
      <c r="Q4" s="17"/>
      <c r="R4" s="17"/>
      <c r="S4" s="17" t="s">
        <v>9</v>
      </c>
      <c r="T4" s="17"/>
      <c r="U4" s="17"/>
      <c r="V4" s="17"/>
      <c r="W4" s="17"/>
      <c r="X4" s="17"/>
      <c r="Y4" s="17" t="s">
        <v>10</v>
      </c>
      <c r="Z4" s="17"/>
      <c r="AA4" s="17"/>
      <c r="AB4" s="17"/>
      <c r="AC4" s="17"/>
      <c r="AD4" s="17"/>
      <c r="AE4" s="17" t="s">
        <v>11</v>
      </c>
      <c r="AF4" s="17"/>
      <c r="AG4" s="17"/>
      <c r="AH4" s="17"/>
      <c r="AI4" s="17"/>
      <c r="AJ4" s="17"/>
      <c r="AK4" s="17" t="s">
        <v>12</v>
      </c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8" t="s">
        <v>21</v>
      </c>
      <c r="AX4" s="1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customFormat="false" ht="15.75" hidden="false" customHeight="false" outlineLevel="0" collapsed="false">
      <c r="A5" s="11"/>
      <c r="B5" s="12"/>
      <c r="C5" s="13"/>
      <c r="D5" s="11"/>
      <c r="E5" s="14"/>
      <c r="F5" s="15"/>
      <c r="G5" s="21" t="s">
        <v>22</v>
      </c>
      <c r="H5" s="22" t="s">
        <v>5</v>
      </c>
      <c r="I5" s="22" t="s">
        <v>23</v>
      </c>
      <c r="J5" s="22" t="s">
        <v>24</v>
      </c>
      <c r="K5" s="22" t="s">
        <v>25</v>
      </c>
      <c r="L5" s="23" t="s">
        <v>26</v>
      </c>
      <c r="M5" s="22" t="s">
        <v>22</v>
      </c>
      <c r="N5" s="22" t="s">
        <v>5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22</v>
      </c>
      <c r="T5" s="22" t="s">
        <v>5</v>
      </c>
      <c r="U5" s="22" t="s">
        <v>23</v>
      </c>
      <c r="V5" s="22" t="s">
        <v>24</v>
      </c>
      <c r="W5" s="22" t="s">
        <v>25</v>
      </c>
      <c r="X5" s="23" t="s">
        <v>26</v>
      </c>
      <c r="Y5" s="22" t="s">
        <v>22</v>
      </c>
      <c r="Z5" s="22" t="s">
        <v>5</v>
      </c>
      <c r="AA5" s="22" t="s">
        <v>23</v>
      </c>
      <c r="AB5" s="22" t="s">
        <v>145</v>
      </c>
      <c r="AC5" s="22" t="s">
        <v>25</v>
      </c>
      <c r="AD5" s="23" t="s">
        <v>26</v>
      </c>
      <c r="AE5" s="22" t="s">
        <v>22</v>
      </c>
      <c r="AF5" s="22" t="s">
        <v>5</v>
      </c>
      <c r="AG5" s="22" t="s">
        <v>23</v>
      </c>
      <c r="AH5" s="22" t="s">
        <v>24</v>
      </c>
      <c r="AI5" s="22" t="s">
        <v>25</v>
      </c>
      <c r="AJ5" s="23" t="s">
        <v>26</v>
      </c>
      <c r="AK5" s="22" t="s">
        <v>22</v>
      </c>
      <c r="AL5" s="22" t="s">
        <v>5</v>
      </c>
      <c r="AM5" s="22" t="s">
        <v>23</v>
      </c>
      <c r="AN5" s="22" t="s">
        <v>145</v>
      </c>
      <c r="AO5" s="22" t="s">
        <v>25</v>
      </c>
      <c r="AP5" s="23" t="s">
        <v>26</v>
      </c>
      <c r="AQ5" s="22" t="s">
        <v>22</v>
      </c>
      <c r="AR5" s="22" t="s">
        <v>5</v>
      </c>
      <c r="AS5" s="22" t="s">
        <v>23</v>
      </c>
      <c r="AT5" s="22" t="s">
        <v>24</v>
      </c>
      <c r="AU5" s="22" t="s">
        <v>25</v>
      </c>
      <c r="AV5" s="23" t="s">
        <v>26</v>
      </c>
      <c r="AW5" s="18"/>
      <c r="AX5" s="2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customFormat="false" ht="18.75" hidden="false" customHeight="true" outlineLevel="0" collapsed="false">
      <c r="A6" s="27" t="n">
        <v>1</v>
      </c>
      <c r="B6" s="154" t="s">
        <v>70</v>
      </c>
      <c r="C6" s="29" t="n">
        <f aca="false">SUM(H6:AW6)</f>
        <v>33.75</v>
      </c>
      <c r="D6" s="79" t="n">
        <f aca="false">E6/2.5</f>
        <v>5</v>
      </c>
      <c r="E6" s="147" t="n">
        <f aca="false">SUM(H6+N6+T6+Z6+AF6+AL6+AR6)</f>
        <v>12.5</v>
      </c>
      <c r="F6" s="39" t="n">
        <f aca="false">C6-E6</f>
        <v>21.25</v>
      </c>
      <c r="G6" s="148" t="s">
        <v>34</v>
      </c>
      <c r="H6" s="34" t="n">
        <v>2.5</v>
      </c>
      <c r="I6" s="34" t="n">
        <v>2</v>
      </c>
      <c r="J6" s="35"/>
      <c r="K6" s="36"/>
      <c r="L6" s="45"/>
      <c r="M6" s="33" t="s">
        <v>31</v>
      </c>
      <c r="N6" s="34" t="n">
        <v>2.5</v>
      </c>
      <c r="O6" s="34" t="n">
        <v>3.75</v>
      </c>
      <c r="P6" s="35" t="s">
        <v>36</v>
      </c>
      <c r="Q6" s="36"/>
      <c r="R6" s="37"/>
      <c r="S6" s="35" t="s">
        <v>30</v>
      </c>
      <c r="T6" s="34" t="n">
        <v>2.5</v>
      </c>
      <c r="U6" s="34" t="n">
        <v>3.75</v>
      </c>
      <c r="V6" s="35"/>
      <c r="W6" s="36"/>
      <c r="X6" s="37"/>
      <c r="Y6" s="35" t="s">
        <v>28</v>
      </c>
      <c r="Z6" s="34" t="n">
        <v>2.5</v>
      </c>
      <c r="AA6" s="34" t="n">
        <v>3.5</v>
      </c>
      <c r="AB6" s="35"/>
      <c r="AC6" s="36"/>
      <c r="AD6" s="37"/>
      <c r="AE6" s="35" t="s">
        <v>31</v>
      </c>
      <c r="AF6" s="34"/>
      <c r="AG6" s="34" t="n">
        <v>2.25</v>
      </c>
      <c r="AH6" s="35"/>
      <c r="AI6" s="36"/>
      <c r="AJ6" s="37"/>
      <c r="AK6" s="35" t="s">
        <v>31</v>
      </c>
      <c r="AL6" s="34" t="n">
        <v>2.5</v>
      </c>
      <c r="AM6" s="34" t="n">
        <v>3.75</v>
      </c>
      <c r="AN6" s="35" t="s">
        <v>36</v>
      </c>
      <c r="AO6" s="36"/>
      <c r="AP6" s="37"/>
      <c r="AQ6" s="35" t="s">
        <v>28</v>
      </c>
      <c r="AR6" s="34"/>
      <c r="AS6" s="34" t="n">
        <v>2.25</v>
      </c>
      <c r="AT6" s="35"/>
      <c r="AU6" s="36"/>
      <c r="AV6" s="37"/>
      <c r="AW6" s="39"/>
      <c r="AX6" s="40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 customFormat="false" ht="18.75" hidden="false" customHeight="true" outlineLevel="0" collapsed="false">
      <c r="A7" s="27" t="n">
        <v>2</v>
      </c>
      <c r="B7" s="155" t="s">
        <v>173</v>
      </c>
      <c r="C7" s="29" t="n">
        <f aca="false">SUM(H7:AW7)</f>
        <v>31.75</v>
      </c>
      <c r="D7" s="82" t="n">
        <f aca="false">E7/2.5</f>
        <v>5</v>
      </c>
      <c r="E7" s="138" t="n">
        <f aca="false">SUM(H7+N7+T7+Z7+AF7+AL7+AR7)</f>
        <v>12.5</v>
      </c>
      <c r="F7" s="32" t="n">
        <f aca="false">C7-E7</f>
        <v>19.25</v>
      </c>
      <c r="G7" s="148" t="s">
        <v>31</v>
      </c>
      <c r="H7" s="34" t="n">
        <v>2.5</v>
      </c>
      <c r="I7" s="34" t="n">
        <v>3</v>
      </c>
      <c r="J7" s="35" t="s">
        <v>36</v>
      </c>
      <c r="K7" s="36"/>
      <c r="L7" s="37"/>
      <c r="M7" s="33" t="s">
        <v>28</v>
      </c>
      <c r="N7" s="34"/>
      <c r="O7" s="34" t="n">
        <v>2.5</v>
      </c>
      <c r="P7" s="35" t="s">
        <v>33</v>
      </c>
      <c r="Q7" s="36"/>
      <c r="R7" s="37"/>
      <c r="S7" s="35" t="s">
        <v>28</v>
      </c>
      <c r="T7" s="34" t="n">
        <v>2.5</v>
      </c>
      <c r="U7" s="34" t="n">
        <v>2</v>
      </c>
      <c r="V7" s="35" t="s">
        <v>29</v>
      </c>
      <c r="W7" s="36"/>
      <c r="X7" s="45" t="n">
        <v>0.5</v>
      </c>
      <c r="Y7" s="35" t="s">
        <v>30</v>
      </c>
      <c r="Z7" s="34" t="n">
        <v>2.5</v>
      </c>
      <c r="AA7" s="34" t="n">
        <v>3</v>
      </c>
      <c r="AB7" s="35"/>
      <c r="AC7" s="36"/>
      <c r="AD7" s="37"/>
      <c r="AE7" s="35" t="s">
        <v>28</v>
      </c>
      <c r="AF7" s="34" t="n">
        <v>2.5</v>
      </c>
      <c r="AG7" s="34" t="n">
        <v>2.75</v>
      </c>
      <c r="AH7" s="35"/>
      <c r="AI7" s="36"/>
      <c r="AJ7" s="37"/>
      <c r="AK7" s="35" t="s">
        <v>28</v>
      </c>
      <c r="AL7" s="34"/>
      <c r="AM7" s="34" t="n">
        <v>2</v>
      </c>
      <c r="AN7" s="35" t="s">
        <v>33</v>
      </c>
      <c r="AO7" s="36"/>
      <c r="AP7" s="37"/>
      <c r="AQ7" s="35" t="s">
        <v>34</v>
      </c>
      <c r="AR7" s="34" t="n">
        <v>2.5</v>
      </c>
      <c r="AS7" s="34" t="n">
        <v>3.5</v>
      </c>
      <c r="AT7" s="35"/>
      <c r="AU7" s="36"/>
      <c r="AV7" s="37"/>
      <c r="AW7" s="32"/>
      <c r="AX7" s="4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customFormat="false" ht="18.75" hidden="false" customHeight="true" outlineLevel="0" collapsed="false">
      <c r="A8" s="27" t="n">
        <v>3</v>
      </c>
      <c r="B8" s="155" t="s">
        <v>240</v>
      </c>
      <c r="C8" s="29" t="n">
        <f aca="false">SUM(H8:AW8)</f>
        <v>30.25</v>
      </c>
      <c r="D8" s="82" t="n">
        <f aca="false">E8/2.5</f>
        <v>4</v>
      </c>
      <c r="E8" s="138" t="n">
        <f aca="false">SUM(H8+N8+T8+Z8+AF8+AL8+AR8)</f>
        <v>10</v>
      </c>
      <c r="F8" s="32" t="n">
        <f aca="false">C8-E8</f>
        <v>20.25</v>
      </c>
      <c r="G8" s="148" t="s">
        <v>28</v>
      </c>
      <c r="H8" s="34"/>
      <c r="I8" s="34" t="n">
        <v>2.25</v>
      </c>
      <c r="J8" s="35"/>
      <c r="K8" s="36"/>
      <c r="L8" s="37"/>
      <c r="M8" s="33" t="s">
        <v>28</v>
      </c>
      <c r="N8" s="34"/>
      <c r="O8" s="34" t="n">
        <v>2.5</v>
      </c>
      <c r="P8" s="35" t="s">
        <v>29</v>
      </c>
      <c r="Q8" s="36"/>
      <c r="R8" s="37" t="n">
        <v>0.5</v>
      </c>
      <c r="S8" s="35" t="s">
        <v>28</v>
      </c>
      <c r="T8" s="34" t="n">
        <v>2.5</v>
      </c>
      <c r="U8" s="43" t="n">
        <v>2.5</v>
      </c>
      <c r="V8" s="35"/>
      <c r="W8" s="36"/>
      <c r="X8" s="37"/>
      <c r="Y8" s="35" t="s">
        <v>28</v>
      </c>
      <c r="Z8" s="34" t="n">
        <v>2.5</v>
      </c>
      <c r="AA8" s="34" t="n">
        <v>3.75</v>
      </c>
      <c r="AB8" s="35"/>
      <c r="AC8" s="36"/>
      <c r="AD8" s="37"/>
      <c r="AE8" s="35" t="s">
        <v>28</v>
      </c>
      <c r="AF8" s="34" t="n">
        <v>2.5</v>
      </c>
      <c r="AG8" s="34" t="n">
        <v>2.75</v>
      </c>
      <c r="AH8" s="35"/>
      <c r="AI8" s="36"/>
      <c r="AJ8" s="37"/>
      <c r="AK8" s="35" t="s">
        <v>34</v>
      </c>
      <c r="AL8" s="34" t="n">
        <v>2.5</v>
      </c>
      <c r="AM8" s="34" t="n">
        <v>2.25</v>
      </c>
      <c r="AN8" s="35"/>
      <c r="AO8" s="36"/>
      <c r="AP8" s="37"/>
      <c r="AQ8" s="35" t="s">
        <v>28</v>
      </c>
      <c r="AR8" s="34"/>
      <c r="AS8" s="34" t="n">
        <v>2.25</v>
      </c>
      <c r="AT8" s="35" t="s">
        <v>29</v>
      </c>
      <c r="AU8" s="36" t="n">
        <v>0.5</v>
      </c>
      <c r="AV8" s="37" t="n">
        <v>1</v>
      </c>
      <c r="AW8" s="32"/>
      <c r="AX8" s="40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 customFormat="false" ht="18.75" hidden="false" customHeight="true" outlineLevel="0" collapsed="false">
      <c r="A9" s="27" t="n">
        <v>4</v>
      </c>
      <c r="B9" s="155" t="s">
        <v>185</v>
      </c>
      <c r="C9" s="29" t="n">
        <f aca="false">SUM(H9:AW9)</f>
        <v>29.25</v>
      </c>
      <c r="D9" s="82" t="n">
        <f aca="false">E9/2.5</f>
        <v>4</v>
      </c>
      <c r="E9" s="138" t="n">
        <f aca="false">SUM(H9+N9+T9+Z9+AF9+AL9+AR9)</f>
        <v>10</v>
      </c>
      <c r="F9" s="32" t="n">
        <f aca="false">C9-E9</f>
        <v>19.25</v>
      </c>
      <c r="G9" s="148" t="s">
        <v>31</v>
      </c>
      <c r="H9" s="34" t="n">
        <v>2.5</v>
      </c>
      <c r="I9" s="34" t="n">
        <v>4.25</v>
      </c>
      <c r="J9" s="35"/>
      <c r="K9" s="36"/>
      <c r="L9" s="37"/>
      <c r="M9" s="33" t="s">
        <v>31</v>
      </c>
      <c r="N9" s="34" t="n">
        <v>2.5</v>
      </c>
      <c r="O9" s="34" t="n">
        <v>2.75</v>
      </c>
      <c r="P9" s="35"/>
      <c r="Q9" s="36"/>
      <c r="R9" s="37"/>
      <c r="S9" s="35" t="s">
        <v>28</v>
      </c>
      <c r="T9" s="34" t="n">
        <v>2.5</v>
      </c>
      <c r="U9" s="34" t="n">
        <v>3.5</v>
      </c>
      <c r="V9" s="35"/>
      <c r="W9" s="36"/>
      <c r="X9" s="37"/>
      <c r="Y9" s="35" t="s">
        <v>31</v>
      </c>
      <c r="Z9" s="34"/>
      <c r="AA9" s="34" t="n">
        <v>1.75</v>
      </c>
      <c r="AB9" s="35"/>
      <c r="AC9" s="36"/>
      <c r="AD9" s="37"/>
      <c r="AE9" s="35" t="s">
        <v>34</v>
      </c>
      <c r="AF9" s="34"/>
      <c r="AG9" s="34" t="n">
        <v>0.75</v>
      </c>
      <c r="AH9" s="35"/>
      <c r="AI9" s="36"/>
      <c r="AJ9" s="37"/>
      <c r="AK9" s="35" t="s">
        <v>28</v>
      </c>
      <c r="AL9" s="34"/>
      <c r="AM9" s="34" t="n">
        <v>1.75</v>
      </c>
      <c r="AN9" s="35"/>
      <c r="AO9" s="36"/>
      <c r="AP9" s="37"/>
      <c r="AQ9" s="35" t="s">
        <v>31</v>
      </c>
      <c r="AR9" s="34" t="n">
        <v>2.5</v>
      </c>
      <c r="AS9" s="34" t="n">
        <v>4.5</v>
      </c>
      <c r="AT9" s="35"/>
      <c r="AU9" s="36"/>
      <c r="AV9" s="37"/>
      <c r="AW9" s="32"/>
      <c r="AX9" s="40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 customFormat="false" ht="18.75" hidden="false" customHeight="true" outlineLevel="0" collapsed="false">
      <c r="A10" s="27" t="n">
        <v>5</v>
      </c>
      <c r="B10" s="155" t="s">
        <v>159</v>
      </c>
      <c r="C10" s="29" t="n">
        <f aca="false">SUM(H10:AW10)</f>
        <v>29.25</v>
      </c>
      <c r="D10" s="82" t="n">
        <f aca="false">E10/2.5</f>
        <v>4</v>
      </c>
      <c r="E10" s="138" t="n">
        <f aca="false">SUM(H10+N10+T10+Z10+AF10+AL10+AR10)</f>
        <v>10</v>
      </c>
      <c r="F10" s="32" t="n">
        <f aca="false">C10-E10</f>
        <v>19.25</v>
      </c>
      <c r="G10" s="148" t="s">
        <v>28</v>
      </c>
      <c r="H10" s="34"/>
      <c r="I10" s="34" t="n">
        <v>1.5</v>
      </c>
      <c r="J10" s="35" t="s">
        <v>33</v>
      </c>
      <c r="K10" s="36"/>
      <c r="L10" s="37"/>
      <c r="M10" s="33" t="s">
        <v>28</v>
      </c>
      <c r="N10" s="34"/>
      <c r="O10" s="34" t="n">
        <v>2</v>
      </c>
      <c r="P10" s="35" t="s">
        <v>33</v>
      </c>
      <c r="Q10" s="36"/>
      <c r="R10" s="37"/>
      <c r="S10" s="35" t="s">
        <v>28</v>
      </c>
      <c r="T10" s="34" t="n">
        <v>2.5</v>
      </c>
      <c r="U10" s="34" t="n">
        <v>3.75</v>
      </c>
      <c r="V10" s="35"/>
      <c r="W10" s="36"/>
      <c r="X10" s="37"/>
      <c r="Y10" s="35" t="s">
        <v>28</v>
      </c>
      <c r="Z10" s="34" t="n">
        <v>2.5</v>
      </c>
      <c r="AA10" s="34" t="n">
        <v>2.75</v>
      </c>
      <c r="AB10" s="35"/>
      <c r="AC10" s="34"/>
      <c r="AD10" s="45"/>
      <c r="AE10" s="35" t="s">
        <v>28</v>
      </c>
      <c r="AF10" s="34" t="n">
        <v>2.5</v>
      </c>
      <c r="AG10" s="34" t="n">
        <v>3.5</v>
      </c>
      <c r="AH10" s="35"/>
      <c r="AI10" s="36"/>
      <c r="AJ10" s="45"/>
      <c r="AK10" s="35" t="s">
        <v>31</v>
      </c>
      <c r="AL10" s="34" t="n">
        <v>2.5</v>
      </c>
      <c r="AM10" s="34" t="n">
        <v>3.25</v>
      </c>
      <c r="AN10" s="35"/>
      <c r="AO10" s="34"/>
      <c r="AP10" s="45"/>
      <c r="AQ10" s="35" t="s">
        <v>28</v>
      </c>
      <c r="AR10" s="34"/>
      <c r="AS10" s="34" t="n">
        <v>2.5</v>
      </c>
      <c r="AT10" s="35"/>
      <c r="AU10" s="36"/>
      <c r="AV10" s="45"/>
      <c r="AW10" s="32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 customFormat="false" ht="18.75" hidden="false" customHeight="true" outlineLevel="0" collapsed="false">
      <c r="A11" s="27" t="n">
        <v>6</v>
      </c>
      <c r="B11" s="155" t="s">
        <v>241</v>
      </c>
      <c r="C11" s="29" t="n">
        <f aca="false">SUM(H11:AW11)</f>
        <v>29</v>
      </c>
      <c r="D11" s="82" t="n">
        <f aca="false">E11/2.5</f>
        <v>3</v>
      </c>
      <c r="E11" s="138" t="n">
        <f aca="false">SUM(H11+N11+T11+Z11+AF11+AL11+AR11)</f>
        <v>7.5</v>
      </c>
      <c r="F11" s="32" t="n">
        <f aca="false">C11-E11</f>
        <v>21.5</v>
      </c>
      <c r="G11" s="148" t="s">
        <v>30</v>
      </c>
      <c r="H11" s="34"/>
      <c r="I11" s="34" t="n">
        <v>2.75</v>
      </c>
      <c r="J11" s="35"/>
      <c r="K11" s="36"/>
      <c r="L11" s="37"/>
      <c r="M11" s="33" t="s">
        <v>28</v>
      </c>
      <c r="N11" s="34"/>
      <c r="O11" s="34" t="n">
        <v>2</v>
      </c>
      <c r="P11" s="35"/>
      <c r="Q11" s="36"/>
      <c r="R11" s="37"/>
      <c r="S11" s="35" t="s">
        <v>31</v>
      </c>
      <c r="T11" s="34"/>
      <c r="U11" s="34" t="n">
        <v>1.5</v>
      </c>
      <c r="V11" s="35"/>
      <c r="W11" s="36"/>
      <c r="X11" s="37"/>
      <c r="Y11" s="35" t="s">
        <v>28</v>
      </c>
      <c r="Z11" s="34" t="n">
        <v>2.5</v>
      </c>
      <c r="AA11" s="34" t="n">
        <v>4.5</v>
      </c>
      <c r="AB11" s="35"/>
      <c r="AC11" s="36"/>
      <c r="AD11" s="37"/>
      <c r="AE11" s="35" t="s">
        <v>28</v>
      </c>
      <c r="AF11" s="34" t="n">
        <v>2.5</v>
      </c>
      <c r="AG11" s="34" t="n">
        <v>2.5</v>
      </c>
      <c r="AH11" s="35" t="s">
        <v>29</v>
      </c>
      <c r="AI11" s="36" t="n">
        <v>0.5</v>
      </c>
      <c r="AJ11" s="37" t="n">
        <v>0.5</v>
      </c>
      <c r="AK11" s="35" t="s">
        <v>30</v>
      </c>
      <c r="AL11" s="34"/>
      <c r="AM11" s="34" t="n">
        <v>3.5</v>
      </c>
      <c r="AN11" s="35"/>
      <c r="AO11" s="36"/>
      <c r="AP11" s="37"/>
      <c r="AQ11" s="35" t="s">
        <v>31</v>
      </c>
      <c r="AR11" s="34" t="n">
        <v>2.5</v>
      </c>
      <c r="AS11" s="34" t="n">
        <v>3.75</v>
      </c>
      <c r="AT11" s="35"/>
      <c r="AU11" s="36"/>
      <c r="AV11" s="37"/>
      <c r="AW11" s="32"/>
      <c r="AX11" s="40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 customFormat="false" ht="18.75" hidden="false" customHeight="true" outlineLevel="0" collapsed="false">
      <c r="A12" s="27" t="n">
        <v>7</v>
      </c>
      <c r="B12" s="155" t="s">
        <v>246</v>
      </c>
      <c r="C12" s="29" t="n">
        <f aca="false">SUM(H12:AW12)</f>
        <v>26.5</v>
      </c>
      <c r="D12" s="82" t="n">
        <f aca="false">E12/2.5</f>
        <v>3</v>
      </c>
      <c r="E12" s="138" t="n">
        <f aca="false">SUM(H12+N12+T12+Z12+AF12+AL12+AR12)</f>
        <v>7.5</v>
      </c>
      <c r="F12" s="32" t="n">
        <f aca="false">C12-E12</f>
        <v>19</v>
      </c>
      <c r="G12" s="148" t="s">
        <v>28</v>
      </c>
      <c r="H12" s="34"/>
      <c r="I12" s="34" t="n">
        <v>2.25</v>
      </c>
      <c r="J12" s="35"/>
      <c r="K12" s="36"/>
      <c r="L12" s="37"/>
      <c r="M12" s="33" t="s">
        <v>28</v>
      </c>
      <c r="N12" s="34"/>
      <c r="O12" s="34" t="n">
        <v>1.5</v>
      </c>
      <c r="P12" s="35"/>
      <c r="Q12" s="36"/>
      <c r="R12" s="45"/>
      <c r="S12" s="35" t="s">
        <v>28</v>
      </c>
      <c r="T12" s="34" t="n">
        <v>2.5</v>
      </c>
      <c r="U12" s="34" t="n">
        <v>3</v>
      </c>
      <c r="V12" s="35"/>
      <c r="W12" s="36"/>
      <c r="X12" s="37"/>
      <c r="Y12" s="35" t="s">
        <v>28</v>
      </c>
      <c r="Z12" s="34" t="n">
        <v>2.5</v>
      </c>
      <c r="AA12" s="34" t="n">
        <v>3</v>
      </c>
      <c r="AB12" s="35"/>
      <c r="AC12" s="36"/>
      <c r="AD12" s="37"/>
      <c r="AE12" s="35" t="s">
        <v>28</v>
      </c>
      <c r="AF12" s="34" t="n">
        <v>2.5</v>
      </c>
      <c r="AG12" s="34" t="n">
        <v>3.5</v>
      </c>
      <c r="AH12" s="35"/>
      <c r="AI12" s="36"/>
      <c r="AJ12" s="37"/>
      <c r="AK12" s="35" t="s">
        <v>28</v>
      </c>
      <c r="AL12" s="34"/>
      <c r="AM12" s="34" t="n">
        <v>2.75</v>
      </c>
      <c r="AN12" s="35"/>
      <c r="AO12" s="36"/>
      <c r="AP12" s="37"/>
      <c r="AQ12" s="35" t="s">
        <v>30</v>
      </c>
      <c r="AR12" s="34"/>
      <c r="AS12" s="34" t="n">
        <v>3</v>
      </c>
      <c r="AT12" s="35"/>
      <c r="AU12" s="36"/>
      <c r="AV12" s="37"/>
      <c r="AW12" s="32"/>
      <c r="AX12" s="40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customFormat="false" ht="18.75" hidden="false" customHeight="true" outlineLevel="0" collapsed="false">
      <c r="A13" s="27" t="n">
        <v>8</v>
      </c>
      <c r="B13" s="155" t="s">
        <v>247</v>
      </c>
      <c r="C13" s="29" t="n">
        <f aca="false">SUM(H13:AW13)</f>
        <v>20.25</v>
      </c>
      <c r="D13" s="82" t="n">
        <f aca="false">E13/2.5</f>
        <v>2</v>
      </c>
      <c r="E13" s="138" t="n">
        <f aca="false">SUM(H13+N13+T13+Z13+AF13+AL13+AR13)</f>
        <v>5</v>
      </c>
      <c r="F13" s="32" t="n">
        <f aca="false">C13-E13</f>
        <v>15.25</v>
      </c>
      <c r="G13" s="148" t="s">
        <v>28</v>
      </c>
      <c r="H13" s="34"/>
      <c r="I13" s="34" t="n">
        <v>2</v>
      </c>
      <c r="J13" s="35" t="s">
        <v>33</v>
      </c>
      <c r="K13" s="36"/>
      <c r="L13" s="37"/>
      <c r="M13" s="33" t="s">
        <v>34</v>
      </c>
      <c r="N13" s="34" t="n">
        <v>2.5</v>
      </c>
      <c r="O13" s="34" t="n">
        <v>2.25</v>
      </c>
      <c r="P13" s="35"/>
      <c r="Q13" s="36"/>
      <c r="R13" s="37"/>
      <c r="S13" s="35" t="s">
        <v>28</v>
      </c>
      <c r="T13" s="34" t="n">
        <v>2.5</v>
      </c>
      <c r="U13" s="34" t="n">
        <v>2.75</v>
      </c>
      <c r="V13" s="35"/>
      <c r="W13" s="36"/>
      <c r="X13" s="37"/>
      <c r="Y13" s="35" t="s">
        <v>31</v>
      </c>
      <c r="Z13" s="34"/>
      <c r="AA13" s="34" t="n">
        <v>1.75</v>
      </c>
      <c r="AB13" s="35"/>
      <c r="AC13" s="36"/>
      <c r="AD13" s="37"/>
      <c r="AE13" s="35" t="s">
        <v>31</v>
      </c>
      <c r="AF13" s="34"/>
      <c r="AG13" s="34" t="n">
        <v>2.25</v>
      </c>
      <c r="AH13" s="35"/>
      <c r="AI13" s="36"/>
      <c r="AJ13" s="37"/>
      <c r="AK13" s="35" t="s">
        <v>28</v>
      </c>
      <c r="AL13" s="34"/>
      <c r="AM13" s="34" t="n">
        <v>2.25</v>
      </c>
      <c r="AN13" s="35" t="s">
        <v>33</v>
      </c>
      <c r="AO13" s="36"/>
      <c r="AP13" s="37"/>
      <c r="AQ13" s="35" t="s">
        <v>28</v>
      </c>
      <c r="AR13" s="34"/>
      <c r="AS13" s="34" t="n">
        <v>2</v>
      </c>
      <c r="AT13" s="35"/>
      <c r="AU13" s="36"/>
      <c r="AV13" s="37"/>
      <c r="AW13" s="32"/>
      <c r="AX13" s="40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</row>
    <row r="14" customFormat="false" ht="18.75" hidden="false" customHeight="true" outlineLevel="0" collapsed="false">
      <c r="A14" s="27" t="n">
        <v>9</v>
      </c>
      <c r="B14" s="155" t="s">
        <v>42</v>
      </c>
      <c r="C14" s="29" t="n">
        <f aca="false">SUM(H14:AW14)</f>
        <v>20.25</v>
      </c>
      <c r="D14" s="82" t="n">
        <f aca="false">E14/2.5</f>
        <v>1</v>
      </c>
      <c r="E14" s="138" t="n">
        <f aca="false">SUM(H14+N14+T14+Z14+AF14+AL14+AR14)</f>
        <v>2.5</v>
      </c>
      <c r="F14" s="32" t="n">
        <f aca="false">C14-E14</f>
        <v>17.75</v>
      </c>
      <c r="G14" s="148" t="s">
        <v>28</v>
      </c>
      <c r="H14" s="34"/>
      <c r="I14" s="34" t="n">
        <v>2.75</v>
      </c>
      <c r="J14" s="35"/>
      <c r="K14" s="36"/>
      <c r="L14" s="37"/>
      <c r="M14" s="33" t="s">
        <v>28</v>
      </c>
      <c r="N14" s="34"/>
      <c r="O14" s="43" t="n">
        <v>2</v>
      </c>
      <c r="P14" s="35"/>
      <c r="Q14" s="36"/>
      <c r="R14" s="37"/>
      <c r="S14" s="35" t="s">
        <v>34</v>
      </c>
      <c r="T14" s="34"/>
      <c r="U14" s="34" t="n">
        <v>1.5</v>
      </c>
      <c r="V14" s="35"/>
      <c r="W14" s="36"/>
      <c r="X14" s="37"/>
      <c r="Y14" s="35" t="s">
        <v>34</v>
      </c>
      <c r="Z14" s="34"/>
      <c r="AA14" s="34" t="n">
        <v>1.5</v>
      </c>
      <c r="AB14" s="35"/>
      <c r="AC14" s="36"/>
      <c r="AD14" s="37"/>
      <c r="AE14" s="35" t="s">
        <v>30</v>
      </c>
      <c r="AF14" s="34" t="n">
        <v>2.5</v>
      </c>
      <c r="AG14" s="34" t="n">
        <v>2.5</v>
      </c>
      <c r="AH14" s="35"/>
      <c r="AI14" s="36"/>
      <c r="AJ14" s="37"/>
      <c r="AK14" s="35" t="s">
        <v>28</v>
      </c>
      <c r="AL14" s="34"/>
      <c r="AM14" s="34" t="n">
        <v>3.25</v>
      </c>
      <c r="AN14" s="35" t="s">
        <v>29</v>
      </c>
      <c r="AO14" s="36" t="n">
        <v>0.5</v>
      </c>
      <c r="AP14" s="37" t="n">
        <v>0.5</v>
      </c>
      <c r="AQ14" s="35" t="s">
        <v>28</v>
      </c>
      <c r="AR14" s="34"/>
      <c r="AS14" s="34" t="n">
        <v>3.25</v>
      </c>
      <c r="AT14" s="35"/>
      <c r="AU14" s="36"/>
      <c r="AV14" s="37"/>
      <c r="AW14" s="32"/>
      <c r="AX14" s="40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</row>
    <row r="15" customFormat="false" ht="18.75" hidden="false" customHeight="true" outlineLevel="0" collapsed="false">
      <c r="A15" s="46" t="n">
        <v>10</v>
      </c>
      <c r="B15" s="156" t="s">
        <v>146</v>
      </c>
      <c r="C15" s="29" t="n">
        <f aca="false">SUM(H15:AW15)</f>
        <v>20</v>
      </c>
      <c r="D15" s="85" t="n">
        <f aca="false">E15/2.5</f>
        <v>2</v>
      </c>
      <c r="E15" s="149" t="n">
        <f aca="false">SUM(H15+N15+T15+Z15+AF15+AL15+AR15)</f>
        <v>5</v>
      </c>
      <c r="F15" s="55" t="n">
        <f aca="false">C15-E15</f>
        <v>15</v>
      </c>
      <c r="G15" s="150" t="s">
        <v>28</v>
      </c>
      <c r="H15" s="50"/>
      <c r="I15" s="50"/>
      <c r="J15" s="51" t="s">
        <v>29</v>
      </c>
      <c r="K15" s="52"/>
      <c r="L15" s="53"/>
      <c r="M15" s="49" t="s">
        <v>30</v>
      </c>
      <c r="N15" s="50"/>
      <c r="O15" s="50" t="n">
        <v>2.5</v>
      </c>
      <c r="P15" s="51"/>
      <c r="Q15" s="52"/>
      <c r="R15" s="53"/>
      <c r="S15" s="51" t="s">
        <v>31</v>
      </c>
      <c r="T15" s="50"/>
      <c r="U15" s="50" t="n">
        <v>2.5</v>
      </c>
      <c r="V15" s="51"/>
      <c r="W15" s="52"/>
      <c r="X15" s="53"/>
      <c r="Y15" s="51" t="s">
        <v>28</v>
      </c>
      <c r="Z15" s="50" t="n">
        <v>2.5</v>
      </c>
      <c r="AA15" s="50" t="n">
        <v>1.75</v>
      </c>
      <c r="AB15" s="51" t="s">
        <v>29</v>
      </c>
      <c r="AC15" s="52"/>
      <c r="AD15" s="53" t="n">
        <v>0.5</v>
      </c>
      <c r="AE15" s="51" t="s">
        <v>28</v>
      </c>
      <c r="AF15" s="50" t="n">
        <v>2.5</v>
      </c>
      <c r="AG15" s="50" t="n">
        <v>3.5</v>
      </c>
      <c r="AH15" s="51"/>
      <c r="AI15" s="52"/>
      <c r="AJ15" s="53"/>
      <c r="AK15" s="51" t="s">
        <v>28</v>
      </c>
      <c r="AL15" s="50"/>
      <c r="AM15" s="50" t="n">
        <v>3.25</v>
      </c>
      <c r="AN15" s="51"/>
      <c r="AO15" s="52"/>
      <c r="AP15" s="53"/>
      <c r="AQ15" s="51" t="s">
        <v>28</v>
      </c>
      <c r="AR15" s="50"/>
      <c r="AS15" s="50" t="n">
        <v>1</v>
      </c>
      <c r="AT15" s="51"/>
      <c r="AU15" s="52"/>
      <c r="AV15" s="53"/>
      <c r="AW15" s="55"/>
      <c r="AX15" s="40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</row>
    <row r="16" customFormat="false" ht="15.75" hidden="false" customHeight="true" outlineLevel="0" collapsed="false">
      <c r="A16" s="56" t="s">
        <v>44</v>
      </c>
      <c r="B16" s="1"/>
      <c r="C16" s="2"/>
      <c r="D16" s="2"/>
      <c r="E16" s="2"/>
      <c r="F16" s="3"/>
      <c r="G16" s="143" t="s">
        <v>248</v>
      </c>
      <c r="H16" s="143"/>
      <c r="I16" s="143"/>
      <c r="J16" s="143"/>
      <c r="K16" s="143"/>
      <c r="L16" s="143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7"/>
      <c r="AX16" s="60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customFormat="false" ht="15.75" hidden="false" customHeight="false" outlineLevel="0" collapsed="false">
      <c r="A17" s="62" t="s">
        <v>31</v>
      </c>
      <c r="B17" s="63"/>
      <c r="C17" s="6"/>
      <c r="D17" s="6"/>
      <c r="E17" s="6"/>
      <c r="F17" s="7"/>
      <c r="G17" s="143"/>
      <c r="H17" s="143"/>
      <c r="I17" s="143"/>
      <c r="J17" s="143"/>
      <c r="K17" s="143"/>
      <c r="L17" s="143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7"/>
      <c r="AX17" s="60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</row>
    <row r="18" customFormat="false" ht="15.75" hidden="false" customHeight="false" outlineLevel="0" collapsed="false">
      <c r="A18" s="64" t="s">
        <v>30</v>
      </c>
      <c r="B18" s="63"/>
      <c r="C18" s="6"/>
      <c r="D18" s="6"/>
      <c r="E18" s="6"/>
      <c r="F18" s="7"/>
      <c r="G18" s="65" t="s">
        <v>51</v>
      </c>
      <c r="H18" s="65"/>
      <c r="I18" s="65"/>
      <c r="J18" s="65"/>
      <c r="K18" s="65"/>
      <c r="L18" s="65"/>
      <c r="M18" s="66" t="s">
        <v>51</v>
      </c>
      <c r="N18" s="66"/>
      <c r="O18" s="66"/>
      <c r="P18" s="66"/>
      <c r="Q18" s="66"/>
      <c r="R18" s="66"/>
      <c r="S18" s="66" t="s">
        <v>55</v>
      </c>
      <c r="T18" s="66"/>
      <c r="U18" s="66"/>
      <c r="V18" s="66"/>
      <c r="W18" s="66"/>
      <c r="X18" s="66"/>
      <c r="Y18" s="66" t="s">
        <v>53</v>
      </c>
      <c r="Z18" s="66"/>
      <c r="AA18" s="66"/>
      <c r="AB18" s="66"/>
      <c r="AC18" s="66"/>
      <c r="AD18" s="66"/>
      <c r="AE18" s="66" t="s">
        <v>55</v>
      </c>
      <c r="AF18" s="66"/>
      <c r="AG18" s="66"/>
      <c r="AH18" s="66"/>
      <c r="AI18" s="66"/>
      <c r="AJ18" s="66"/>
      <c r="AK18" s="66" t="s">
        <v>51</v>
      </c>
      <c r="AL18" s="66"/>
      <c r="AM18" s="66"/>
      <c r="AN18" s="66"/>
      <c r="AO18" s="66"/>
      <c r="AP18" s="66"/>
      <c r="AQ18" s="66" t="s">
        <v>54</v>
      </c>
      <c r="AR18" s="66"/>
      <c r="AS18" s="66"/>
      <c r="AT18" s="66"/>
      <c r="AU18" s="66"/>
      <c r="AV18" s="66"/>
      <c r="AW18" s="7"/>
      <c r="AX18" s="67"/>
    </row>
    <row r="19" customFormat="false" ht="15.75" hidden="false" customHeight="false" outlineLevel="0" collapsed="false">
      <c r="A19" s="68" t="s">
        <v>34</v>
      </c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7"/>
      <c r="AX19" s="7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customFormat="false" ht="15.75" hidden="false" customHeight="false" outlineLevel="0" collapsed="false">
      <c r="A20" s="69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customFormat="false" ht="15.75" hidden="false" customHeight="false" outlineLevel="0" collapsed="false">
      <c r="A21" s="144" t="s">
        <v>155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customFormat="false" ht="15.75" hidden="false" customHeight="false" outlineLevel="0" collapsed="false">
      <c r="A22" s="144" t="s">
        <v>156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customFormat="false" ht="15.75" hidden="false" customHeight="false" outlineLevel="0" collapsed="false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4"/>
    </row>
    <row r="24" customFormat="false" ht="15.75" hidden="false" customHeight="true" outlineLevel="0" collapsed="false">
      <c r="A24" s="145" t="s">
        <v>60</v>
      </c>
      <c r="B24" s="145" t="s">
        <v>61</v>
      </c>
      <c r="C24" s="145" t="s">
        <v>62</v>
      </c>
      <c r="D24" s="145" t="s">
        <v>63</v>
      </c>
      <c r="E24" s="146"/>
      <c r="F24" s="146"/>
    </row>
    <row r="25" customFormat="false" ht="15.75" hidden="false" customHeight="false" outlineLevel="0" collapsed="false">
      <c r="A25" s="145"/>
      <c r="B25" s="145"/>
      <c r="C25" s="145"/>
      <c r="D25" s="145"/>
    </row>
    <row r="26" customFormat="false" ht="15.75" hidden="false" customHeight="false" outlineLevel="0" collapsed="false">
      <c r="A26" s="76" t="n">
        <v>2</v>
      </c>
      <c r="B26" s="4" t="s">
        <v>42</v>
      </c>
      <c r="C26" s="4" t="s">
        <v>65</v>
      </c>
      <c r="D26" s="4" t="n">
        <v>-0.5</v>
      </c>
    </row>
    <row r="27" customFormat="false" ht="15.75" hidden="false" customHeight="false" outlineLevel="0" collapsed="false">
      <c r="A27" s="76" t="n">
        <v>3</v>
      </c>
      <c r="B27" s="4" t="s">
        <v>240</v>
      </c>
      <c r="C27" s="4" t="s">
        <v>65</v>
      </c>
      <c r="D27" s="4" t="n">
        <v>-0.5</v>
      </c>
    </row>
    <row r="28" customFormat="false" ht="15.75" hidden="false" customHeight="false" outlineLevel="0" collapsed="false">
      <c r="A28" s="76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  <c r="D41" s="4"/>
    </row>
    <row r="42" customFormat="false" ht="15.75" hidden="false" customHeight="false" outlineLevel="0" collapsed="false">
      <c r="A42" s="4"/>
      <c r="B42" s="4"/>
      <c r="C42" s="4"/>
      <c r="D42" s="4"/>
    </row>
    <row r="43" customFormat="false" ht="15.75" hidden="false" customHeight="false" outlineLevel="0" collapsed="false">
      <c r="A43" s="4"/>
      <c r="B43" s="4"/>
      <c r="C43" s="4"/>
      <c r="D43" s="4"/>
    </row>
    <row r="44" customFormat="false" ht="15.75" hidden="false" customHeight="false" outlineLevel="0" collapsed="false">
      <c r="A44" s="4"/>
      <c r="B44" s="4"/>
      <c r="C44" s="4"/>
      <c r="D44" s="4"/>
    </row>
    <row r="45" customFormat="false" ht="15.75" hidden="false" customHeight="false" outlineLevel="0" collapsed="false">
      <c r="A45" s="4"/>
      <c r="B45" s="4"/>
      <c r="C45" s="4"/>
      <c r="D45" s="4"/>
    </row>
    <row r="46" customFormat="false" ht="15.75" hidden="false" customHeight="false" outlineLevel="0" collapsed="false">
      <c r="D46" s="4"/>
    </row>
    <row r="47" customFormat="false" ht="15.75" hidden="false" customHeight="false" outlineLevel="0" collapsed="false">
      <c r="D47" s="4"/>
    </row>
    <row r="48" customFormat="false" ht="15.75" hidden="false" customHeight="false" outlineLevel="0" collapsed="false">
      <c r="D48" s="4"/>
    </row>
    <row r="49" customFormat="false" ht="15.75" hidden="false" customHeight="false" outlineLevel="0" collapsed="false">
      <c r="D49" s="4"/>
    </row>
    <row r="50" customFormat="false" ht="15.75" hidden="false" customHeight="false" outlineLevel="0" collapsed="false">
      <c r="D50" s="4"/>
    </row>
    <row r="51" customFormat="false" ht="15.75" hidden="false" customHeight="false" outlineLevel="0" collapsed="false">
      <c r="D51" s="4"/>
    </row>
    <row r="52" customFormat="false" ht="15.75" hidden="false" customHeight="false" outlineLevel="0" collapsed="false">
      <c r="D52" s="4"/>
    </row>
    <row r="53" customFormat="false" ht="15.75" hidden="false" customHeight="false" outlineLevel="0" collapsed="false">
      <c r="D53" s="4"/>
    </row>
    <row r="54" customFormat="false" ht="15.75" hidden="false" customHeight="false" outlineLevel="0" collapsed="false">
      <c r="D54" s="4"/>
      <c r="E54" s="4"/>
      <c r="F54" s="4"/>
    </row>
    <row r="55" customFormat="false" ht="15.75" hidden="false" customHeight="false" outlineLevel="0" collapsed="false">
      <c r="D55" s="4"/>
      <c r="E55" s="4"/>
      <c r="F55" s="4"/>
    </row>
    <row r="56" customFormat="false" ht="15.75" hidden="false" customHeight="false" outlineLevel="0" collapsed="false">
      <c r="D56" s="4"/>
      <c r="E56" s="4"/>
      <c r="F56" s="4"/>
    </row>
    <row r="57" customFormat="false" ht="15.75" hidden="false" customHeight="false" outlineLevel="0" collapsed="false">
      <c r="D57" s="4"/>
      <c r="E57" s="4"/>
      <c r="F57" s="4"/>
    </row>
    <row r="58" customFormat="false" ht="15.75" hidden="false" customHeight="false" outlineLevel="0" collapsed="false">
      <c r="D58" s="4"/>
      <c r="E58" s="4"/>
      <c r="F58" s="4"/>
    </row>
    <row r="59" customFormat="false" ht="15.75" hidden="false" customHeight="false" outlineLevel="0" collapsed="false">
      <c r="D59" s="4"/>
      <c r="E59" s="4"/>
      <c r="F59" s="4"/>
    </row>
    <row r="60" customFormat="false" ht="15.75" hidden="false" customHeight="false" outlineLevel="0" collapsed="false">
      <c r="D60" s="4"/>
      <c r="E60" s="4"/>
      <c r="F60" s="4"/>
    </row>
    <row r="61" customFormat="false" ht="15.75" hidden="false" customHeight="false" outlineLevel="0" collapsed="false">
      <c r="D61" s="4"/>
      <c r="E61" s="4"/>
      <c r="F61" s="4"/>
    </row>
    <row r="62" customFormat="false" ht="15.75" hidden="false" customHeight="false" outlineLevel="0" collapsed="false">
      <c r="D62" s="4"/>
      <c r="E62" s="4"/>
      <c r="F62" s="4"/>
    </row>
    <row r="63" customFormat="false" ht="15.75" hidden="false" customHeight="false" outlineLevel="0" collapsed="false">
      <c r="D63" s="4"/>
      <c r="E63" s="4"/>
      <c r="F63" s="4"/>
    </row>
    <row r="64" customFormat="false" ht="15.75" hidden="false" customHeight="false" outlineLevel="0" collapsed="false">
      <c r="D64" s="4"/>
      <c r="E64" s="4"/>
      <c r="F64" s="4"/>
    </row>
    <row r="65" customFormat="false" ht="15.75" hidden="false" customHeight="false" outlineLevel="0" collapsed="false">
      <c r="D65" s="4"/>
      <c r="E65" s="4"/>
      <c r="F65" s="4"/>
    </row>
    <row r="66" customFormat="false" ht="15.75" hidden="false" customHeight="false" outlineLevel="0" collapsed="false">
      <c r="D66" s="4"/>
      <c r="E66" s="4"/>
      <c r="F66" s="4"/>
    </row>
    <row r="67" customFormat="false" ht="15.75" hidden="false" customHeight="false" outlineLevel="0" collapsed="false">
      <c r="D67" s="4"/>
      <c r="E67" s="4"/>
      <c r="F67" s="4"/>
    </row>
    <row r="68" customFormat="false" ht="15.75" hidden="false" customHeight="false" outlineLevel="0" collapsed="false">
      <c r="D68" s="4"/>
      <c r="E68" s="4"/>
      <c r="F68" s="4"/>
    </row>
    <row r="69" customFormat="false" ht="15.75" hidden="false" customHeight="false" outlineLevel="0" collapsed="false">
      <c r="D69" s="4"/>
      <c r="E69" s="4"/>
      <c r="F69" s="4"/>
    </row>
    <row r="70" customFormat="false" ht="15.75" hidden="false" customHeight="false" outlineLevel="0" collapsed="false">
      <c r="D70" s="4"/>
      <c r="E70" s="4"/>
      <c r="F70" s="4"/>
    </row>
    <row r="71" customFormat="false" ht="15.75" hidden="false" customHeight="false" outlineLevel="0" collapsed="false">
      <c r="D71" s="4"/>
      <c r="E71" s="4"/>
      <c r="F71" s="4"/>
    </row>
    <row r="72" customFormat="false" ht="15.75" hidden="false" customHeight="false" outlineLevel="0" collapsed="false">
      <c r="D72" s="4"/>
      <c r="E72" s="4"/>
      <c r="F72" s="4"/>
    </row>
    <row r="73" customFormat="false" ht="15.75" hidden="false" customHeight="false" outlineLevel="0" collapsed="false">
      <c r="D73" s="4"/>
      <c r="E73" s="4"/>
      <c r="F73" s="4"/>
    </row>
    <row r="74" customFormat="false" ht="15.75" hidden="false" customHeight="false" outlineLevel="0" collapsed="false">
      <c r="D74" s="4"/>
      <c r="E74" s="4"/>
      <c r="F74" s="4"/>
    </row>
    <row r="75" customFormat="false" ht="15.75" hidden="false" customHeight="false" outlineLevel="0" collapsed="false">
      <c r="D75" s="4"/>
      <c r="E75" s="4"/>
      <c r="F75" s="4"/>
    </row>
    <row r="76" customFormat="false" ht="15.75" hidden="false" customHeight="false" outlineLevel="0" collapsed="false">
      <c r="D76" s="4"/>
      <c r="E76" s="4"/>
      <c r="F76" s="4"/>
    </row>
    <row r="77" customFormat="false" ht="15.75" hidden="false" customHeight="false" outlineLevel="0" collapsed="false">
      <c r="D77" s="4"/>
      <c r="E77" s="4"/>
      <c r="F77" s="4"/>
    </row>
    <row r="78" customFormat="false" ht="15.75" hidden="false" customHeight="false" outlineLevel="0" collapsed="false">
      <c r="D78" s="4"/>
      <c r="E78" s="4"/>
      <c r="F78" s="4"/>
    </row>
    <row r="79" customFormat="false" ht="15.75" hidden="false" customHeight="false" outlineLevel="0" collapsed="false">
      <c r="D79" s="4"/>
      <c r="E79" s="4"/>
      <c r="F79" s="4"/>
    </row>
    <row r="80" customFormat="false" ht="15.75" hidden="false" customHeight="false" outlineLevel="0" collapsed="false">
      <c r="D80" s="4"/>
      <c r="E80" s="4"/>
      <c r="F80" s="4"/>
    </row>
    <row r="81" customFormat="false" ht="15.75" hidden="false" customHeight="false" outlineLevel="0" collapsed="false">
      <c r="D81" s="4"/>
      <c r="E81" s="4"/>
      <c r="F81" s="4"/>
    </row>
    <row r="82" customFormat="false" ht="15.75" hidden="false" customHeight="false" outlineLevel="0" collapsed="false">
      <c r="D82" s="4"/>
      <c r="E82" s="4"/>
      <c r="F82" s="4"/>
    </row>
    <row r="83" customFormat="false" ht="15.75" hidden="false" customHeight="false" outlineLevel="0" collapsed="false">
      <c r="D83" s="4"/>
      <c r="E83" s="4"/>
      <c r="F83" s="4"/>
    </row>
    <row r="84" customFormat="false" ht="15.75" hidden="false" customHeight="false" outlineLevel="0" collapsed="false">
      <c r="D84" s="4"/>
      <c r="E84" s="4"/>
      <c r="F84" s="4"/>
    </row>
    <row r="85" customFormat="false" ht="15.75" hidden="false" customHeight="false" outlineLevel="0" collapsed="false">
      <c r="D85" s="4"/>
      <c r="E85" s="4"/>
      <c r="F85" s="4"/>
    </row>
    <row r="86" customFormat="false" ht="15.75" hidden="false" customHeight="false" outlineLevel="0" collapsed="false">
      <c r="D86" s="4"/>
      <c r="E86" s="4"/>
      <c r="F86" s="4"/>
    </row>
    <row r="87" customFormat="false" ht="15.75" hidden="false" customHeight="false" outlineLevel="0" collapsed="false">
      <c r="D87" s="4"/>
      <c r="E87" s="4"/>
      <c r="F87" s="4"/>
    </row>
    <row r="88" customFormat="false" ht="15.75" hidden="false" customHeight="false" outlineLevel="0" collapsed="false">
      <c r="D88" s="4"/>
      <c r="E88" s="4"/>
      <c r="F88" s="4"/>
    </row>
    <row r="89" customFormat="false" ht="15.75" hidden="false" customHeight="false" outlineLevel="0" collapsed="false">
      <c r="D89" s="4"/>
      <c r="E89" s="4"/>
      <c r="F89" s="4"/>
    </row>
    <row r="90" customFormat="false" ht="15.75" hidden="false" customHeight="false" outlineLevel="0" collapsed="false">
      <c r="D90" s="4"/>
      <c r="E90" s="4"/>
      <c r="F90" s="4"/>
    </row>
    <row r="91" customFormat="false" ht="15.75" hidden="false" customHeight="false" outlineLevel="0" collapsed="false">
      <c r="D91" s="4"/>
      <c r="E91" s="4"/>
      <c r="F91" s="4"/>
    </row>
    <row r="92" customFormat="false" ht="15.75" hidden="false" customHeight="false" outlineLevel="0" collapsed="false">
      <c r="D92" s="4"/>
      <c r="E92" s="4"/>
      <c r="F92" s="4"/>
    </row>
    <row r="93" customFormat="false" ht="15.75" hidden="false" customHeight="false" outlineLevel="0" collapsed="false">
      <c r="D93" s="4"/>
      <c r="E93" s="4"/>
      <c r="F93" s="4"/>
    </row>
    <row r="94" customFormat="false" ht="15.75" hidden="false" customHeight="false" outlineLevel="0" collapsed="false">
      <c r="D94" s="4"/>
      <c r="E94" s="4"/>
      <c r="F94" s="4"/>
    </row>
    <row r="95" customFormat="false" ht="15.75" hidden="false" customHeight="false" outlineLevel="0" collapsed="false">
      <c r="D95" s="4"/>
      <c r="E95" s="4"/>
      <c r="F95" s="4"/>
    </row>
    <row r="96" customFormat="false" ht="15.75" hidden="false" customHeight="false" outlineLevel="0" collapsed="false">
      <c r="D96" s="4"/>
      <c r="E96" s="4"/>
      <c r="F96" s="4"/>
    </row>
    <row r="97" customFormat="false" ht="15.75" hidden="false" customHeight="false" outlineLevel="0" collapsed="false">
      <c r="D97" s="4"/>
      <c r="E97" s="4"/>
      <c r="F97" s="4"/>
    </row>
    <row r="98" customFormat="false" ht="15.75" hidden="false" customHeight="false" outlineLevel="0" collapsed="false">
      <c r="D98" s="4"/>
      <c r="E98" s="4"/>
      <c r="F98" s="4"/>
    </row>
    <row r="99" customFormat="false" ht="15.75" hidden="false" customHeight="false" outlineLevel="0" collapsed="false">
      <c r="D99" s="4"/>
      <c r="E99" s="4"/>
      <c r="F99" s="4"/>
    </row>
    <row r="100" customFormat="false" ht="15.75" hidden="false" customHeight="false" outlineLevel="0" collapsed="false">
      <c r="D100" s="4"/>
      <c r="E100" s="4"/>
      <c r="F100" s="4"/>
    </row>
    <row r="101" customFormat="false" ht="15.75" hidden="false" customHeight="false" outlineLevel="0" collapsed="false">
      <c r="D101" s="4"/>
      <c r="E101" s="4"/>
      <c r="F101" s="4"/>
    </row>
    <row r="102" customFormat="false" ht="15.75" hidden="false" customHeight="false" outlineLevel="0" collapsed="false">
      <c r="D102" s="4"/>
      <c r="E102" s="4"/>
      <c r="F102" s="4"/>
    </row>
    <row r="103" customFormat="false" ht="15.75" hidden="false" customHeight="false" outlineLevel="0" collapsed="false">
      <c r="D103" s="4"/>
      <c r="E103" s="4"/>
      <c r="F103" s="4"/>
    </row>
    <row r="104" customFormat="false" ht="15.75" hidden="false" customHeight="false" outlineLevel="0" collapsed="false">
      <c r="D104" s="4"/>
      <c r="E104" s="4"/>
      <c r="F104" s="4"/>
    </row>
    <row r="105" customFormat="false" ht="15.75" hidden="false" customHeight="false" outlineLevel="0" collapsed="false">
      <c r="D105" s="4"/>
      <c r="E105" s="4"/>
      <c r="F105" s="4"/>
    </row>
    <row r="106" customFormat="false" ht="15.75" hidden="false" customHeight="false" outlineLevel="0" collapsed="false">
      <c r="D106" s="4"/>
      <c r="E106" s="4"/>
      <c r="F106" s="4"/>
    </row>
    <row r="107" customFormat="false" ht="15.75" hidden="false" customHeight="false" outlineLevel="0" collapsed="false">
      <c r="D107" s="4"/>
      <c r="E107" s="4"/>
      <c r="F107" s="4"/>
    </row>
    <row r="108" customFormat="false" ht="15.75" hidden="false" customHeight="false" outlineLevel="0" collapsed="false">
      <c r="D108" s="4"/>
      <c r="E108" s="4"/>
      <c r="F108" s="4"/>
    </row>
    <row r="109" customFormat="false" ht="15.75" hidden="false" customHeight="false" outlineLevel="0" collapsed="false">
      <c r="D109" s="4"/>
      <c r="E109" s="4"/>
      <c r="F109" s="4"/>
    </row>
    <row r="110" customFormat="false" ht="15.75" hidden="false" customHeight="false" outlineLevel="0" collapsed="false">
      <c r="D110" s="4"/>
      <c r="E110" s="4"/>
      <c r="F110" s="4"/>
    </row>
    <row r="111" customFormat="false" ht="15.75" hidden="false" customHeight="false" outlineLevel="0" collapsed="false">
      <c r="D111" s="4"/>
      <c r="E111" s="4"/>
      <c r="F111" s="4"/>
    </row>
    <row r="112" customFormat="false" ht="15.75" hidden="false" customHeight="false" outlineLevel="0" collapsed="false">
      <c r="D112" s="4"/>
      <c r="E112" s="4"/>
      <c r="F112" s="4"/>
    </row>
    <row r="113" customFormat="false" ht="15.75" hidden="false" customHeight="false" outlineLevel="0" collapsed="false">
      <c r="D113" s="4"/>
      <c r="E113" s="4"/>
      <c r="F113" s="4"/>
    </row>
    <row r="114" customFormat="false" ht="15.75" hidden="false" customHeight="false" outlineLevel="0" collapsed="false">
      <c r="D114" s="4"/>
      <c r="E114" s="4"/>
      <c r="F114" s="4"/>
    </row>
    <row r="115" customFormat="false" ht="15.75" hidden="false" customHeight="false" outlineLevel="0" collapsed="false">
      <c r="D115" s="4"/>
      <c r="E115" s="4"/>
      <c r="F115" s="4"/>
    </row>
    <row r="116" customFormat="false" ht="15.75" hidden="false" customHeight="false" outlineLevel="0" collapsed="false">
      <c r="D116" s="4"/>
      <c r="E116" s="4"/>
      <c r="F116" s="4"/>
    </row>
    <row r="117" customFormat="false" ht="15.75" hidden="false" customHeight="false" outlineLevel="0" collapsed="false">
      <c r="D117" s="4"/>
      <c r="E117" s="4"/>
      <c r="F117" s="4"/>
    </row>
    <row r="118" customFormat="false" ht="15.75" hidden="false" customHeight="false" outlineLevel="0" collapsed="false">
      <c r="D118" s="4"/>
      <c r="E118" s="4"/>
      <c r="F118" s="4"/>
    </row>
    <row r="119" customFormat="false" ht="15.75" hidden="false" customHeight="false" outlineLevel="0" collapsed="false">
      <c r="D119" s="4"/>
      <c r="E119" s="4"/>
      <c r="F119" s="4"/>
    </row>
    <row r="120" customFormat="false" ht="15.75" hidden="false" customHeight="false" outlineLevel="0" collapsed="false">
      <c r="D120" s="4"/>
      <c r="E120" s="4"/>
      <c r="F120" s="4"/>
    </row>
    <row r="121" customFormat="false" ht="15.75" hidden="false" customHeight="false" outlineLevel="0" collapsed="false">
      <c r="D121" s="4"/>
      <c r="E121" s="4"/>
      <c r="F121" s="4"/>
    </row>
    <row r="122" customFormat="false" ht="15.75" hidden="false" customHeight="false" outlineLevel="0" collapsed="false">
      <c r="D122" s="4"/>
      <c r="E122" s="4"/>
      <c r="F122" s="4"/>
    </row>
    <row r="123" customFormat="false" ht="15.75" hidden="false" customHeight="false" outlineLevel="0" collapsed="false">
      <c r="D123" s="4"/>
      <c r="E123" s="4"/>
      <c r="F123" s="4"/>
    </row>
    <row r="124" customFormat="false" ht="15.75" hidden="false" customHeight="false" outlineLevel="0" collapsed="false">
      <c r="D124" s="4"/>
      <c r="E124" s="4"/>
      <c r="F124" s="4"/>
    </row>
    <row r="125" customFormat="false" ht="15.75" hidden="false" customHeight="false" outlineLevel="0" collapsed="false">
      <c r="D125" s="4"/>
      <c r="E125" s="4"/>
      <c r="F125" s="4"/>
    </row>
    <row r="126" customFormat="false" ht="15.75" hidden="false" customHeight="false" outlineLevel="0" collapsed="false">
      <c r="D126" s="4"/>
      <c r="E126" s="4"/>
      <c r="F126" s="4"/>
    </row>
    <row r="127" customFormat="false" ht="15.75" hidden="false" customHeight="false" outlineLevel="0" collapsed="false">
      <c r="D127" s="4"/>
      <c r="E127" s="4"/>
      <c r="F127" s="4"/>
    </row>
    <row r="128" customFormat="false" ht="15.75" hidden="false" customHeight="false" outlineLevel="0" collapsed="false">
      <c r="D128" s="4"/>
      <c r="E128" s="4"/>
      <c r="F128" s="4"/>
    </row>
    <row r="129" customFormat="false" ht="15.75" hidden="false" customHeight="false" outlineLevel="0" collapsed="false">
      <c r="D129" s="4"/>
      <c r="E129" s="4"/>
      <c r="F129" s="4"/>
    </row>
    <row r="130" customFormat="false" ht="15.75" hidden="false" customHeight="false" outlineLevel="0" collapsed="false">
      <c r="D130" s="4"/>
      <c r="E130" s="4"/>
      <c r="F130" s="4"/>
    </row>
    <row r="131" customFormat="false" ht="15.75" hidden="false" customHeight="false" outlineLevel="0" collapsed="false">
      <c r="D131" s="4"/>
      <c r="E131" s="4"/>
      <c r="F131" s="4"/>
    </row>
    <row r="132" customFormat="false" ht="15.75" hidden="false" customHeight="false" outlineLevel="0" collapsed="false">
      <c r="D132" s="4"/>
      <c r="E132" s="4"/>
      <c r="F132" s="4"/>
    </row>
    <row r="133" customFormat="false" ht="15.75" hidden="false" customHeight="false" outlineLevel="0" collapsed="false">
      <c r="D133" s="4"/>
      <c r="E133" s="4"/>
      <c r="F133" s="4"/>
    </row>
    <row r="134" customFormat="false" ht="15.75" hidden="false" customHeight="false" outlineLevel="0" collapsed="false">
      <c r="D134" s="4"/>
      <c r="E134" s="4"/>
      <c r="F134" s="4"/>
    </row>
    <row r="135" customFormat="false" ht="15.75" hidden="false" customHeight="false" outlineLevel="0" collapsed="false">
      <c r="D135" s="4"/>
      <c r="E135" s="4"/>
      <c r="F135" s="4"/>
    </row>
    <row r="136" customFormat="false" ht="15.75" hidden="false" customHeight="false" outlineLevel="0" collapsed="false">
      <c r="D136" s="4"/>
      <c r="E136" s="4"/>
      <c r="F136" s="4"/>
    </row>
    <row r="137" customFormat="false" ht="15.75" hidden="false" customHeight="false" outlineLevel="0" collapsed="false">
      <c r="D137" s="4"/>
      <c r="E137" s="4"/>
      <c r="F137" s="4"/>
    </row>
    <row r="138" customFormat="false" ht="15.75" hidden="false" customHeight="false" outlineLevel="0" collapsed="false">
      <c r="D138" s="4"/>
      <c r="E138" s="4"/>
      <c r="F138" s="4"/>
    </row>
    <row r="139" customFormat="false" ht="15.75" hidden="false" customHeight="false" outlineLevel="0" collapsed="false">
      <c r="D139" s="4"/>
      <c r="E139" s="4"/>
      <c r="F139" s="4"/>
    </row>
    <row r="140" customFormat="false" ht="15.75" hidden="false" customHeight="false" outlineLevel="0" collapsed="false">
      <c r="D140" s="4"/>
      <c r="E140" s="4"/>
      <c r="F140" s="4"/>
    </row>
    <row r="141" customFormat="false" ht="15.75" hidden="false" customHeight="false" outlineLevel="0" collapsed="false">
      <c r="D141" s="4"/>
      <c r="E141" s="4"/>
      <c r="F141" s="4"/>
    </row>
    <row r="142" customFormat="false" ht="15.75" hidden="false" customHeight="false" outlineLevel="0" collapsed="false">
      <c r="D142" s="4"/>
      <c r="E142" s="4"/>
      <c r="F142" s="4"/>
    </row>
    <row r="143" customFormat="false" ht="15.75" hidden="false" customHeight="false" outlineLevel="0" collapsed="false">
      <c r="D143" s="4"/>
      <c r="E143" s="4"/>
      <c r="F143" s="4"/>
    </row>
    <row r="144" customFormat="false" ht="15.75" hidden="false" customHeight="false" outlineLevel="0" collapsed="false">
      <c r="D144" s="4"/>
      <c r="E144" s="4"/>
      <c r="F144" s="4"/>
    </row>
    <row r="145" customFormat="false" ht="15.75" hidden="false" customHeight="false" outlineLevel="0" collapsed="false">
      <c r="D145" s="4"/>
      <c r="E145" s="4"/>
      <c r="F145" s="4"/>
    </row>
    <row r="146" customFormat="false" ht="15.75" hidden="false" customHeight="false" outlineLevel="0" collapsed="false">
      <c r="D146" s="4"/>
      <c r="E146" s="4"/>
      <c r="F146" s="4"/>
    </row>
    <row r="147" customFormat="false" ht="15.75" hidden="false" customHeight="false" outlineLevel="0" collapsed="false">
      <c r="D147" s="4"/>
      <c r="E147" s="4"/>
      <c r="F147" s="4"/>
    </row>
    <row r="148" customFormat="false" ht="15.75" hidden="false" customHeight="false" outlineLevel="0" collapsed="false">
      <c r="D148" s="4"/>
      <c r="E148" s="4"/>
      <c r="F148" s="4"/>
    </row>
    <row r="149" customFormat="false" ht="15.75" hidden="false" customHeight="false" outlineLevel="0" collapsed="false">
      <c r="D149" s="4"/>
      <c r="E149" s="4"/>
      <c r="F149" s="4"/>
    </row>
    <row r="150" customFormat="false" ht="15.75" hidden="false" customHeight="false" outlineLevel="0" collapsed="false">
      <c r="D150" s="4"/>
      <c r="E150" s="4"/>
      <c r="F150" s="4"/>
    </row>
    <row r="151" customFormat="false" ht="15.75" hidden="false" customHeight="false" outlineLevel="0" collapsed="false">
      <c r="D151" s="4"/>
      <c r="E151" s="4"/>
      <c r="F151" s="4"/>
    </row>
    <row r="152" customFormat="false" ht="15.75" hidden="false" customHeight="false" outlineLevel="0" collapsed="false">
      <c r="D152" s="4"/>
      <c r="E152" s="4"/>
      <c r="F152" s="4"/>
    </row>
    <row r="153" customFormat="false" ht="15.75" hidden="false" customHeight="false" outlineLevel="0" collapsed="false">
      <c r="D153" s="4"/>
      <c r="E153" s="4"/>
      <c r="F153" s="4"/>
    </row>
    <row r="154" customFormat="false" ht="15.75" hidden="false" customHeight="false" outlineLevel="0" collapsed="false">
      <c r="D154" s="4"/>
      <c r="E154" s="4"/>
      <c r="F154" s="4"/>
    </row>
    <row r="155" customFormat="false" ht="15.75" hidden="false" customHeight="false" outlineLevel="0" collapsed="false">
      <c r="D155" s="4"/>
      <c r="E155" s="4"/>
      <c r="F155" s="4"/>
    </row>
    <row r="156" customFormat="false" ht="15.75" hidden="false" customHeight="false" outlineLevel="0" collapsed="false">
      <c r="D156" s="4"/>
      <c r="E156" s="4"/>
      <c r="F156" s="4"/>
    </row>
    <row r="157" customFormat="false" ht="15.75" hidden="false" customHeight="false" outlineLevel="0" collapsed="false">
      <c r="D157" s="4"/>
      <c r="E157" s="4"/>
      <c r="F157" s="4"/>
    </row>
    <row r="158" customFormat="false" ht="15.75" hidden="false" customHeight="false" outlineLevel="0" collapsed="false">
      <c r="D158" s="4"/>
      <c r="E158" s="4"/>
      <c r="F158" s="4"/>
    </row>
    <row r="159" customFormat="false" ht="15.75" hidden="false" customHeight="false" outlineLevel="0" collapsed="false">
      <c r="D159" s="4"/>
      <c r="E159" s="4"/>
      <c r="F159" s="4"/>
    </row>
    <row r="160" customFormat="false" ht="15.75" hidden="false" customHeight="false" outlineLevel="0" collapsed="false">
      <c r="D160" s="4"/>
      <c r="E160" s="4"/>
      <c r="F160" s="4"/>
    </row>
    <row r="161" customFormat="false" ht="15.75" hidden="false" customHeight="false" outlineLevel="0" collapsed="false">
      <c r="D161" s="4"/>
      <c r="E161" s="4"/>
      <c r="F161" s="4"/>
    </row>
    <row r="162" customFormat="false" ht="15.75" hidden="false" customHeight="false" outlineLevel="0" collapsed="false">
      <c r="D162" s="4"/>
      <c r="E162" s="4"/>
      <c r="F162" s="4"/>
    </row>
    <row r="163" customFormat="false" ht="15.75" hidden="false" customHeight="false" outlineLevel="0" collapsed="false">
      <c r="D163" s="4"/>
      <c r="E163" s="4"/>
      <c r="F163" s="4"/>
    </row>
    <row r="164" customFormat="false" ht="15.75" hidden="false" customHeight="false" outlineLevel="0" collapsed="false">
      <c r="D164" s="4"/>
      <c r="E164" s="4"/>
      <c r="F164" s="4"/>
    </row>
    <row r="165" customFormat="false" ht="15.75" hidden="false" customHeight="false" outlineLevel="0" collapsed="false">
      <c r="D165" s="4"/>
      <c r="E165" s="4"/>
      <c r="F165" s="4"/>
    </row>
    <row r="166" customFormat="false" ht="15.75" hidden="false" customHeight="false" outlineLevel="0" collapsed="false">
      <c r="D166" s="4"/>
      <c r="E166" s="4"/>
      <c r="F166" s="4"/>
    </row>
    <row r="167" customFormat="false" ht="15.75" hidden="false" customHeight="false" outlineLevel="0" collapsed="false">
      <c r="D167" s="4"/>
      <c r="E167" s="4"/>
      <c r="F167" s="4"/>
    </row>
    <row r="168" customFormat="false" ht="15.75" hidden="false" customHeight="false" outlineLevel="0" collapsed="false">
      <c r="D168" s="4"/>
      <c r="E168" s="4"/>
      <c r="F168" s="4"/>
    </row>
    <row r="169" customFormat="false" ht="15.75" hidden="false" customHeight="false" outlineLevel="0" collapsed="false">
      <c r="D169" s="4"/>
      <c r="E169" s="4"/>
      <c r="F169" s="4"/>
    </row>
    <row r="170" customFormat="false" ht="15.75" hidden="false" customHeight="false" outlineLevel="0" collapsed="false">
      <c r="D170" s="4"/>
      <c r="E170" s="4"/>
      <c r="F170" s="4"/>
    </row>
    <row r="171" customFormat="false" ht="15.75" hidden="false" customHeight="false" outlineLevel="0" collapsed="false">
      <c r="D171" s="4"/>
      <c r="E171" s="4"/>
      <c r="F171" s="4"/>
    </row>
    <row r="172" customFormat="false" ht="15.75" hidden="false" customHeight="false" outlineLevel="0" collapsed="false">
      <c r="D172" s="4"/>
      <c r="E172" s="4"/>
      <c r="F172" s="4"/>
    </row>
    <row r="173" customFormat="false" ht="15.75" hidden="false" customHeight="false" outlineLevel="0" collapsed="false">
      <c r="D173" s="4"/>
      <c r="E173" s="4"/>
      <c r="F173" s="4"/>
    </row>
    <row r="174" customFormat="false" ht="15.75" hidden="false" customHeight="false" outlineLevel="0" collapsed="false">
      <c r="D174" s="4"/>
      <c r="E174" s="4"/>
      <c r="F174" s="4"/>
    </row>
    <row r="175" customFormat="false" ht="15.75" hidden="false" customHeight="false" outlineLevel="0" collapsed="false">
      <c r="D175" s="4"/>
      <c r="E175" s="4"/>
      <c r="F175" s="4"/>
    </row>
    <row r="176" customFormat="false" ht="15.75" hidden="false" customHeight="false" outlineLevel="0" collapsed="false">
      <c r="D176" s="4"/>
      <c r="E176" s="4"/>
      <c r="F176" s="4"/>
    </row>
    <row r="177" customFormat="false" ht="15.75" hidden="false" customHeight="false" outlineLevel="0" collapsed="false">
      <c r="D177" s="4"/>
      <c r="E177" s="4"/>
      <c r="F177" s="4"/>
    </row>
    <row r="178" customFormat="false" ht="15.75" hidden="false" customHeight="false" outlineLevel="0" collapsed="false">
      <c r="D178" s="4"/>
      <c r="E178" s="4"/>
      <c r="F178" s="4"/>
    </row>
    <row r="179" customFormat="false" ht="15.75" hidden="false" customHeight="false" outlineLevel="0" collapsed="false">
      <c r="D179" s="4"/>
      <c r="E179" s="4"/>
      <c r="F179" s="4"/>
    </row>
    <row r="180" customFormat="false" ht="15.75" hidden="false" customHeight="false" outlineLevel="0" collapsed="false">
      <c r="D180" s="4"/>
      <c r="E180" s="4"/>
      <c r="F180" s="4"/>
    </row>
    <row r="181" customFormat="false" ht="15.75" hidden="false" customHeight="false" outlineLevel="0" collapsed="false">
      <c r="D181" s="4"/>
      <c r="E181" s="4"/>
      <c r="F181" s="4"/>
    </row>
    <row r="182" customFormat="false" ht="15.75" hidden="false" customHeight="false" outlineLevel="0" collapsed="false">
      <c r="D182" s="4"/>
      <c r="E182" s="4"/>
      <c r="F182" s="4"/>
    </row>
    <row r="183" customFormat="false" ht="15.75" hidden="false" customHeight="false" outlineLevel="0" collapsed="false">
      <c r="D183" s="4"/>
      <c r="E183" s="4"/>
      <c r="F183" s="4"/>
    </row>
    <row r="184" customFormat="false" ht="15.75" hidden="false" customHeight="false" outlineLevel="0" collapsed="false">
      <c r="D184" s="4"/>
      <c r="E184" s="4"/>
      <c r="F184" s="4"/>
    </row>
    <row r="185" customFormat="false" ht="15.75" hidden="false" customHeight="false" outlineLevel="0" collapsed="false">
      <c r="D185" s="4"/>
      <c r="E185" s="4"/>
      <c r="F185" s="4"/>
    </row>
    <row r="186" customFormat="false" ht="15.75" hidden="false" customHeight="false" outlineLevel="0" collapsed="false">
      <c r="D186" s="4"/>
      <c r="E186" s="4"/>
      <c r="F186" s="4"/>
    </row>
    <row r="187" customFormat="false" ht="15.75" hidden="false" customHeight="false" outlineLevel="0" collapsed="false">
      <c r="D187" s="4"/>
      <c r="E187" s="4"/>
      <c r="F187" s="4"/>
    </row>
    <row r="188" customFormat="false" ht="15.75" hidden="false" customHeight="false" outlineLevel="0" collapsed="false">
      <c r="D188" s="4"/>
      <c r="E188" s="4"/>
      <c r="F188" s="4"/>
    </row>
    <row r="189" customFormat="false" ht="15.75" hidden="false" customHeight="false" outlineLevel="0" collapsed="false">
      <c r="D189" s="4"/>
      <c r="E189" s="4"/>
      <c r="F189" s="4"/>
    </row>
    <row r="190" customFormat="false" ht="15.75" hidden="false" customHeight="false" outlineLevel="0" collapsed="false">
      <c r="D190" s="4"/>
      <c r="E190" s="4"/>
      <c r="F190" s="4"/>
    </row>
    <row r="191" customFormat="false" ht="15.75" hidden="false" customHeight="false" outlineLevel="0" collapsed="false">
      <c r="D191" s="4"/>
      <c r="E191" s="4"/>
      <c r="F191" s="4"/>
    </row>
    <row r="192" customFormat="false" ht="15.75" hidden="false" customHeight="false" outlineLevel="0" collapsed="false">
      <c r="D192" s="4"/>
      <c r="E192" s="4"/>
      <c r="F192" s="4"/>
    </row>
    <row r="193" customFormat="false" ht="15.75" hidden="false" customHeight="false" outlineLevel="0" collapsed="false">
      <c r="D193" s="4"/>
      <c r="E193" s="4"/>
      <c r="F193" s="4"/>
    </row>
    <row r="194" customFormat="false" ht="15.75" hidden="false" customHeight="false" outlineLevel="0" collapsed="false">
      <c r="D194" s="4"/>
      <c r="E194" s="4"/>
      <c r="F194" s="4"/>
    </row>
    <row r="195" customFormat="false" ht="15.75" hidden="false" customHeight="false" outlineLevel="0" collapsed="false">
      <c r="D195" s="4"/>
      <c r="E195" s="4"/>
      <c r="F195" s="4"/>
    </row>
    <row r="196" customFormat="false" ht="15.75" hidden="false" customHeight="false" outlineLevel="0" collapsed="false">
      <c r="D196" s="4"/>
      <c r="E196" s="4"/>
      <c r="F196" s="4"/>
    </row>
    <row r="197" customFormat="false" ht="15.75" hidden="false" customHeight="false" outlineLevel="0" collapsed="false">
      <c r="D197" s="4"/>
      <c r="E197" s="4"/>
      <c r="F197" s="4"/>
    </row>
    <row r="198" customFormat="false" ht="15.75" hidden="false" customHeight="false" outlineLevel="0" collapsed="false">
      <c r="D198" s="4"/>
      <c r="E198" s="4"/>
      <c r="F198" s="4"/>
    </row>
    <row r="199" customFormat="false" ht="15.75" hidden="false" customHeight="false" outlineLevel="0" collapsed="false">
      <c r="D199" s="4"/>
      <c r="E199" s="4"/>
      <c r="F199" s="4"/>
    </row>
    <row r="200" customFormat="false" ht="15.75" hidden="false" customHeight="false" outlineLevel="0" collapsed="false">
      <c r="D200" s="4"/>
      <c r="E200" s="4"/>
      <c r="F200" s="4"/>
    </row>
    <row r="201" customFormat="false" ht="15.75" hidden="false" customHeight="false" outlineLevel="0" collapsed="false">
      <c r="D201" s="4"/>
      <c r="E201" s="4"/>
      <c r="F201" s="4"/>
    </row>
    <row r="202" customFormat="false" ht="15.75" hidden="false" customHeight="false" outlineLevel="0" collapsed="false">
      <c r="D202" s="4"/>
      <c r="E202" s="4"/>
      <c r="F202" s="4"/>
    </row>
    <row r="203" customFormat="false" ht="15.75" hidden="false" customHeight="false" outlineLevel="0" collapsed="false">
      <c r="D203" s="4"/>
      <c r="E203" s="4"/>
      <c r="F203" s="4"/>
    </row>
    <row r="204" customFormat="false" ht="15.75" hidden="false" customHeight="false" outlineLevel="0" collapsed="false">
      <c r="D204" s="4"/>
      <c r="E204" s="4"/>
      <c r="F204" s="4"/>
    </row>
    <row r="205" customFormat="false" ht="15.75" hidden="false" customHeight="false" outlineLevel="0" collapsed="false">
      <c r="D205" s="4"/>
      <c r="E205" s="4"/>
      <c r="F205" s="4"/>
    </row>
    <row r="206" customFormat="false" ht="15.75" hidden="false" customHeight="false" outlineLevel="0" collapsed="false">
      <c r="D206" s="4"/>
      <c r="E206" s="4"/>
      <c r="F206" s="4"/>
    </row>
    <row r="207" customFormat="false" ht="15.75" hidden="false" customHeight="false" outlineLevel="0" collapsed="false">
      <c r="D207" s="4"/>
      <c r="E207" s="4"/>
      <c r="F207" s="4"/>
    </row>
    <row r="208" customFormat="false" ht="15.75" hidden="false" customHeight="false" outlineLevel="0" collapsed="false">
      <c r="D208" s="4"/>
      <c r="E208" s="4"/>
      <c r="F208" s="4"/>
    </row>
    <row r="209" customFormat="false" ht="15.75" hidden="false" customHeight="false" outlineLevel="0" collapsed="false">
      <c r="D209" s="4"/>
      <c r="E209" s="4"/>
      <c r="F209" s="4"/>
    </row>
    <row r="210" customFormat="false" ht="15.75" hidden="false" customHeight="false" outlineLevel="0" collapsed="false">
      <c r="D210" s="4"/>
      <c r="E210" s="4"/>
      <c r="F210" s="4"/>
    </row>
    <row r="211" customFormat="false" ht="15.75" hidden="false" customHeight="false" outlineLevel="0" collapsed="false">
      <c r="D211" s="4"/>
      <c r="E211" s="4"/>
      <c r="F211" s="4"/>
    </row>
    <row r="212" customFormat="false" ht="15.75" hidden="false" customHeight="false" outlineLevel="0" collapsed="false">
      <c r="D212" s="4"/>
      <c r="E212" s="4"/>
      <c r="F212" s="4"/>
    </row>
    <row r="213" customFormat="false" ht="15.75" hidden="false" customHeight="false" outlineLevel="0" collapsed="false">
      <c r="D213" s="4"/>
      <c r="E213" s="4"/>
      <c r="F213" s="4"/>
    </row>
    <row r="214" customFormat="false" ht="15.75" hidden="false" customHeight="false" outlineLevel="0" collapsed="false">
      <c r="D214" s="4"/>
      <c r="E214" s="4"/>
      <c r="F214" s="4"/>
    </row>
    <row r="215" customFormat="false" ht="15.75" hidden="false" customHeight="false" outlineLevel="0" collapsed="false">
      <c r="D215" s="4"/>
      <c r="E215" s="4"/>
      <c r="F215" s="4"/>
    </row>
    <row r="216" customFormat="false" ht="15.75" hidden="false" customHeight="false" outlineLevel="0" collapsed="false">
      <c r="D216" s="4"/>
      <c r="E216" s="4"/>
      <c r="F216" s="4"/>
    </row>
    <row r="217" customFormat="false" ht="15.75" hidden="false" customHeight="false" outlineLevel="0" collapsed="false">
      <c r="D217" s="4"/>
      <c r="E217" s="4"/>
      <c r="F217" s="4"/>
    </row>
    <row r="218" customFormat="false" ht="15.75" hidden="false" customHeight="false" outlineLevel="0" collapsed="false">
      <c r="D218" s="4"/>
      <c r="E218" s="4"/>
      <c r="F218" s="4"/>
    </row>
    <row r="219" customFormat="false" ht="15.75" hidden="false" customHeight="false" outlineLevel="0" collapsed="false">
      <c r="D219" s="4"/>
      <c r="E219" s="4"/>
      <c r="F219" s="4"/>
    </row>
    <row r="220" customFormat="false" ht="15.75" hidden="false" customHeight="false" outlineLevel="0" collapsed="false">
      <c r="D220" s="4"/>
      <c r="E220" s="4"/>
      <c r="F220" s="4"/>
    </row>
    <row r="221" customFormat="false" ht="15.75" hidden="false" customHeight="false" outlineLevel="0" collapsed="false">
      <c r="D221" s="4"/>
      <c r="E221" s="4"/>
      <c r="F221" s="4"/>
    </row>
    <row r="222" customFormat="false" ht="15.75" hidden="false" customHeight="false" outlineLevel="0" collapsed="false">
      <c r="D222" s="4"/>
      <c r="E222" s="4"/>
      <c r="F222" s="4"/>
    </row>
    <row r="223" customFormat="false" ht="15.75" hidden="false" customHeight="false" outlineLevel="0" collapsed="false">
      <c r="D223" s="4"/>
      <c r="E223" s="4"/>
      <c r="F223" s="4"/>
    </row>
    <row r="224" customFormat="false" ht="15.75" hidden="false" customHeight="false" outlineLevel="0" collapsed="false">
      <c r="D224" s="4"/>
      <c r="E224" s="4"/>
      <c r="F224" s="4"/>
    </row>
    <row r="225" customFormat="false" ht="15.75" hidden="false" customHeight="false" outlineLevel="0" collapsed="false">
      <c r="D225" s="4"/>
      <c r="E225" s="4"/>
      <c r="F225" s="4"/>
    </row>
    <row r="226" customFormat="false" ht="15.75" hidden="false" customHeight="false" outlineLevel="0" collapsed="false">
      <c r="D226" s="4"/>
      <c r="E226" s="4"/>
      <c r="F226" s="4"/>
    </row>
    <row r="227" customFormat="false" ht="15.75" hidden="false" customHeight="false" outlineLevel="0" collapsed="false">
      <c r="D227" s="4"/>
      <c r="E227" s="4"/>
      <c r="F227" s="4"/>
    </row>
    <row r="228" customFormat="false" ht="15.75" hidden="false" customHeight="false" outlineLevel="0" collapsed="false">
      <c r="D228" s="4"/>
      <c r="E228" s="4"/>
      <c r="F228" s="4"/>
    </row>
    <row r="229" customFormat="false" ht="15.75" hidden="false" customHeight="false" outlineLevel="0" collapsed="false">
      <c r="D229" s="4"/>
      <c r="E229" s="4"/>
      <c r="F229" s="4"/>
    </row>
    <row r="230" customFormat="false" ht="15.75" hidden="false" customHeight="false" outlineLevel="0" collapsed="false">
      <c r="D230" s="4"/>
      <c r="E230" s="4"/>
      <c r="F230" s="4"/>
    </row>
    <row r="231" customFormat="false" ht="15.75" hidden="false" customHeight="false" outlineLevel="0" collapsed="false">
      <c r="D231" s="4"/>
      <c r="E231" s="4"/>
      <c r="F231" s="4"/>
    </row>
    <row r="232" customFormat="false" ht="15.75" hidden="false" customHeight="false" outlineLevel="0" collapsed="false">
      <c r="D232" s="4"/>
      <c r="E232" s="4"/>
      <c r="F232" s="4"/>
    </row>
    <row r="233" customFormat="false" ht="15.75" hidden="false" customHeight="false" outlineLevel="0" collapsed="false">
      <c r="D233" s="4"/>
      <c r="E233" s="4"/>
      <c r="F233" s="4"/>
    </row>
    <row r="234" customFormat="false" ht="15.75" hidden="false" customHeight="false" outlineLevel="0" collapsed="false">
      <c r="D234" s="4"/>
      <c r="E234" s="4"/>
      <c r="F234" s="4"/>
    </row>
    <row r="235" customFormat="false" ht="15.75" hidden="false" customHeight="false" outlineLevel="0" collapsed="false">
      <c r="D235" s="4"/>
      <c r="E235" s="4"/>
      <c r="F235" s="4"/>
    </row>
    <row r="236" customFormat="false" ht="15.75" hidden="false" customHeight="false" outlineLevel="0" collapsed="false">
      <c r="D236" s="4"/>
      <c r="E236" s="4"/>
      <c r="F236" s="4"/>
    </row>
    <row r="237" customFormat="false" ht="15.75" hidden="false" customHeight="false" outlineLevel="0" collapsed="false">
      <c r="D237" s="4"/>
      <c r="E237" s="4"/>
      <c r="F237" s="4"/>
    </row>
    <row r="238" customFormat="false" ht="15.75" hidden="false" customHeight="false" outlineLevel="0" collapsed="false">
      <c r="D238" s="4"/>
      <c r="E238" s="4"/>
      <c r="F238" s="4"/>
    </row>
    <row r="239" customFormat="false" ht="15.75" hidden="false" customHeight="false" outlineLevel="0" collapsed="false">
      <c r="D239" s="4"/>
      <c r="E239" s="4"/>
      <c r="F239" s="4"/>
    </row>
    <row r="240" customFormat="false" ht="15.75" hidden="false" customHeight="false" outlineLevel="0" collapsed="false">
      <c r="D240" s="4"/>
      <c r="E240" s="4"/>
      <c r="F240" s="4"/>
    </row>
    <row r="241" customFormat="false" ht="15.75" hidden="false" customHeight="false" outlineLevel="0" collapsed="false">
      <c r="D241" s="4"/>
      <c r="E241" s="4"/>
      <c r="F241" s="4"/>
    </row>
    <row r="242" customFormat="false" ht="15.75" hidden="false" customHeight="false" outlineLevel="0" collapsed="false">
      <c r="D242" s="4"/>
      <c r="E242" s="4"/>
      <c r="F242" s="4"/>
    </row>
    <row r="243" customFormat="false" ht="15.75" hidden="false" customHeight="false" outlineLevel="0" collapsed="false">
      <c r="D243" s="4"/>
      <c r="E243" s="4"/>
      <c r="F243" s="4"/>
    </row>
    <row r="244" customFormat="false" ht="15.75" hidden="false" customHeight="false" outlineLevel="0" collapsed="false">
      <c r="D244" s="4"/>
      <c r="E244" s="4"/>
      <c r="F244" s="4"/>
    </row>
    <row r="245" customFormat="false" ht="15.75" hidden="false" customHeight="false" outlineLevel="0" collapsed="false">
      <c r="D245" s="4"/>
      <c r="E245" s="4"/>
      <c r="F245" s="4"/>
    </row>
    <row r="246" customFormat="false" ht="15.75" hidden="false" customHeight="false" outlineLevel="0" collapsed="false">
      <c r="D246" s="4"/>
      <c r="E246" s="4"/>
      <c r="F246" s="4"/>
    </row>
    <row r="247" customFormat="false" ht="15.75" hidden="false" customHeight="false" outlineLevel="0" collapsed="false">
      <c r="D247" s="4"/>
      <c r="E247" s="4"/>
      <c r="F247" s="4"/>
    </row>
    <row r="248" customFormat="false" ht="15.75" hidden="false" customHeight="false" outlineLevel="0" collapsed="false">
      <c r="D248" s="4"/>
      <c r="E248" s="4"/>
      <c r="F248" s="4"/>
    </row>
    <row r="249" customFormat="false" ht="15.75" hidden="false" customHeight="false" outlineLevel="0" collapsed="false">
      <c r="D249" s="4"/>
      <c r="E249" s="4"/>
      <c r="F249" s="4"/>
    </row>
    <row r="250" customFormat="false" ht="15.75" hidden="false" customHeight="false" outlineLevel="0" collapsed="false">
      <c r="D250" s="4"/>
      <c r="E250" s="4"/>
      <c r="F250" s="4"/>
    </row>
    <row r="251" customFormat="false" ht="15.75" hidden="false" customHeight="false" outlineLevel="0" collapsed="false">
      <c r="D251" s="4"/>
      <c r="E251" s="4"/>
      <c r="F251" s="4"/>
    </row>
    <row r="252" customFormat="false" ht="15.75" hidden="false" customHeight="false" outlineLevel="0" collapsed="false">
      <c r="D252" s="4"/>
      <c r="E252" s="4"/>
      <c r="F252" s="4"/>
    </row>
    <row r="253" customFormat="false" ht="15.75" hidden="false" customHeight="false" outlineLevel="0" collapsed="false">
      <c r="D253" s="4"/>
      <c r="E253" s="4"/>
      <c r="F253" s="4"/>
    </row>
    <row r="254" customFormat="false" ht="15.75" hidden="false" customHeight="false" outlineLevel="0" collapsed="false">
      <c r="D254" s="4"/>
      <c r="E254" s="4"/>
      <c r="F254" s="4"/>
    </row>
    <row r="255" customFormat="false" ht="15.75" hidden="false" customHeight="false" outlineLevel="0" collapsed="false">
      <c r="D255" s="4"/>
      <c r="E255" s="4"/>
      <c r="F255" s="4"/>
    </row>
    <row r="256" customFormat="false" ht="15.75" hidden="false" customHeight="false" outlineLevel="0" collapsed="false">
      <c r="D256" s="4"/>
      <c r="E256" s="4"/>
      <c r="F256" s="4"/>
    </row>
    <row r="257" customFormat="false" ht="15.75" hidden="false" customHeight="false" outlineLevel="0" collapsed="false">
      <c r="D257" s="4"/>
      <c r="E257" s="4"/>
      <c r="F257" s="4"/>
    </row>
    <row r="258" customFormat="false" ht="15.75" hidden="false" customHeight="false" outlineLevel="0" collapsed="false">
      <c r="D258" s="4"/>
      <c r="E258" s="4"/>
      <c r="F258" s="4"/>
    </row>
    <row r="259" customFormat="false" ht="15.75" hidden="false" customHeight="false" outlineLevel="0" collapsed="false">
      <c r="D259" s="4"/>
      <c r="E259" s="4"/>
      <c r="F259" s="4"/>
    </row>
    <row r="260" customFormat="false" ht="15.75" hidden="false" customHeight="false" outlineLevel="0" collapsed="false">
      <c r="D260" s="4"/>
      <c r="E260" s="4"/>
      <c r="F260" s="4"/>
    </row>
    <row r="261" customFormat="false" ht="15.75" hidden="false" customHeight="false" outlineLevel="0" collapsed="false">
      <c r="D261" s="4"/>
      <c r="E261" s="4"/>
      <c r="F261" s="4"/>
    </row>
    <row r="262" customFormat="false" ht="15.75" hidden="false" customHeight="false" outlineLevel="0" collapsed="false">
      <c r="D262" s="4"/>
      <c r="E262" s="4"/>
      <c r="F262" s="4"/>
    </row>
    <row r="263" customFormat="false" ht="15.75" hidden="false" customHeight="false" outlineLevel="0" collapsed="false">
      <c r="D263" s="4"/>
      <c r="E263" s="4"/>
      <c r="F263" s="4"/>
    </row>
    <row r="264" customFormat="false" ht="15.75" hidden="false" customHeight="false" outlineLevel="0" collapsed="false">
      <c r="D264" s="4"/>
      <c r="E264" s="4"/>
      <c r="F264" s="4"/>
    </row>
    <row r="265" customFormat="false" ht="15.75" hidden="false" customHeight="false" outlineLevel="0" collapsed="false">
      <c r="D265" s="4"/>
      <c r="E265" s="4"/>
      <c r="F265" s="4"/>
    </row>
    <row r="266" customFormat="false" ht="15.75" hidden="false" customHeight="false" outlineLevel="0" collapsed="false">
      <c r="D266" s="4"/>
      <c r="E266" s="4"/>
      <c r="F266" s="4"/>
    </row>
    <row r="267" customFormat="false" ht="15.75" hidden="false" customHeight="false" outlineLevel="0" collapsed="false">
      <c r="D267" s="4"/>
      <c r="E267" s="4"/>
      <c r="F267" s="4"/>
    </row>
    <row r="268" customFormat="false" ht="15.75" hidden="false" customHeight="false" outlineLevel="0" collapsed="false">
      <c r="D268" s="4"/>
      <c r="E268" s="4"/>
      <c r="F268" s="4"/>
    </row>
    <row r="269" customFormat="false" ht="15.75" hidden="false" customHeight="false" outlineLevel="0" collapsed="false">
      <c r="D269" s="4"/>
      <c r="E269" s="4"/>
      <c r="F269" s="4"/>
    </row>
    <row r="270" customFormat="false" ht="15.75" hidden="false" customHeight="false" outlineLevel="0" collapsed="false">
      <c r="D270" s="4"/>
      <c r="E270" s="4"/>
      <c r="F270" s="4"/>
    </row>
    <row r="271" customFormat="false" ht="15.75" hidden="false" customHeight="false" outlineLevel="0" collapsed="false">
      <c r="D271" s="4"/>
      <c r="E271" s="4"/>
      <c r="F271" s="4"/>
    </row>
    <row r="272" customFormat="false" ht="15.75" hidden="false" customHeight="false" outlineLevel="0" collapsed="false">
      <c r="D272" s="4"/>
      <c r="E272" s="4"/>
      <c r="F272" s="4"/>
    </row>
    <row r="273" customFormat="false" ht="15.75" hidden="false" customHeight="false" outlineLevel="0" collapsed="false">
      <c r="D273" s="4"/>
      <c r="E273" s="4"/>
      <c r="F273" s="4"/>
    </row>
    <row r="274" customFormat="false" ht="15.75" hidden="false" customHeight="false" outlineLevel="0" collapsed="false">
      <c r="D274" s="4"/>
      <c r="E274" s="4"/>
      <c r="F274" s="4"/>
    </row>
    <row r="275" customFormat="false" ht="15.75" hidden="false" customHeight="false" outlineLevel="0" collapsed="false">
      <c r="D275" s="4"/>
      <c r="E275" s="4"/>
      <c r="F275" s="4"/>
    </row>
    <row r="276" customFormat="false" ht="15.75" hidden="false" customHeight="false" outlineLevel="0" collapsed="false">
      <c r="D276" s="4"/>
      <c r="E276" s="4"/>
      <c r="F276" s="4"/>
    </row>
    <row r="277" customFormat="false" ht="15.75" hidden="false" customHeight="false" outlineLevel="0" collapsed="false">
      <c r="D277" s="4"/>
      <c r="E277" s="4"/>
      <c r="F277" s="4"/>
    </row>
    <row r="278" customFormat="false" ht="15.75" hidden="false" customHeight="false" outlineLevel="0" collapsed="false">
      <c r="D278" s="4"/>
      <c r="E278" s="4"/>
      <c r="F278" s="4"/>
    </row>
    <row r="279" customFormat="false" ht="15.75" hidden="false" customHeight="false" outlineLevel="0" collapsed="false">
      <c r="D279" s="4"/>
      <c r="E279" s="4"/>
      <c r="F279" s="4"/>
    </row>
    <row r="280" customFormat="false" ht="15.75" hidden="false" customHeight="false" outlineLevel="0" collapsed="false">
      <c r="D280" s="4"/>
      <c r="E280" s="4"/>
      <c r="F280" s="4"/>
    </row>
    <row r="281" customFormat="false" ht="15.75" hidden="false" customHeight="false" outlineLevel="0" collapsed="false">
      <c r="D281" s="4"/>
      <c r="E281" s="4"/>
      <c r="F281" s="4"/>
    </row>
    <row r="282" customFormat="false" ht="15.75" hidden="false" customHeight="false" outlineLevel="0" collapsed="false">
      <c r="D282" s="4"/>
      <c r="E282" s="4"/>
      <c r="F282" s="4"/>
    </row>
    <row r="283" customFormat="false" ht="15.75" hidden="false" customHeight="false" outlineLevel="0" collapsed="false">
      <c r="D283" s="4"/>
      <c r="E283" s="4"/>
      <c r="F283" s="4"/>
    </row>
    <row r="284" customFormat="false" ht="15.75" hidden="false" customHeight="false" outlineLevel="0" collapsed="false">
      <c r="D284" s="4"/>
      <c r="E284" s="4"/>
      <c r="F284" s="4"/>
    </row>
    <row r="285" customFormat="false" ht="15.75" hidden="false" customHeight="false" outlineLevel="0" collapsed="false">
      <c r="D285" s="4"/>
      <c r="E285" s="4"/>
      <c r="F285" s="4"/>
    </row>
    <row r="286" customFormat="false" ht="15.75" hidden="false" customHeight="false" outlineLevel="0" collapsed="false">
      <c r="D286" s="4"/>
      <c r="E286" s="4"/>
      <c r="F286" s="4"/>
    </row>
    <row r="287" customFormat="false" ht="15.75" hidden="false" customHeight="false" outlineLevel="0" collapsed="false">
      <c r="D287" s="4"/>
      <c r="E287" s="4"/>
      <c r="F287" s="4"/>
    </row>
    <row r="288" customFormat="false" ht="15.75" hidden="false" customHeight="false" outlineLevel="0" collapsed="false">
      <c r="D288" s="4"/>
      <c r="E288" s="4"/>
      <c r="F288" s="4"/>
    </row>
    <row r="289" customFormat="false" ht="15.75" hidden="false" customHeight="false" outlineLevel="0" collapsed="false">
      <c r="D289" s="4"/>
      <c r="E289" s="4"/>
      <c r="F289" s="4"/>
    </row>
    <row r="290" customFormat="false" ht="15.75" hidden="false" customHeight="false" outlineLevel="0" collapsed="false">
      <c r="D290" s="4"/>
      <c r="E290" s="4"/>
      <c r="F290" s="4"/>
    </row>
    <row r="291" customFormat="false" ht="15.75" hidden="false" customHeight="false" outlineLevel="0" collapsed="false">
      <c r="D291" s="4"/>
      <c r="E291" s="4"/>
      <c r="F291" s="4"/>
    </row>
    <row r="292" customFormat="false" ht="15.75" hidden="false" customHeight="false" outlineLevel="0" collapsed="false">
      <c r="D292" s="4"/>
      <c r="E292" s="4"/>
      <c r="F292" s="4"/>
    </row>
    <row r="293" customFormat="false" ht="15.75" hidden="false" customHeight="false" outlineLevel="0" collapsed="false">
      <c r="D293" s="4"/>
      <c r="E293" s="4"/>
      <c r="F293" s="4"/>
    </row>
    <row r="294" customFormat="false" ht="15.75" hidden="false" customHeight="false" outlineLevel="0" collapsed="false">
      <c r="D294" s="4"/>
      <c r="E294" s="4"/>
      <c r="F294" s="4"/>
    </row>
    <row r="295" customFormat="false" ht="15.75" hidden="false" customHeight="false" outlineLevel="0" collapsed="false">
      <c r="D295" s="4"/>
      <c r="E295" s="4"/>
      <c r="F295" s="4"/>
    </row>
    <row r="296" customFormat="false" ht="15.75" hidden="false" customHeight="false" outlineLevel="0" collapsed="false">
      <c r="D296" s="4"/>
      <c r="E296" s="4"/>
      <c r="F296" s="4"/>
    </row>
    <row r="297" customFormat="false" ht="15.75" hidden="false" customHeight="false" outlineLevel="0" collapsed="false">
      <c r="D297" s="4"/>
      <c r="E297" s="4"/>
      <c r="F297" s="4"/>
    </row>
    <row r="298" customFormat="false" ht="15.75" hidden="false" customHeight="false" outlineLevel="0" collapsed="false">
      <c r="D298" s="4"/>
      <c r="E298" s="4"/>
      <c r="F298" s="4"/>
    </row>
    <row r="299" customFormat="false" ht="15.75" hidden="false" customHeight="false" outlineLevel="0" collapsed="false">
      <c r="D299" s="4"/>
      <c r="E299" s="4"/>
      <c r="F299" s="4"/>
    </row>
    <row r="300" customFormat="false" ht="15.75" hidden="false" customHeight="false" outlineLevel="0" collapsed="false">
      <c r="D300" s="4"/>
      <c r="E300" s="4"/>
      <c r="F300" s="4"/>
    </row>
    <row r="301" customFormat="false" ht="15.75" hidden="false" customHeight="false" outlineLevel="0" collapsed="false">
      <c r="D301" s="4"/>
      <c r="E301" s="4"/>
      <c r="F301" s="4"/>
    </row>
    <row r="302" customFormat="false" ht="15.75" hidden="false" customHeight="false" outlineLevel="0" collapsed="false">
      <c r="D302" s="4"/>
      <c r="E302" s="4"/>
      <c r="F302" s="4"/>
    </row>
    <row r="303" customFormat="false" ht="15.75" hidden="false" customHeight="false" outlineLevel="0" collapsed="false">
      <c r="D303" s="4"/>
      <c r="E303" s="4"/>
      <c r="F303" s="4"/>
    </row>
    <row r="304" customFormat="false" ht="15.75" hidden="false" customHeight="false" outlineLevel="0" collapsed="false">
      <c r="D304" s="4"/>
      <c r="E304" s="4"/>
      <c r="F304" s="4"/>
    </row>
    <row r="305" customFormat="false" ht="15.75" hidden="false" customHeight="false" outlineLevel="0" collapsed="false">
      <c r="D305" s="4"/>
      <c r="E305" s="4"/>
      <c r="F305" s="4"/>
    </row>
    <row r="306" customFormat="false" ht="15.75" hidden="false" customHeight="false" outlineLevel="0" collapsed="false">
      <c r="D306" s="4"/>
      <c r="E306" s="4"/>
      <c r="F306" s="4"/>
    </row>
    <row r="307" customFormat="false" ht="15.75" hidden="false" customHeight="false" outlineLevel="0" collapsed="false">
      <c r="D307" s="4"/>
      <c r="E307" s="4"/>
      <c r="F307" s="4"/>
    </row>
    <row r="308" customFormat="false" ht="15.75" hidden="false" customHeight="false" outlineLevel="0" collapsed="false">
      <c r="D308" s="4"/>
      <c r="E308" s="4"/>
      <c r="F308" s="4"/>
    </row>
    <row r="309" customFormat="false" ht="15.75" hidden="false" customHeight="false" outlineLevel="0" collapsed="false">
      <c r="D309" s="4"/>
      <c r="E309" s="4"/>
      <c r="F309" s="4"/>
    </row>
    <row r="310" customFormat="false" ht="15.75" hidden="false" customHeight="false" outlineLevel="0" collapsed="false">
      <c r="D310" s="4"/>
      <c r="E310" s="4"/>
      <c r="F310" s="4"/>
    </row>
    <row r="311" customFormat="false" ht="15.75" hidden="false" customHeight="false" outlineLevel="0" collapsed="false">
      <c r="D311" s="4"/>
      <c r="E311" s="4"/>
      <c r="F311" s="4"/>
    </row>
    <row r="312" customFormat="false" ht="15.75" hidden="false" customHeight="false" outlineLevel="0" collapsed="false">
      <c r="D312" s="4"/>
      <c r="E312" s="4"/>
      <c r="F312" s="4"/>
    </row>
    <row r="313" customFormat="false" ht="15.75" hidden="false" customHeight="false" outlineLevel="0" collapsed="false">
      <c r="D313" s="4"/>
      <c r="E313" s="4"/>
      <c r="F313" s="4"/>
    </row>
    <row r="314" customFormat="false" ht="15.75" hidden="false" customHeight="false" outlineLevel="0" collapsed="false">
      <c r="D314" s="4"/>
      <c r="E314" s="4"/>
      <c r="F314" s="4"/>
    </row>
    <row r="315" customFormat="false" ht="15.75" hidden="false" customHeight="false" outlineLevel="0" collapsed="false">
      <c r="D315" s="4"/>
      <c r="E315" s="4"/>
      <c r="F315" s="4"/>
    </row>
    <row r="316" customFormat="false" ht="15.75" hidden="false" customHeight="false" outlineLevel="0" collapsed="false">
      <c r="D316" s="4"/>
      <c r="E316" s="4"/>
      <c r="F316" s="4"/>
    </row>
    <row r="317" customFormat="false" ht="15.75" hidden="false" customHeight="false" outlineLevel="0" collapsed="false">
      <c r="D317" s="4"/>
      <c r="E317" s="4"/>
      <c r="F317" s="4"/>
    </row>
    <row r="318" customFormat="false" ht="15.75" hidden="false" customHeight="false" outlineLevel="0" collapsed="false">
      <c r="D318" s="4"/>
      <c r="E318" s="4"/>
      <c r="F318" s="4"/>
    </row>
    <row r="319" customFormat="false" ht="15.75" hidden="false" customHeight="false" outlineLevel="0" collapsed="false">
      <c r="D319" s="4"/>
      <c r="E319" s="4"/>
      <c r="F319" s="4"/>
    </row>
    <row r="320" customFormat="false" ht="15.75" hidden="false" customHeight="false" outlineLevel="0" collapsed="false">
      <c r="D320" s="4"/>
      <c r="E320" s="4"/>
      <c r="F320" s="4"/>
    </row>
    <row r="321" customFormat="false" ht="15.75" hidden="false" customHeight="false" outlineLevel="0" collapsed="false">
      <c r="D321" s="4"/>
      <c r="E321" s="4"/>
      <c r="F321" s="4"/>
    </row>
    <row r="322" customFormat="false" ht="15.75" hidden="false" customHeight="false" outlineLevel="0" collapsed="false">
      <c r="D322" s="4"/>
      <c r="E322" s="4"/>
      <c r="F322" s="4"/>
    </row>
    <row r="323" customFormat="false" ht="15.75" hidden="false" customHeight="false" outlineLevel="0" collapsed="false">
      <c r="D323" s="4"/>
      <c r="E323" s="4"/>
      <c r="F323" s="4"/>
    </row>
    <row r="324" customFormat="false" ht="15.75" hidden="false" customHeight="false" outlineLevel="0" collapsed="false">
      <c r="D324" s="4"/>
      <c r="E324" s="4"/>
      <c r="F324" s="4"/>
    </row>
    <row r="325" customFormat="false" ht="15.75" hidden="false" customHeight="false" outlineLevel="0" collapsed="false">
      <c r="D325" s="4"/>
      <c r="E325" s="4"/>
      <c r="F325" s="4"/>
    </row>
    <row r="326" customFormat="false" ht="15.75" hidden="false" customHeight="false" outlineLevel="0" collapsed="false">
      <c r="D326" s="4"/>
      <c r="E326" s="4"/>
      <c r="F326" s="4"/>
    </row>
    <row r="327" customFormat="false" ht="15.75" hidden="false" customHeight="false" outlineLevel="0" collapsed="false">
      <c r="D327" s="4"/>
      <c r="E327" s="4"/>
      <c r="F327" s="4"/>
    </row>
    <row r="328" customFormat="false" ht="15.75" hidden="false" customHeight="false" outlineLevel="0" collapsed="false">
      <c r="D328" s="4"/>
      <c r="E328" s="4"/>
      <c r="F328" s="4"/>
    </row>
    <row r="329" customFormat="false" ht="15.75" hidden="false" customHeight="false" outlineLevel="0" collapsed="false">
      <c r="D329" s="4"/>
      <c r="E329" s="4"/>
      <c r="F329" s="4"/>
    </row>
    <row r="330" customFormat="false" ht="15.75" hidden="false" customHeight="false" outlineLevel="0" collapsed="false">
      <c r="D330" s="4"/>
      <c r="E330" s="4"/>
      <c r="F330" s="4"/>
    </row>
    <row r="331" customFormat="false" ht="15.75" hidden="false" customHeight="false" outlineLevel="0" collapsed="false">
      <c r="D331" s="4"/>
      <c r="E331" s="4"/>
      <c r="F331" s="4"/>
    </row>
    <row r="332" customFormat="false" ht="15.75" hidden="false" customHeight="false" outlineLevel="0" collapsed="false">
      <c r="D332" s="4"/>
      <c r="E332" s="4"/>
      <c r="F332" s="4"/>
    </row>
    <row r="333" customFormat="false" ht="15.75" hidden="false" customHeight="false" outlineLevel="0" collapsed="false">
      <c r="D333" s="4"/>
      <c r="E333" s="4"/>
      <c r="F333" s="4"/>
    </row>
    <row r="334" customFormat="false" ht="15.75" hidden="false" customHeight="false" outlineLevel="0" collapsed="false">
      <c r="D334" s="4"/>
      <c r="E334" s="4"/>
      <c r="F334" s="4"/>
    </row>
    <row r="335" customFormat="false" ht="15.75" hidden="false" customHeight="false" outlineLevel="0" collapsed="false">
      <c r="D335" s="4"/>
      <c r="E335" s="4"/>
      <c r="F335" s="4"/>
    </row>
    <row r="336" customFormat="false" ht="15.75" hidden="false" customHeight="false" outlineLevel="0" collapsed="false">
      <c r="D336" s="4"/>
      <c r="E336" s="4"/>
      <c r="F336" s="4"/>
    </row>
    <row r="337" customFormat="false" ht="15.75" hidden="false" customHeight="false" outlineLevel="0" collapsed="false">
      <c r="D337" s="4"/>
      <c r="E337" s="4"/>
      <c r="F337" s="4"/>
    </row>
    <row r="338" customFormat="false" ht="15.75" hidden="false" customHeight="false" outlineLevel="0" collapsed="false">
      <c r="D338" s="4"/>
      <c r="E338" s="4"/>
      <c r="F338" s="4"/>
    </row>
    <row r="339" customFormat="false" ht="15.75" hidden="false" customHeight="false" outlineLevel="0" collapsed="false">
      <c r="D339" s="4"/>
      <c r="E339" s="4"/>
      <c r="F339" s="4"/>
    </row>
    <row r="340" customFormat="false" ht="15.75" hidden="false" customHeight="false" outlineLevel="0" collapsed="false">
      <c r="D340" s="4"/>
      <c r="E340" s="4"/>
      <c r="F340" s="4"/>
    </row>
    <row r="341" customFormat="false" ht="15.75" hidden="false" customHeight="false" outlineLevel="0" collapsed="false">
      <c r="D341" s="4"/>
      <c r="E341" s="4"/>
      <c r="F341" s="4"/>
    </row>
    <row r="342" customFormat="false" ht="15.75" hidden="false" customHeight="false" outlineLevel="0" collapsed="false">
      <c r="D342" s="4"/>
      <c r="E342" s="4"/>
      <c r="F342" s="4"/>
    </row>
    <row r="343" customFormat="false" ht="15.75" hidden="false" customHeight="false" outlineLevel="0" collapsed="false">
      <c r="D343" s="4"/>
      <c r="E343" s="4"/>
      <c r="F343" s="4"/>
    </row>
    <row r="344" customFormat="false" ht="15.75" hidden="false" customHeight="false" outlineLevel="0" collapsed="false">
      <c r="D344" s="4"/>
      <c r="E344" s="4"/>
      <c r="F344" s="4"/>
    </row>
    <row r="345" customFormat="false" ht="15.75" hidden="false" customHeight="false" outlineLevel="0" collapsed="false">
      <c r="D345" s="4"/>
      <c r="E345" s="4"/>
      <c r="F345" s="4"/>
    </row>
    <row r="346" customFormat="false" ht="15.75" hidden="false" customHeight="false" outlineLevel="0" collapsed="false">
      <c r="D346" s="4"/>
      <c r="E346" s="4"/>
      <c r="F346" s="4"/>
    </row>
    <row r="347" customFormat="false" ht="15.75" hidden="false" customHeight="false" outlineLevel="0" collapsed="false">
      <c r="D347" s="4"/>
      <c r="E347" s="4"/>
      <c r="F347" s="4"/>
    </row>
    <row r="348" customFormat="false" ht="15.75" hidden="false" customHeight="false" outlineLevel="0" collapsed="false">
      <c r="D348" s="4"/>
      <c r="E348" s="4"/>
      <c r="F348" s="4"/>
    </row>
    <row r="349" customFormat="false" ht="15.75" hidden="false" customHeight="false" outlineLevel="0" collapsed="false">
      <c r="D349" s="4"/>
      <c r="E349" s="4"/>
      <c r="F349" s="4"/>
    </row>
    <row r="350" customFormat="false" ht="15.75" hidden="false" customHeight="false" outlineLevel="0" collapsed="false">
      <c r="D350" s="4"/>
      <c r="E350" s="4"/>
      <c r="F350" s="4"/>
    </row>
    <row r="351" customFormat="false" ht="15.75" hidden="false" customHeight="false" outlineLevel="0" collapsed="false">
      <c r="D351" s="4"/>
      <c r="E351" s="4"/>
      <c r="F351" s="4"/>
    </row>
    <row r="352" customFormat="false" ht="15.75" hidden="false" customHeight="false" outlineLevel="0" collapsed="false">
      <c r="D352" s="4"/>
      <c r="E352" s="4"/>
      <c r="F352" s="4"/>
    </row>
    <row r="353" customFormat="false" ht="15.75" hidden="false" customHeight="false" outlineLevel="0" collapsed="false">
      <c r="D353" s="4"/>
      <c r="E353" s="4"/>
      <c r="F353" s="4"/>
    </row>
    <row r="354" customFormat="false" ht="15.75" hidden="false" customHeight="false" outlineLevel="0" collapsed="false">
      <c r="D354" s="4"/>
      <c r="E354" s="4"/>
      <c r="F354" s="4"/>
    </row>
    <row r="355" customFormat="false" ht="15.75" hidden="false" customHeight="false" outlineLevel="0" collapsed="false">
      <c r="D355" s="4"/>
      <c r="E355" s="4"/>
      <c r="F355" s="4"/>
    </row>
    <row r="356" customFormat="false" ht="15.75" hidden="false" customHeight="false" outlineLevel="0" collapsed="false">
      <c r="D356" s="4"/>
      <c r="E356" s="4"/>
      <c r="F356" s="4"/>
    </row>
    <row r="357" customFormat="false" ht="15.75" hidden="false" customHeight="false" outlineLevel="0" collapsed="false">
      <c r="D357" s="4"/>
      <c r="E357" s="4"/>
      <c r="F357" s="4"/>
    </row>
    <row r="358" customFormat="false" ht="15.75" hidden="false" customHeight="false" outlineLevel="0" collapsed="false">
      <c r="D358" s="4"/>
      <c r="E358" s="4"/>
      <c r="F358" s="4"/>
    </row>
    <row r="359" customFormat="false" ht="15.75" hidden="false" customHeight="false" outlineLevel="0" collapsed="false">
      <c r="D359" s="4"/>
      <c r="E359" s="4"/>
      <c r="F359" s="4"/>
    </row>
    <row r="360" customFormat="false" ht="15.75" hidden="false" customHeight="false" outlineLevel="0" collapsed="false">
      <c r="D360" s="4"/>
      <c r="E360" s="4"/>
      <c r="F360" s="4"/>
    </row>
    <row r="361" customFormat="false" ht="15.75" hidden="false" customHeight="false" outlineLevel="0" collapsed="false">
      <c r="D361" s="4"/>
      <c r="E361" s="4"/>
      <c r="F361" s="4"/>
    </row>
    <row r="362" customFormat="false" ht="15.75" hidden="false" customHeight="false" outlineLevel="0" collapsed="false">
      <c r="D362" s="4"/>
      <c r="E362" s="4"/>
      <c r="F362" s="4"/>
    </row>
    <row r="363" customFormat="false" ht="15.75" hidden="false" customHeight="false" outlineLevel="0" collapsed="false">
      <c r="D363" s="4"/>
      <c r="E363" s="4"/>
      <c r="F363" s="4"/>
    </row>
    <row r="364" customFormat="false" ht="15.75" hidden="false" customHeight="false" outlineLevel="0" collapsed="false">
      <c r="D364" s="4"/>
      <c r="E364" s="4"/>
      <c r="F364" s="4"/>
    </row>
    <row r="365" customFormat="false" ht="15.75" hidden="false" customHeight="false" outlineLevel="0" collapsed="false">
      <c r="D365" s="4"/>
      <c r="E365" s="4"/>
      <c r="F365" s="4"/>
    </row>
    <row r="366" customFormat="false" ht="15.75" hidden="false" customHeight="false" outlineLevel="0" collapsed="false">
      <c r="D366" s="4"/>
      <c r="E366" s="4"/>
      <c r="F366" s="4"/>
    </row>
    <row r="367" customFormat="false" ht="15.75" hidden="false" customHeight="false" outlineLevel="0" collapsed="false">
      <c r="D367" s="4"/>
      <c r="E367" s="4"/>
      <c r="F367" s="4"/>
    </row>
    <row r="368" customFormat="false" ht="15.75" hidden="false" customHeight="false" outlineLevel="0" collapsed="false">
      <c r="D368" s="4"/>
      <c r="E368" s="4"/>
      <c r="F368" s="4"/>
    </row>
    <row r="369" customFormat="false" ht="15.75" hidden="false" customHeight="false" outlineLevel="0" collapsed="false">
      <c r="D369" s="4"/>
      <c r="E369" s="4"/>
      <c r="F369" s="4"/>
    </row>
    <row r="370" customFormat="false" ht="15.75" hidden="false" customHeight="false" outlineLevel="0" collapsed="false">
      <c r="D370" s="4"/>
      <c r="E370" s="4"/>
      <c r="F370" s="4"/>
    </row>
    <row r="371" customFormat="false" ht="15.75" hidden="false" customHeight="false" outlineLevel="0" collapsed="false">
      <c r="D371" s="4"/>
      <c r="E371" s="4"/>
      <c r="F371" s="4"/>
    </row>
    <row r="372" customFormat="false" ht="15.75" hidden="false" customHeight="false" outlineLevel="0" collapsed="false">
      <c r="D372" s="4"/>
      <c r="E372" s="4"/>
      <c r="F372" s="4"/>
    </row>
    <row r="373" customFormat="false" ht="15.75" hidden="false" customHeight="false" outlineLevel="0" collapsed="false">
      <c r="D373" s="4"/>
      <c r="E373" s="4"/>
      <c r="F373" s="4"/>
    </row>
    <row r="374" customFormat="false" ht="15.75" hidden="false" customHeight="false" outlineLevel="0" collapsed="false">
      <c r="D374" s="4"/>
      <c r="E374" s="4"/>
      <c r="F374" s="4"/>
    </row>
    <row r="375" customFormat="false" ht="15.75" hidden="false" customHeight="false" outlineLevel="0" collapsed="false">
      <c r="D375" s="4"/>
      <c r="E375" s="4"/>
      <c r="F375" s="4"/>
    </row>
    <row r="376" customFormat="false" ht="15.75" hidden="false" customHeight="false" outlineLevel="0" collapsed="false">
      <c r="D376" s="4"/>
      <c r="E376" s="4"/>
      <c r="F376" s="4"/>
    </row>
    <row r="377" customFormat="false" ht="15.75" hidden="false" customHeight="false" outlineLevel="0" collapsed="false">
      <c r="D377" s="4"/>
      <c r="E377" s="4"/>
      <c r="F377" s="4"/>
    </row>
    <row r="378" customFormat="false" ht="15.75" hidden="false" customHeight="false" outlineLevel="0" collapsed="false">
      <c r="D378" s="4"/>
      <c r="E378" s="4"/>
      <c r="F378" s="4"/>
    </row>
    <row r="379" customFormat="false" ht="15.75" hidden="false" customHeight="false" outlineLevel="0" collapsed="false">
      <c r="D379" s="4"/>
      <c r="E379" s="4"/>
      <c r="F379" s="4"/>
    </row>
    <row r="380" customFormat="false" ht="15.75" hidden="false" customHeight="false" outlineLevel="0" collapsed="false">
      <c r="D380" s="4"/>
      <c r="E380" s="4"/>
      <c r="F380" s="4"/>
    </row>
    <row r="381" customFormat="false" ht="15.75" hidden="false" customHeight="false" outlineLevel="0" collapsed="false">
      <c r="D381" s="4"/>
      <c r="E381" s="4"/>
      <c r="F381" s="4"/>
    </row>
    <row r="382" customFormat="false" ht="15.75" hidden="false" customHeight="false" outlineLevel="0" collapsed="false">
      <c r="D382" s="4"/>
      <c r="E382" s="4"/>
      <c r="F382" s="4"/>
    </row>
    <row r="383" customFormat="false" ht="15.75" hidden="false" customHeight="false" outlineLevel="0" collapsed="false">
      <c r="D383" s="4"/>
      <c r="E383" s="4"/>
      <c r="F383" s="4"/>
    </row>
    <row r="384" customFormat="false" ht="15.75" hidden="false" customHeight="false" outlineLevel="0" collapsed="false">
      <c r="D384" s="4"/>
      <c r="E384" s="4"/>
      <c r="F384" s="4"/>
    </row>
    <row r="385" customFormat="false" ht="15.75" hidden="false" customHeight="false" outlineLevel="0" collapsed="false">
      <c r="D385" s="4"/>
      <c r="E385" s="4"/>
      <c r="F385" s="4"/>
    </row>
    <row r="386" customFormat="false" ht="15.75" hidden="false" customHeight="false" outlineLevel="0" collapsed="false">
      <c r="D386" s="4"/>
      <c r="E386" s="4"/>
      <c r="F386" s="4"/>
    </row>
    <row r="387" customFormat="false" ht="15.75" hidden="false" customHeight="false" outlineLevel="0" collapsed="false">
      <c r="D387" s="4"/>
      <c r="E387" s="4"/>
      <c r="F387" s="4"/>
    </row>
    <row r="388" customFormat="false" ht="15.75" hidden="false" customHeight="false" outlineLevel="0" collapsed="false">
      <c r="D388" s="4"/>
      <c r="E388" s="4"/>
      <c r="F388" s="4"/>
    </row>
    <row r="389" customFormat="false" ht="15.75" hidden="false" customHeight="false" outlineLevel="0" collapsed="false">
      <c r="D389" s="4"/>
      <c r="E389" s="4"/>
      <c r="F389" s="4"/>
    </row>
    <row r="390" customFormat="false" ht="15.75" hidden="false" customHeight="false" outlineLevel="0" collapsed="false">
      <c r="D390" s="4"/>
      <c r="E390" s="4"/>
      <c r="F390" s="4"/>
    </row>
    <row r="391" customFormat="false" ht="15.75" hidden="false" customHeight="false" outlineLevel="0" collapsed="false">
      <c r="D391" s="4"/>
      <c r="E391" s="4"/>
      <c r="F391" s="4"/>
    </row>
    <row r="392" customFormat="false" ht="15.75" hidden="false" customHeight="false" outlineLevel="0" collapsed="false">
      <c r="D392" s="4"/>
      <c r="E392" s="4"/>
      <c r="F392" s="4"/>
    </row>
    <row r="393" customFormat="false" ht="15.75" hidden="false" customHeight="false" outlineLevel="0" collapsed="false">
      <c r="D393" s="4"/>
      <c r="E393" s="4"/>
      <c r="F393" s="4"/>
    </row>
    <row r="394" customFormat="false" ht="15.75" hidden="false" customHeight="false" outlineLevel="0" collapsed="false">
      <c r="D394" s="4"/>
      <c r="E394" s="4"/>
      <c r="F394" s="4"/>
    </row>
    <row r="395" customFormat="false" ht="15.75" hidden="false" customHeight="false" outlineLevel="0" collapsed="false">
      <c r="D395" s="4"/>
      <c r="E395" s="4"/>
      <c r="F395" s="4"/>
    </row>
    <row r="396" customFormat="false" ht="15.75" hidden="false" customHeight="false" outlineLevel="0" collapsed="false">
      <c r="D396" s="4"/>
      <c r="E396" s="4"/>
      <c r="F396" s="4"/>
    </row>
    <row r="397" customFormat="false" ht="15.75" hidden="false" customHeight="false" outlineLevel="0" collapsed="false">
      <c r="D397" s="4"/>
      <c r="E397" s="4"/>
      <c r="F397" s="4"/>
    </row>
    <row r="398" customFormat="false" ht="15.75" hidden="false" customHeight="false" outlineLevel="0" collapsed="false">
      <c r="D398" s="4"/>
      <c r="E398" s="4"/>
      <c r="F398" s="4"/>
    </row>
    <row r="399" customFormat="false" ht="15.75" hidden="false" customHeight="false" outlineLevel="0" collapsed="false">
      <c r="D399" s="4"/>
      <c r="E399" s="4"/>
      <c r="F399" s="4"/>
    </row>
    <row r="400" customFormat="false" ht="15.75" hidden="false" customHeight="false" outlineLevel="0" collapsed="false">
      <c r="D400" s="4"/>
      <c r="E400" s="4"/>
      <c r="F400" s="4"/>
    </row>
    <row r="401" customFormat="false" ht="15.75" hidden="false" customHeight="false" outlineLevel="0" collapsed="false">
      <c r="D401" s="4"/>
      <c r="E401" s="4"/>
      <c r="F401" s="4"/>
    </row>
    <row r="402" customFormat="false" ht="15.75" hidden="false" customHeight="false" outlineLevel="0" collapsed="false">
      <c r="D402" s="4"/>
      <c r="E402" s="4"/>
      <c r="F402" s="4"/>
    </row>
    <row r="403" customFormat="false" ht="15.75" hidden="false" customHeight="false" outlineLevel="0" collapsed="false">
      <c r="D403" s="4"/>
      <c r="E403" s="4"/>
      <c r="F403" s="4"/>
    </row>
    <row r="404" customFormat="false" ht="15.75" hidden="false" customHeight="false" outlineLevel="0" collapsed="false">
      <c r="D404" s="4"/>
      <c r="E404" s="4"/>
      <c r="F404" s="4"/>
    </row>
    <row r="405" customFormat="false" ht="15.75" hidden="false" customHeight="false" outlineLevel="0" collapsed="false">
      <c r="D405" s="4"/>
      <c r="E405" s="4"/>
      <c r="F405" s="4"/>
    </row>
    <row r="406" customFormat="false" ht="15.75" hidden="false" customHeight="false" outlineLevel="0" collapsed="false">
      <c r="D406" s="4"/>
      <c r="E406" s="4"/>
      <c r="F406" s="4"/>
    </row>
    <row r="407" customFormat="false" ht="15.75" hidden="false" customHeight="false" outlineLevel="0" collapsed="false">
      <c r="D407" s="4"/>
      <c r="E407" s="4"/>
      <c r="F407" s="4"/>
    </row>
    <row r="408" customFormat="false" ht="15.75" hidden="false" customHeight="false" outlineLevel="0" collapsed="false">
      <c r="D408" s="4"/>
      <c r="E408" s="4"/>
      <c r="F408" s="4"/>
    </row>
    <row r="409" customFormat="false" ht="15.75" hidden="false" customHeight="false" outlineLevel="0" collapsed="false">
      <c r="D409" s="4"/>
      <c r="E409" s="4"/>
      <c r="F409" s="4"/>
    </row>
    <row r="410" customFormat="false" ht="15.75" hidden="false" customHeight="false" outlineLevel="0" collapsed="false">
      <c r="D410" s="4"/>
      <c r="E410" s="4"/>
      <c r="F410" s="4"/>
    </row>
    <row r="411" customFormat="false" ht="15.75" hidden="false" customHeight="false" outlineLevel="0" collapsed="false">
      <c r="D411" s="4"/>
      <c r="E411" s="4"/>
      <c r="F411" s="4"/>
    </row>
    <row r="412" customFormat="false" ht="15.75" hidden="false" customHeight="false" outlineLevel="0" collapsed="false">
      <c r="D412" s="4"/>
      <c r="E412" s="4"/>
      <c r="F412" s="4"/>
    </row>
    <row r="413" customFormat="false" ht="15.75" hidden="false" customHeight="false" outlineLevel="0" collapsed="false">
      <c r="D413" s="4"/>
      <c r="E413" s="4"/>
      <c r="F413" s="4"/>
    </row>
    <row r="414" customFormat="false" ht="15.75" hidden="false" customHeight="false" outlineLevel="0" collapsed="false">
      <c r="D414" s="4"/>
      <c r="E414" s="4"/>
      <c r="F414" s="4"/>
    </row>
    <row r="415" customFormat="false" ht="15.75" hidden="false" customHeight="false" outlineLevel="0" collapsed="false">
      <c r="D415" s="4"/>
      <c r="E415" s="4"/>
      <c r="F415" s="4"/>
    </row>
    <row r="416" customFormat="false" ht="15.75" hidden="false" customHeight="false" outlineLevel="0" collapsed="false">
      <c r="D416" s="4"/>
      <c r="E416" s="4"/>
      <c r="F416" s="4"/>
    </row>
    <row r="417" customFormat="false" ht="15.75" hidden="false" customHeight="false" outlineLevel="0" collapsed="false">
      <c r="D417" s="4"/>
      <c r="E417" s="4"/>
      <c r="F417" s="4"/>
    </row>
    <row r="418" customFormat="false" ht="15.75" hidden="false" customHeight="false" outlineLevel="0" collapsed="false">
      <c r="D418" s="4"/>
      <c r="E418" s="4"/>
      <c r="F418" s="4"/>
    </row>
    <row r="419" customFormat="false" ht="15.75" hidden="false" customHeight="false" outlineLevel="0" collapsed="false">
      <c r="D419" s="4"/>
      <c r="E419" s="4"/>
      <c r="F419" s="4"/>
    </row>
    <row r="420" customFormat="false" ht="15.75" hidden="false" customHeight="false" outlineLevel="0" collapsed="false">
      <c r="D420" s="4"/>
      <c r="E420" s="4"/>
      <c r="F420" s="4"/>
    </row>
    <row r="421" customFormat="false" ht="15.75" hidden="false" customHeight="false" outlineLevel="0" collapsed="false">
      <c r="D421" s="4"/>
      <c r="E421" s="4"/>
      <c r="F421" s="4"/>
    </row>
    <row r="422" customFormat="false" ht="15.75" hidden="false" customHeight="false" outlineLevel="0" collapsed="false">
      <c r="D422" s="4"/>
      <c r="E422" s="4"/>
      <c r="F422" s="4"/>
    </row>
    <row r="423" customFormat="false" ht="15.75" hidden="false" customHeight="false" outlineLevel="0" collapsed="false">
      <c r="D423" s="4"/>
      <c r="E423" s="4"/>
      <c r="F423" s="4"/>
    </row>
    <row r="424" customFormat="false" ht="15.75" hidden="false" customHeight="false" outlineLevel="0" collapsed="false">
      <c r="D424" s="4"/>
      <c r="E424" s="4"/>
      <c r="F424" s="4"/>
    </row>
    <row r="425" customFormat="false" ht="15.75" hidden="false" customHeight="false" outlineLevel="0" collapsed="false">
      <c r="D425" s="4"/>
      <c r="E425" s="4"/>
      <c r="F425" s="4"/>
    </row>
    <row r="426" customFormat="false" ht="15.75" hidden="false" customHeight="false" outlineLevel="0" collapsed="false">
      <c r="D426" s="4"/>
      <c r="E426" s="4"/>
      <c r="F426" s="4"/>
    </row>
    <row r="427" customFormat="false" ht="15.75" hidden="false" customHeight="false" outlineLevel="0" collapsed="false">
      <c r="D427" s="4"/>
      <c r="E427" s="4"/>
      <c r="F427" s="4"/>
    </row>
    <row r="428" customFormat="false" ht="15.75" hidden="false" customHeight="false" outlineLevel="0" collapsed="false">
      <c r="D428" s="4"/>
      <c r="E428" s="4"/>
      <c r="F428" s="4"/>
    </row>
    <row r="429" customFormat="false" ht="15.75" hidden="false" customHeight="false" outlineLevel="0" collapsed="false">
      <c r="D429" s="4"/>
      <c r="E429" s="4"/>
      <c r="F429" s="4"/>
    </row>
    <row r="430" customFormat="false" ht="15.75" hidden="false" customHeight="false" outlineLevel="0" collapsed="false">
      <c r="D430" s="4"/>
      <c r="E430" s="4"/>
      <c r="F430" s="4"/>
    </row>
    <row r="431" customFormat="false" ht="15.75" hidden="false" customHeight="false" outlineLevel="0" collapsed="false">
      <c r="D431" s="4"/>
      <c r="E431" s="4"/>
      <c r="F431" s="4"/>
    </row>
    <row r="432" customFormat="false" ht="15.75" hidden="false" customHeight="false" outlineLevel="0" collapsed="false">
      <c r="D432" s="4"/>
      <c r="E432" s="4"/>
      <c r="F432" s="4"/>
    </row>
    <row r="433" customFormat="false" ht="15.75" hidden="false" customHeight="false" outlineLevel="0" collapsed="false">
      <c r="D433" s="4"/>
      <c r="E433" s="4"/>
      <c r="F433" s="4"/>
    </row>
    <row r="434" customFormat="false" ht="15.75" hidden="false" customHeight="false" outlineLevel="0" collapsed="false">
      <c r="D434" s="4"/>
      <c r="E434" s="4"/>
      <c r="F434" s="4"/>
    </row>
    <row r="435" customFormat="false" ht="15.75" hidden="false" customHeight="false" outlineLevel="0" collapsed="false">
      <c r="D435" s="4"/>
      <c r="E435" s="4"/>
      <c r="F435" s="4"/>
    </row>
    <row r="436" customFormat="false" ht="15.75" hidden="false" customHeight="false" outlineLevel="0" collapsed="false">
      <c r="D436" s="4"/>
      <c r="E436" s="4"/>
      <c r="F436" s="4"/>
    </row>
    <row r="437" customFormat="false" ht="15.75" hidden="false" customHeight="false" outlineLevel="0" collapsed="false">
      <c r="D437" s="4"/>
      <c r="E437" s="4"/>
      <c r="F437" s="4"/>
    </row>
    <row r="438" customFormat="false" ht="15.75" hidden="false" customHeight="false" outlineLevel="0" collapsed="false">
      <c r="D438" s="4"/>
      <c r="E438" s="4"/>
      <c r="F438" s="4"/>
    </row>
    <row r="439" customFormat="false" ht="15.75" hidden="false" customHeight="false" outlineLevel="0" collapsed="false">
      <c r="D439" s="4"/>
      <c r="E439" s="4"/>
      <c r="F439" s="4"/>
    </row>
    <row r="440" customFormat="false" ht="15.75" hidden="false" customHeight="false" outlineLevel="0" collapsed="false">
      <c r="D440" s="4"/>
      <c r="E440" s="4"/>
      <c r="F440" s="4"/>
    </row>
    <row r="441" customFormat="false" ht="15.75" hidden="false" customHeight="false" outlineLevel="0" collapsed="false">
      <c r="D441" s="4"/>
      <c r="E441" s="4"/>
      <c r="F441" s="4"/>
    </row>
    <row r="442" customFormat="false" ht="15.75" hidden="false" customHeight="false" outlineLevel="0" collapsed="false">
      <c r="D442" s="4"/>
      <c r="E442" s="4"/>
      <c r="F442" s="4"/>
    </row>
    <row r="443" customFormat="false" ht="15.75" hidden="false" customHeight="false" outlineLevel="0" collapsed="false">
      <c r="D443" s="4"/>
      <c r="E443" s="4"/>
      <c r="F443" s="4"/>
    </row>
    <row r="444" customFormat="false" ht="15.75" hidden="false" customHeight="false" outlineLevel="0" collapsed="false">
      <c r="D444" s="4"/>
      <c r="E444" s="4"/>
      <c r="F444" s="4"/>
    </row>
    <row r="445" customFormat="false" ht="15.75" hidden="false" customHeight="false" outlineLevel="0" collapsed="false">
      <c r="D445" s="4"/>
      <c r="E445" s="4"/>
      <c r="F445" s="4"/>
    </row>
    <row r="446" customFormat="false" ht="15.75" hidden="false" customHeight="false" outlineLevel="0" collapsed="false">
      <c r="D446" s="4"/>
      <c r="E446" s="4"/>
      <c r="F446" s="4"/>
    </row>
    <row r="447" customFormat="false" ht="15.75" hidden="false" customHeight="false" outlineLevel="0" collapsed="false">
      <c r="D447" s="4"/>
      <c r="E447" s="4"/>
      <c r="F447" s="4"/>
    </row>
    <row r="448" customFormat="false" ht="15.75" hidden="false" customHeight="false" outlineLevel="0" collapsed="false">
      <c r="D448" s="4"/>
      <c r="E448" s="4"/>
      <c r="F448" s="4"/>
    </row>
    <row r="449" customFormat="false" ht="15.75" hidden="false" customHeight="false" outlineLevel="0" collapsed="false">
      <c r="D449" s="4"/>
      <c r="E449" s="4"/>
      <c r="F449" s="4"/>
    </row>
    <row r="450" customFormat="false" ht="15.75" hidden="false" customHeight="false" outlineLevel="0" collapsed="false">
      <c r="D450" s="4"/>
      <c r="E450" s="4"/>
      <c r="F450" s="4"/>
    </row>
    <row r="451" customFormat="false" ht="15.75" hidden="false" customHeight="false" outlineLevel="0" collapsed="false">
      <c r="D451" s="4"/>
      <c r="E451" s="4"/>
      <c r="F451" s="4"/>
    </row>
    <row r="452" customFormat="false" ht="15.75" hidden="false" customHeight="false" outlineLevel="0" collapsed="false">
      <c r="D452" s="4"/>
      <c r="E452" s="4"/>
      <c r="F452" s="4"/>
    </row>
    <row r="453" customFormat="false" ht="15.75" hidden="false" customHeight="false" outlineLevel="0" collapsed="false">
      <c r="D453" s="4"/>
      <c r="E453" s="4"/>
      <c r="F453" s="4"/>
    </row>
    <row r="454" customFormat="false" ht="15.75" hidden="false" customHeight="false" outlineLevel="0" collapsed="false">
      <c r="D454" s="4"/>
      <c r="E454" s="4"/>
      <c r="F454" s="4"/>
    </row>
    <row r="455" customFormat="false" ht="15.75" hidden="false" customHeight="false" outlineLevel="0" collapsed="false">
      <c r="D455" s="4"/>
      <c r="E455" s="4"/>
      <c r="F455" s="4"/>
    </row>
    <row r="456" customFormat="false" ht="15.75" hidden="false" customHeight="false" outlineLevel="0" collapsed="false">
      <c r="D456" s="4"/>
      <c r="E456" s="4"/>
      <c r="F456" s="4"/>
    </row>
    <row r="457" customFormat="false" ht="15.75" hidden="false" customHeight="false" outlineLevel="0" collapsed="false">
      <c r="D457" s="4"/>
      <c r="E457" s="4"/>
      <c r="F457" s="4"/>
    </row>
    <row r="458" customFormat="false" ht="15.75" hidden="false" customHeight="false" outlineLevel="0" collapsed="false">
      <c r="D458" s="4"/>
      <c r="E458" s="4"/>
      <c r="F458" s="4"/>
    </row>
    <row r="459" customFormat="false" ht="15.75" hidden="false" customHeight="false" outlineLevel="0" collapsed="false">
      <c r="D459" s="4"/>
      <c r="E459" s="4"/>
      <c r="F459" s="4"/>
    </row>
    <row r="460" customFormat="false" ht="15.75" hidden="false" customHeight="false" outlineLevel="0" collapsed="false">
      <c r="D460" s="4"/>
      <c r="E460" s="4"/>
      <c r="F460" s="4"/>
    </row>
    <row r="461" customFormat="false" ht="15.75" hidden="false" customHeight="false" outlineLevel="0" collapsed="false">
      <c r="D461" s="4"/>
      <c r="E461" s="4"/>
      <c r="F461" s="4"/>
    </row>
    <row r="462" customFormat="false" ht="15.75" hidden="false" customHeight="false" outlineLevel="0" collapsed="false">
      <c r="D462" s="4"/>
      <c r="E462" s="4"/>
      <c r="F462" s="4"/>
    </row>
    <row r="463" customFormat="false" ht="15.75" hidden="false" customHeight="false" outlineLevel="0" collapsed="false">
      <c r="D463" s="4"/>
      <c r="E463" s="4"/>
      <c r="F463" s="4"/>
    </row>
    <row r="464" customFormat="false" ht="15.75" hidden="false" customHeight="false" outlineLevel="0" collapsed="false">
      <c r="D464" s="4"/>
      <c r="E464" s="4"/>
      <c r="F464" s="4"/>
    </row>
    <row r="465" customFormat="false" ht="15.75" hidden="false" customHeight="false" outlineLevel="0" collapsed="false">
      <c r="D465" s="4"/>
      <c r="E465" s="4"/>
      <c r="F465" s="4"/>
    </row>
    <row r="466" customFormat="false" ht="15.75" hidden="false" customHeight="false" outlineLevel="0" collapsed="false">
      <c r="D466" s="4"/>
      <c r="E466" s="4"/>
      <c r="F466" s="4"/>
    </row>
    <row r="467" customFormat="false" ht="15.75" hidden="false" customHeight="false" outlineLevel="0" collapsed="false">
      <c r="D467" s="4"/>
      <c r="E467" s="4"/>
      <c r="F467" s="4"/>
    </row>
    <row r="468" customFormat="false" ht="15.75" hidden="false" customHeight="false" outlineLevel="0" collapsed="false">
      <c r="D468" s="4"/>
      <c r="E468" s="4"/>
      <c r="F468" s="4"/>
    </row>
    <row r="469" customFormat="false" ht="15.75" hidden="false" customHeight="false" outlineLevel="0" collapsed="false">
      <c r="D469" s="4"/>
      <c r="E469" s="4"/>
      <c r="F469" s="4"/>
    </row>
    <row r="470" customFormat="false" ht="15.75" hidden="false" customHeight="false" outlineLevel="0" collapsed="false">
      <c r="D470" s="4"/>
      <c r="E470" s="4"/>
      <c r="F470" s="4"/>
    </row>
    <row r="471" customFormat="false" ht="15.75" hidden="false" customHeight="false" outlineLevel="0" collapsed="false">
      <c r="D471" s="4"/>
      <c r="E471" s="4"/>
      <c r="F471" s="4"/>
    </row>
    <row r="472" customFormat="false" ht="15.75" hidden="false" customHeight="false" outlineLevel="0" collapsed="false">
      <c r="D472" s="4"/>
      <c r="E472" s="4"/>
      <c r="F472" s="4"/>
    </row>
    <row r="473" customFormat="false" ht="15.75" hidden="false" customHeight="false" outlineLevel="0" collapsed="false">
      <c r="D473" s="4"/>
      <c r="E473" s="4"/>
      <c r="F473" s="4"/>
    </row>
    <row r="474" customFormat="false" ht="15.75" hidden="false" customHeight="false" outlineLevel="0" collapsed="false">
      <c r="D474" s="4"/>
      <c r="E474" s="4"/>
      <c r="F474" s="4"/>
    </row>
    <row r="475" customFormat="false" ht="15.75" hidden="false" customHeight="false" outlineLevel="0" collapsed="false">
      <c r="D475" s="4"/>
      <c r="E475" s="4"/>
      <c r="F475" s="4"/>
    </row>
    <row r="476" customFormat="false" ht="15.75" hidden="false" customHeight="false" outlineLevel="0" collapsed="false">
      <c r="D476" s="4"/>
      <c r="E476" s="4"/>
      <c r="F476" s="4"/>
    </row>
    <row r="477" customFormat="false" ht="15.75" hidden="false" customHeight="false" outlineLevel="0" collapsed="false">
      <c r="D477" s="4"/>
      <c r="E477" s="4"/>
      <c r="F477" s="4"/>
    </row>
    <row r="478" customFormat="false" ht="15.75" hidden="false" customHeight="false" outlineLevel="0" collapsed="false">
      <c r="D478" s="4"/>
      <c r="E478" s="4"/>
      <c r="F478" s="4"/>
    </row>
    <row r="479" customFormat="false" ht="15.75" hidden="false" customHeight="false" outlineLevel="0" collapsed="false">
      <c r="D479" s="4"/>
      <c r="E479" s="4"/>
      <c r="F479" s="4"/>
    </row>
    <row r="480" customFormat="false" ht="15.75" hidden="false" customHeight="false" outlineLevel="0" collapsed="false">
      <c r="D480" s="4"/>
      <c r="E480" s="4"/>
      <c r="F480" s="4"/>
    </row>
    <row r="481" customFormat="false" ht="15.75" hidden="false" customHeight="false" outlineLevel="0" collapsed="false">
      <c r="D481" s="4"/>
      <c r="E481" s="4"/>
      <c r="F481" s="4"/>
    </row>
    <row r="482" customFormat="false" ht="15.75" hidden="false" customHeight="false" outlineLevel="0" collapsed="false">
      <c r="D482" s="4"/>
      <c r="E482" s="4"/>
      <c r="F482" s="4"/>
    </row>
    <row r="483" customFormat="false" ht="15.75" hidden="false" customHeight="false" outlineLevel="0" collapsed="false">
      <c r="D483" s="4"/>
      <c r="E483" s="4"/>
      <c r="F483" s="4"/>
    </row>
    <row r="484" customFormat="false" ht="15.75" hidden="false" customHeight="false" outlineLevel="0" collapsed="false">
      <c r="D484" s="4"/>
      <c r="E484" s="4"/>
      <c r="F484" s="4"/>
    </row>
    <row r="485" customFormat="false" ht="15.75" hidden="false" customHeight="false" outlineLevel="0" collapsed="false">
      <c r="D485" s="4"/>
      <c r="E485" s="4"/>
      <c r="F485" s="4"/>
    </row>
    <row r="486" customFormat="false" ht="15.75" hidden="false" customHeight="false" outlineLevel="0" collapsed="false">
      <c r="D486" s="4"/>
      <c r="E486" s="4"/>
      <c r="F486" s="4"/>
    </row>
    <row r="487" customFormat="false" ht="15.75" hidden="false" customHeight="false" outlineLevel="0" collapsed="false">
      <c r="D487" s="4"/>
      <c r="E487" s="4"/>
      <c r="F487" s="4"/>
    </row>
    <row r="488" customFormat="false" ht="15.75" hidden="false" customHeight="false" outlineLevel="0" collapsed="false">
      <c r="D488" s="4"/>
      <c r="E488" s="4"/>
      <c r="F488" s="4"/>
    </row>
    <row r="489" customFormat="false" ht="15.75" hidden="false" customHeight="false" outlineLevel="0" collapsed="false">
      <c r="D489" s="4"/>
      <c r="E489" s="4"/>
      <c r="F489" s="4"/>
    </row>
    <row r="490" customFormat="false" ht="15.75" hidden="false" customHeight="false" outlineLevel="0" collapsed="false">
      <c r="D490" s="4"/>
      <c r="E490" s="4"/>
      <c r="F490" s="4"/>
    </row>
    <row r="491" customFormat="false" ht="15.75" hidden="false" customHeight="false" outlineLevel="0" collapsed="false">
      <c r="D491" s="4"/>
      <c r="E491" s="4"/>
      <c r="F491" s="4"/>
    </row>
    <row r="492" customFormat="false" ht="15.75" hidden="false" customHeight="false" outlineLevel="0" collapsed="false">
      <c r="D492" s="4"/>
      <c r="E492" s="4"/>
      <c r="F492" s="4"/>
    </row>
    <row r="493" customFormat="false" ht="15.75" hidden="false" customHeight="false" outlineLevel="0" collapsed="false">
      <c r="D493" s="4"/>
      <c r="E493" s="4"/>
      <c r="F493" s="4"/>
    </row>
    <row r="494" customFormat="false" ht="15.75" hidden="false" customHeight="false" outlineLevel="0" collapsed="false">
      <c r="D494" s="4"/>
      <c r="E494" s="4"/>
      <c r="F494" s="4"/>
    </row>
    <row r="495" customFormat="false" ht="15.75" hidden="false" customHeight="false" outlineLevel="0" collapsed="false">
      <c r="D495" s="4"/>
      <c r="E495" s="4"/>
      <c r="F495" s="4"/>
    </row>
    <row r="496" customFormat="false" ht="15.75" hidden="false" customHeight="false" outlineLevel="0" collapsed="false">
      <c r="D496" s="4"/>
      <c r="E496" s="4"/>
      <c r="F496" s="4"/>
    </row>
    <row r="497" customFormat="false" ht="15.75" hidden="false" customHeight="false" outlineLevel="0" collapsed="false">
      <c r="D497" s="4"/>
      <c r="E497" s="4"/>
      <c r="F497" s="4"/>
    </row>
    <row r="498" customFormat="false" ht="15.75" hidden="false" customHeight="false" outlineLevel="0" collapsed="false">
      <c r="D498" s="4"/>
      <c r="E498" s="4"/>
      <c r="F498" s="4"/>
    </row>
    <row r="499" customFormat="false" ht="15.75" hidden="false" customHeight="false" outlineLevel="0" collapsed="false">
      <c r="D499" s="4"/>
      <c r="E499" s="4"/>
      <c r="F499" s="4"/>
    </row>
    <row r="500" customFormat="false" ht="15.75" hidden="false" customHeight="false" outlineLevel="0" collapsed="false">
      <c r="D500" s="4"/>
      <c r="E500" s="4"/>
      <c r="F500" s="4"/>
    </row>
    <row r="501" customFormat="false" ht="15.75" hidden="false" customHeight="false" outlineLevel="0" collapsed="false">
      <c r="D501" s="4"/>
      <c r="E501" s="4"/>
      <c r="F501" s="4"/>
    </row>
    <row r="502" customFormat="false" ht="15.75" hidden="false" customHeight="false" outlineLevel="0" collapsed="false">
      <c r="D502" s="4"/>
      <c r="E502" s="4"/>
      <c r="F502" s="4"/>
    </row>
    <row r="503" customFormat="false" ht="15.75" hidden="false" customHeight="false" outlineLevel="0" collapsed="false">
      <c r="D503" s="4"/>
      <c r="E503" s="4"/>
      <c r="F503" s="4"/>
    </row>
    <row r="504" customFormat="false" ht="15.75" hidden="false" customHeight="false" outlineLevel="0" collapsed="false">
      <c r="D504" s="4"/>
      <c r="E504" s="4"/>
      <c r="F504" s="4"/>
    </row>
    <row r="505" customFormat="false" ht="15.75" hidden="false" customHeight="false" outlineLevel="0" collapsed="false">
      <c r="D505" s="4"/>
      <c r="E505" s="4"/>
      <c r="F505" s="4"/>
    </row>
    <row r="506" customFormat="false" ht="15.75" hidden="false" customHeight="false" outlineLevel="0" collapsed="false">
      <c r="D506" s="4"/>
      <c r="E506" s="4"/>
      <c r="F506" s="4"/>
    </row>
    <row r="507" customFormat="false" ht="15.75" hidden="false" customHeight="false" outlineLevel="0" collapsed="false">
      <c r="D507" s="4"/>
      <c r="E507" s="4"/>
      <c r="F507" s="4"/>
    </row>
    <row r="508" customFormat="false" ht="15.75" hidden="false" customHeight="false" outlineLevel="0" collapsed="false">
      <c r="D508" s="4"/>
      <c r="E508" s="4"/>
      <c r="F508" s="4"/>
    </row>
    <row r="509" customFormat="false" ht="15.75" hidden="false" customHeight="false" outlineLevel="0" collapsed="false">
      <c r="D509" s="4"/>
      <c r="E509" s="4"/>
      <c r="F509" s="4"/>
    </row>
    <row r="510" customFormat="false" ht="15.75" hidden="false" customHeight="false" outlineLevel="0" collapsed="false">
      <c r="D510" s="4"/>
      <c r="E510" s="4"/>
      <c r="F510" s="4"/>
    </row>
    <row r="511" customFormat="false" ht="15.75" hidden="false" customHeight="false" outlineLevel="0" collapsed="false">
      <c r="D511" s="4"/>
      <c r="E511" s="4"/>
      <c r="F511" s="4"/>
    </row>
    <row r="512" customFormat="false" ht="15.75" hidden="false" customHeight="false" outlineLevel="0" collapsed="false">
      <c r="D512" s="4"/>
      <c r="E512" s="4"/>
      <c r="F512" s="4"/>
    </row>
    <row r="513" customFormat="false" ht="15.75" hidden="false" customHeight="false" outlineLevel="0" collapsed="false">
      <c r="D513" s="4"/>
      <c r="E513" s="4"/>
      <c r="F513" s="4"/>
    </row>
    <row r="514" customFormat="false" ht="15.75" hidden="false" customHeight="false" outlineLevel="0" collapsed="false">
      <c r="D514" s="4"/>
      <c r="E514" s="4"/>
      <c r="F514" s="4"/>
    </row>
    <row r="515" customFormat="false" ht="15.75" hidden="false" customHeight="false" outlineLevel="0" collapsed="false">
      <c r="D515" s="4"/>
      <c r="E515" s="4"/>
      <c r="F515" s="4"/>
    </row>
    <row r="516" customFormat="false" ht="15.75" hidden="false" customHeight="false" outlineLevel="0" collapsed="false">
      <c r="D516" s="4"/>
      <c r="E516" s="4"/>
      <c r="F516" s="4"/>
    </row>
    <row r="517" customFormat="false" ht="15.75" hidden="false" customHeight="false" outlineLevel="0" collapsed="false">
      <c r="D517" s="4"/>
      <c r="E517" s="4"/>
      <c r="F517" s="4"/>
    </row>
    <row r="518" customFormat="false" ht="15.75" hidden="false" customHeight="false" outlineLevel="0" collapsed="false">
      <c r="D518" s="4"/>
      <c r="E518" s="4"/>
      <c r="F518" s="4"/>
    </row>
    <row r="519" customFormat="false" ht="15.75" hidden="false" customHeight="false" outlineLevel="0" collapsed="false">
      <c r="D519" s="4"/>
      <c r="E519" s="4"/>
      <c r="F519" s="4"/>
    </row>
    <row r="520" customFormat="false" ht="15.75" hidden="false" customHeight="false" outlineLevel="0" collapsed="false">
      <c r="D520" s="4"/>
      <c r="E520" s="4"/>
      <c r="F520" s="4"/>
    </row>
    <row r="521" customFormat="false" ht="15.75" hidden="false" customHeight="false" outlineLevel="0" collapsed="false">
      <c r="D521" s="4"/>
      <c r="E521" s="4"/>
      <c r="F521" s="4"/>
    </row>
    <row r="522" customFormat="false" ht="15.75" hidden="false" customHeight="false" outlineLevel="0" collapsed="false">
      <c r="D522" s="4"/>
      <c r="E522" s="4"/>
      <c r="F522" s="4"/>
    </row>
    <row r="523" customFormat="false" ht="15.75" hidden="false" customHeight="false" outlineLevel="0" collapsed="false">
      <c r="D523" s="4"/>
      <c r="E523" s="4"/>
      <c r="F523" s="4"/>
    </row>
    <row r="524" customFormat="false" ht="15.75" hidden="false" customHeight="false" outlineLevel="0" collapsed="false">
      <c r="D524" s="4"/>
      <c r="E524" s="4"/>
      <c r="F524" s="4"/>
    </row>
    <row r="525" customFormat="false" ht="15.75" hidden="false" customHeight="false" outlineLevel="0" collapsed="false">
      <c r="D525" s="4"/>
      <c r="E525" s="4"/>
      <c r="F525" s="4"/>
    </row>
    <row r="526" customFormat="false" ht="15.75" hidden="false" customHeight="false" outlineLevel="0" collapsed="false">
      <c r="D526" s="4"/>
      <c r="E526" s="4"/>
      <c r="F526" s="4"/>
    </row>
    <row r="527" customFormat="false" ht="15.75" hidden="false" customHeight="false" outlineLevel="0" collapsed="false">
      <c r="D527" s="4"/>
      <c r="E527" s="4"/>
      <c r="F527" s="4"/>
    </row>
    <row r="528" customFormat="false" ht="15.75" hidden="false" customHeight="false" outlineLevel="0" collapsed="false">
      <c r="D528" s="4"/>
      <c r="E528" s="4"/>
      <c r="F528" s="4"/>
    </row>
    <row r="529" customFormat="false" ht="15.75" hidden="false" customHeight="false" outlineLevel="0" collapsed="false">
      <c r="D529" s="4"/>
      <c r="E529" s="4"/>
      <c r="F529" s="4"/>
    </row>
    <row r="530" customFormat="false" ht="15.75" hidden="false" customHeight="false" outlineLevel="0" collapsed="false">
      <c r="D530" s="4"/>
      <c r="E530" s="4"/>
      <c r="F530" s="4"/>
    </row>
    <row r="531" customFormat="false" ht="15.75" hidden="false" customHeight="false" outlineLevel="0" collapsed="false">
      <c r="D531" s="4"/>
      <c r="E531" s="4"/>
      <c r="F531" s="4"/>
    </row>
    <row r="532" customFormat="false" ht="15.75" hidden="false" customHeight="false" outlineLevel="0" collapsed="false">
      <c r="D532" s="4"/>
      <c r="E532" s="4"/>
      <c r="F532" s="4"/>
    </row>
    <row r="533" customFormat="false" ht="15.75" hidden="false" customHeight="false" outlineLevel="0" collapsed="false">
      <c r="D533" s="4"/>
      <c r="E533" s="4"/>
      <c r="F533" s="4"/>
    </row>
    <row r="534" customFormat="false" ht="15.75" hidden="false" customHeight="false" outlineLevel="0" collapsed="false">
      <c r="D534" s="4"/>
      <c r="E534" s="4"/>
      <c r="F534" s="4"/>
    </row>
    <row r="535" customFormat="false" ht="15.75" hidden="false" customHeight="false" outlineLevel="0" collapsed="false">
      <c r="D535" s="4"/>
      <c r="E535" s="4"/>
      <c r="F535" s="4"/>
    </row>
    <row r="536" customFormat="false" ht="15.75" hidden="false" customHeight="false" outlineLevel="0" collapsed="false">
      <c r="D536" s="4"/>
      <c r="E536" s="4"/>
      <c r="F536" s="4"/>
    </row>
    <row r="537" customFormat="false" ht="15.75" hidden="false" customHeight="false" outlineLevel="0" collapsed="false">
      <c r="D537" s="4"/>
      <c r="E537" s="4"/>
      <c r="F537" s="4"/>
    </row>
    <row r="538" customFormat="false" ht="15.75" hidden="false" customHeight="false" outlineLevel="0" collapsed="false">
      <c r="D538" s="4"/>
      <c r="E538" s="4"/>
      <c r="F538" s="4"/>
    </row>
    <row r="539" customFormat="false" ht="15.75" hidden="false" customHeight="false" outlineLevel="0" collapsed="false">
      <c r="D539" s="4"/>
      <c r="E539" s="4"/>
      <c r="F539" s="4"/>
    </row>
    <row r="540" customFormat="false" ht="15.75" hidden="false" customHeight="false" outlineLevel="0" collapsed="false">
      <c r="D540" s="4"/>
      <c r="E540" s="4"/>
      <c r="F540" s="4"/>
    </row>
    <row r="541" customFormat="false" ht="15.75" hidden="false" customHeight="false" outlineLevel="0" collapsed="false">
      <c r="D541" s="4"/>
      <c r="E541" s="4"/>
      <c r="F541" s="4"/>
    </row>
    <row r="542" customFormat="false" ht="15.75" hidden="false" customHeight="false" outlineLevel="0" collapsed="false">
      <c r="D542" s="4"/>
      <c r="E542" s="4"/>
      <c r="F542" s="4"/>
    </row>
    <row r="543" customFormat="false" ht="15.75" hidden="false" customHeight="false" outlineLevel="0" collapsed="false">
      <c r="D543" s="4"/>
      <c r="E543" s="4"/>
      <c r="F543" s="4"/>
    </row>
    <row r="544" customFormat="false" ht="15.75" hidden="false" customHeight="false" outlineLevel="0" collapsed="false">
      <c r="D544" s="4"/>
      <c r="E544" s="4"/>
      <c r="F544" s="4"/>
    </row>
    <row r="545" customFormat="false" ht="15.75" hidden="false" customHeight="false" outlineLevel="0" collapsed="false">
      <c r="D545" s="4"/>
      <c r="E545" s="4"/>
      <c r="F545" s="4"/>
    </row>
    <row r="546" customFormat="false" ht="15.75" hidden="false" customHeight="false" outlineLevel="0" collapsed="false">
      <c r="D546" s="4"/>
      <c r="E546" s="4"/>
      <c r="F546" s="4"/>
    </row>
    <row r="547" customFormat="false" ht="15.75" hidden="false" customHeight="false" outlineLevel="0" collapsed="false">
      <c r="D547" s="4"/>
      <c r="E547" s="4"/>
      <c r="F547" s="4"/>
    </row>
    <row r="548" customFormat="false" ht="15.75" hidden="false" customHeight="false" outlineLevel="0" collapsed="false">
      <c r="D548" s="4"/>
      <c r="E548" s="4"/>
      <c r="F548" s="4"/>
    </row>
    <row r="549" customFormat="false" ht="15.75" hidden="false" customHeight="false" outlineLevel="0" collapsed="false">
      <c r="D549" s="4"/>
      <c r="E549" s="4"/>
      <c r="F549" s="4"/>
    </row>
    <row r="550" customFormat="false" ht="15.75" hidden="false" customHeight="false" outlineLevel="0" collapsed="false">
      <c r="D550" s="4"/>
      <c r="E550" s="4"/>
      <c r="F550" s="4"/>
    </row>
    <row r="551" customFormat="false" ht="15.75" hidden="false" customHeight="false" outlineLevel="0" collapsed="false">
      <c r="D551" s="4"/>
      <c r="E551" s="4"/>
      <c r="F551" s="4"/>
    </row>
    <row r="552" customFormat="false" ht="15.75" hidden="false" customHeight="false" outlineLevel="0" collapsed="false">
      <c r="D552" s="4"/>
      <c r="E552" s="4"/>
      <c r="F552" s="4"/>
    </row>
    <row r="553" customFormat="false" ht="15.75" hidden="false" customHeight="false" outlineLevel="0" collapsed="false">
      <c r="D553" s="4"/>
      <c r="E553" s="4"/>
      <c r="F553" s="4"/>
    </row>
    <row r="554" customFormat="false" ht="15.75" hidden="false" customHeight="false" outlineLevel="0" collapsed="false">
      <c r="D554" s="4"/>
      <c r="E554" s="4"/>
      <c r="F554" s="4"/>
    </row>
    <row r="555" customFormat="false" ht="15.75" hidden="false" customHeight="false" outlineLevel="0" collapsed="false">
      <c r="D555" s="4"/>
      <c r="E555" s="4"/>
      <c r="F555" s="4"/>
    </row>
    <row r="556" customFormat="false" ht="15.75" hidden="false" customHeight="false" outlineLevel="0" collapsed="false">
      <c r="D556" s="4"/>
      <c r="E556" s="4"/>
      <c r="F556" s="4"/>
    </row>
    <row r="557" customFormat="false" ht="15.75" hidden="false" customHeight="false" outlineLevel="0" collapsed="false">
      <c r="D557" s="4"/>
      <c r="E557" s="4"/>
      <c r="F557" s="4"/>
    </row>
    <row r="558" customFormat="false" ht="15.75" hidden="false" customHeight="false" outlineLevel="0" collapsed="false">
      <c r="D558" s="4"/>
      <c r="E558" s="4"/>
      <c r="F558" s="4"/>
    </row>
    <row r="559" customFormat="false" ht="15.75" hidden="false" customHeight="false" outlineLevel="0" collapsed="false">
      <c r="D559" s="4"/>
      <c r="E559" s="4"/>
      <c r="F559" s="4"/>
    </row>
    <row r="560" customFormat="false" ht="15.75" hidden="false" customHeight="false" outlineLevel="0" collapsed="false">
      <c r="D560" s="4"/>
      <c r="E560" s="4"/>
      <c r="F560" s="4"/>
    </row>
    <row r="561" customFormat="false" ht="15.75" hidden="false" customHeight="false" outlineLevel="0" collapsed="false">
      <c r="D561" s="4"/>
      <c r="E561" s="4"/>
      <c r="F561" s="4"/>
    </row>
    <row r="562" customFormat="false" ht="15.75" hidden="false" customHeight="false" outlineLevel="0" collapsed="false">
      <c r="D562" s="4"/>
      <c r="E562" s="4"/>
      <c r="F562" s="4"/>
    </row>
    <row r="563" customFormat="false" ht="15.75" hidden="false" customHeight="false" outlineLevel="0" collapsed="false">
      <c r="D563" s="4"/>
      <c r="E563" s="4"/>
      <c r="F563" s="4"/>
    </row>
    <row r="564" customFormat="false" ht="15.75" hidden="false" customHeight="false" outlineLevel="0" collapsed="false">
      <c r="D564" s="4"/>
      <c r="E564" s="4"/>
      <c r="F564" s="4"/>
    </row>
    <row r="565" customFormat="false" ht="15.75" hidden="false" customHeight="false" outlineLevel="0" collapsed="false">
      <c r="D565" s="4"/>
      <c r="E565" s="4"/>
      <c r="F565" s="4"/>
    </row>
    <row r="566" customFormat="false" ht="15.75" hidden="false" customHeight="false" outlineLevel="0" collapsed="false">
      <c r="D566" s="4"/>
      <c r="E566" s="4"/>
      <c r="F566" s="4"/>
    </row>
    <row r="567" customFormat="false" ht="15.75" hidden="false" customHeight="false" outlineLevel="0" collapsed="false">
      <c r="D567" s="4"/>
      <c r="E567" s="4"/>
      <c r="F567" s="4"/>
    </row>
    <row r="568" customFormat="false" ht="15.75" hidden="false" customHeight="false" outlineLevel="0" collapsed="false">
      <c r="D568" s="4"/>
      <c r="E568" s="4"/>
      <c r="F568" s="4"/>
    </row>
    <row r="569" customFormat="false" ht="15.75" hidden="false" customHeight="false" outlineLevel="0" collapsed="false">
      <c r="D569" s="4"/>
      <c r="E569" s="4"/>
      <c r="F569" s="4"/>
    </row>
    <row r="570" customFormat="false" ht="15.75" hidden="false" customHeight="false" outlineLevel="0" collapsed="false">
      <c r="D570" s="4"/>
      <c r="E570" s="4"/>
      <c r="F570" s="4"/>
    </row>
    <row r="571" customFormat="false" ht="15.75" hidden="false" customHeight="false" outlineLevel="0" collapsed="false">
      <c r="D571" s="4"/>
      <c r="E571" s="4"/>
      <c r="F571" s="4"/>
    </row>
    <row r="572" customFormat="false" ht="15.75" hidden="false" customHeight="false" outlineLevel="0" collapsed="false">
      <c r="D572" s="4"/>
      <c r="E572" s="4"/>
      <c r="F572" s="4"/>
    </row>
    <row r="573" customFormat="false" ht="15.75" hidden="false" customHeight="false" outlineLevel="0" collapsed="false">
      <c r="D573" s="4"/>
      <c r="E573" s="4"/>
      <c r="F573" s="4"/>
    </row>
    <row r="574" customFormat="false" ht="15.75" hidden="false" customHeight="false" outlineLevel="0" collapsed="false">
      <c r="D574" s="4"/>
      <c r="E574" s="4"/>
      <c r="F574" s="4"/>
    </row>
    <row r="575" customFormat="false" ht="15.75" hidden="false" customHeight="false" outlineLevel="0" collapsed="false">
      <c r="D575" s="4"/>
      <c r="E575" s="4"/>
      <c r="F575" s="4"/>
    </row>
    <row r="576" customFormat="false" ht="15.75" hidden="false" customHeight="false" outlineLevel="0" collapsed="false">
      <c r="D576" s="4"/>
      <c r="E576" s="4"/>
      <c r="F576" s="4"/>
    </row>
    <row r="577" customFormat="false" ht="15.75" hidden="false" customHeight="false" outlineLevel="0" collapsed="false">
      <c r="D577" s="4"/>
      <c r="E577" s="4"/>
      <c r="F577" s="4"/>
    </row>
    <row r="578" customFormat="false" ht="15.75" hidden="false" customHeight="false" outlineLevel="0" collapsed="false">
      <c r="D578" s="4"/>
      <c r="E578" s="4"/>
      <c r="F578" s="4"/>
    </row>
    <row r="579" customFormat="false" ht="15.75" hidden="false" customHeight="false" outlineLevel="0" collapsed="false">
      <c r="D579" s="4"/>
      <c r="E579" s="4"/>
      <c r="F579" s="4"/>
    </row>
    <row r="580" customFormat="false" ht="15.75" hidden="false" customHeight="false" outlineLevel="0" collapsed="false">
      <c r="D580" s="4"/>
      <c r="E580" s="4"/>
      <c r="F580" s="4"/>
    </row>
    <row r="581" customFormat="false" ht="15.75" hidden="false" customHeight="false" outlineLevel="0" collapsed="false">
      <c r="D581" s="4"/>
      <c r="E581" s="4"/>
      <c r="F581" s="4"/>
    </row>
    <row r="582" customFormat="false" ht="15.75" hidden="false" customHeight="false" outlineLevel="0" collapsed="false">
      <c r="D582" s="4"/>
      <c r="E582" s="4"/>
      <c r="F582" s="4"/>
    </row>
    <row r="583" customFormat="false" ht="15.75" hidden="false" customHeight="false" outlineLevel="0" collapsed="false">
      <c r="D583" s="4"/>
      <c r="E583" s="4"/>
      <c r="F583" s="4"/>
    </row>
    <row r="584" customFormat="false" ht="15.75" hidden="false" customHeight="false" outlineLevel="0" collapsed="false">
      <c r="D584" s="4"/>
      <c r="E584" s="4"/>
      <c r="F584" s="4"/>
    </row>
    <row r="585" customFormat="false" ht="15.75" hidden="false" customHeight="false" outlineLevel="0" collapsed="false">
      <c r="D585" s="4"/>
      <c r="E585" s="4"/>
      <c r="F585" s="4"/>
    </row>
    <row r="586" customFormat="false" ht="15.75" hidden="false" customHeight="false" outlineLevel="0" collapsed="false">
      <c r="D586" s="4"/>
      <c r="E586" s="4"/>
      <c r="F586" s="4"/>
    </row>
    <row r="587" customFormat="false" ht="15.75" hidden="false" customHeight="false" outlineLevel="0" collapsed="false">
      <c r="D587" s="4"/>
      <c r="E587" s="4"/>
      <c r="F587" s="4"/>
    </row>
    <row r="588" customFormat="false" ht="15.75" hidden="false" customHeight="false" outlineLevel="0" collapsed="false">
      <c r="D588" s="4"/>
      <c r="E588" s="4"/>
      <c r="F588" s="4"/>
    </row>
    <row r="589" customFormat="false" ht="15.75" hidden="false" customHeight="false" outlineLevel="0" collapsed="false">
      <c r="D589" s="4"/>
      <c r="E589" s="4"/>
      <c r="F589" s="4"/>
    </row>
    <row r="590" customFormat="false" ht="15.75" hidden="false" customHeight="false" outlineLevel="0" collapsed="false">
      <c r="D590" s="4"/>
      <c r="E590" s="4"/>
      <c r="F590" s="4"/>
    </row>
    <row r="591" customFormat="false" ht="15.75" hidden="false" customHeight="false" outlineLevel="0" collapsed="false">
      <c r="D591" s="4"/>
      <c r="E591" s="4"/>
      <c r="F591" s="4"/>
    </row>
    <row r="592" customFormat="false" ht="15.75" hidden="false" customHeight="false" outlineLevel="0" collapsed="false">
      <c r="D592" s="4"/>
      <c r="E592" s="4"/>
      <c r="F592" s="4"/>
    </row>
    <row r="593" customFormat="false" ht="15.75" hidden="false" customHeight="false" outlineLevel="0" collapsed="false">
      <c r="D593" s="4"/>
      <c r="E593" s="4"/>
      <c r="F593" s="4"/>
    </row>
    <row r="594" customFormat="false" ht="15.75" hidden="false" customHeight="false" outlineLevel="0" collapsed="false">
      <c r="D594" s="4"/>
      <c r="E594" s="4"/>
      <c r="F594" s="4"/>
    </row>
    <row r="595" customFormat="false" ht="15.75" hidden="false" customHeight="false" outlineLevel="0" collapsed="false">
      <c r="D595" s="4"/>
      <c r="E595" s="4"/>
      <c r="F595" s="4"/>
    </row>
    <row r="596" customFormat="false" ht="15.75" hidden="false" customHeight="false" outlineLevel="0" collapsed="false">
      <c r="D596" s="4"/>
      <c r="E596" s="4"/>
      <c r="F596" s="4"/>
    </row>
    <row r="597" customFormat="false" ht="15.75" hidden="false" customHeight="false" outlineLevel="0" collapsed="false">
      <c r="D597" s="4"/>
      <c r="E597" s="4"/>
      <c r="F597" s="4"/>
    </row>
    <row r="598" customFormat="false" ht="15.75" hidden="false" customHeight="false" outlineLevel="0" collapsed="false">
      <c r="D598" s="4"/>
      <c r="E598" s="4"/>
      <c r="F598" s="4"/>
    </row>
    <row r="599" customFormat="false" ht="15.75" hidden="false" customHeight="false" outlineLevel="0" collapsed="false">
      <c r="D599" s="4"/>
      <c r="E599" s="4"/>
      <c r="F599" s="4"/>
    </row>
    <row r="600" customFormat="false" ht="15.75" hidden="false" customHeight="false" outlineLevel="0" collapsed="false">
      <c r="D600" s="4"/>
      <c r="E600" s="4"/>
      <c r="F600" s="4"/>
    </row>
    <row r="601" customFormat="false" ht="15.75" hidden="false" customHeight="false" outlineLevel="0" collapsed="false">
      <c r="D601" s="4"/>
      <c r="E601" s="4"/>
      <c r="F601" s="4"/>
    </row>
    <row r="602" customFormat="false" ht="15.75" hidden="false" customHeight="false" outlineLevel="0" collapsed="false">
      <c r="D602" s="4"/>
      <c r="E602" s="4"/>
      <c r="F602" s="4"/>
    </row>
    <row r="603" customFormat="false" ht="15.75" hidden="false" customHeight="false" outlineLevel="0" collapsed="false">
      <c r="D603" s="4"/>
      <c r="E603" s="4"/>
      <c r="F603" s="4"/>
    </row>
    <row r="604" customFormat="false" ht="15.75" hidden="false" customHeight="false" outlineLevel="0" collapsed="false">
      <c r="D604" s="4"/>
      <c r="E604" s="4"/>
      <c r="F604" s="4"/>
    </row>
    <row r="605" customFormat="false" ht="15.75" hidden="false" customHeight="false" outlineLevel="0" collapsed="false">
      <c r="D605" s="4"/>
      <c r="E605" s="4"/>
      <c r="F605" s="4"/>
    </row>
    <row r="606" customFormat="false" ht="15.75" hidden="false" customHeight="false" outlineLevel="0" collapsed="false">
      <c r="D606" s="4"/>
      <c r="E606" s="4"/>
      <c r="F606" s="4"/>
    </row>
    <row r="607" customFormat="false" ht="15.75" hidden="false" customHeight="false" outlineLevel="0" collapsed="false">
      <c r="D607" s="4"/>
      <c r="E607" s="4"/>
      <c r="F607" s="4"/>
    </row>
    <row r="608" customFormat="false" ht="15.75" hidden="false" customHeight="false" outlineLevel="0" collapsed="false">
      <c r="D608" s="4"/>
      <c r="E608" s="4"/>
      <c r="F608" s="4"/>
    </row>
    <row r="609" customFormat="false" ht="15.75" hidden="false" customHeight="false" outlineLevel="0" collapsed="false">
      <c r="D609" s="4"/>
      <c r="E609" s="4"/>
      <c r="F609" s="4"/>
    </row>
    <row r="610" customFormat="false" ht="15.75" hidden="false" customHeight="false" outlineLevel="0" collapsed="false">
      <c r="D610" s="4"/>
      <c r="E610" s="4"/>
      <c r="F610" s="4"/>
    </row>
    <row r="611" customFormat="false" ht="15.75" hidden="false" customHeight="false" outlineLevel="0" collapsed="false">
      <c r="D611" s="4"/>
      <c r="E611" s="4"/>
      <c r="F611" s="4"/>
    </row>
    <row r="612" customFormat="false" ht="15.75" hidden="false" customHeight="false" outlineLevel="0" collapsed="false">
      <c r="D612" s="4"/>
      <c r="E612" s="4"/>
      <c r="F612" s="4"/>
    </row>
    <row r="613" customFormat="false" ht="15.75" hidden="false" customHeight="false" outlineLevel="0" collapsed="false">
      <c r="D613" s="4"/>
      <c r="E613" s="4"/>
      <c r="F613" s="4"/>
    </row>
    <row r="614" customFormat="false" ht="15.75" hidden="false" customHeight="false" outlineLevel="0" collapsed="false">
      <c r="D614" s="4"/>
      <c r="E614" s="4"/>
      <c r="F614" s="4"/>
    </row>
    <row r="615" customFormat="false" ht="15.75" hidden="false" customHeight="false" outlineLevel="0" collapsed="false">
      <c r="D615" s="4"/>
      <c r="E615" s="4"/>
      <c r="F615" s="4"/>
    </row>
    <row r="616" customFormat="false" ht="15.75" hidden="false" customHeight="false" outlineLevel="0" collapsed="false">
      <c r="D616" s="4"/>
      <c r="E616" s="4"/>
      <c r="F616" s="4"/>
    </row>
    <row r="617" customFormat="false" ht="15.75" hidden="false" customHeight="false" outlineLevel="0" collapsed="false">
      <c r="D617" s="4"/>
      <c r="E617" s="4"/>
      <c r="F617" s="4"/>
    </row>
    <row r="618" customFormat="false" ht="15.75" hidden="false" customHeight="false" outlineLevel="0" collapsed="false">
      <c r="D618" s="4"/>
      <c r="E618" s="4"/>
      <c r="F618" s="4"/>
    </row>
    <row r="619" customFormat="false" ht="15.75" hidden="false" customHeight="false" outlineLevel="0" collapsed="false">
      <c r="D619" s="4"/>
      <c r="E619" s="4"/>
      <c r="F619" s="4"/>
    </row>
    <row r="620" customFormat="false" ht="15.75" hidden="false" customHeight="false" outlineLevel="0" collapsed="false">
      <c r="D620" s="4"/>
      <c r="E620" s="4"/>
      <c r="F620" s="4"/>
    </row>
    <row r="621" customFormat="false" ht="15.75" hidden="false" customHeight="false" outlineLevel="0" collapsed="false">
      <c r="D621" s="4"/>
      <c r="E621" s="4"/>
      <c r="F621" s="4"/>
    </row>
    <row r="622" customFormat="false" ht="15.75" hidden="false" customHeight="false" outlineLevel="0" collapsed="false">
      <c r="D622" s="4"/>
      <c r="E622" s="4"/>
      <c r="F622" s="4"/>
    </row>
    <row r="623" customFormat="false" ht="15.75" hidden="false" customHeight="false" outlineLevel="0" collapsed="false">
      <c r="D623" s="4"/>
      <c r="E623" s="4"/>
      <c r="F623" s="4"/>
    </row>
    <row r="624" customFormat="false" ht="15.75" hidden="false" customHeight="false" outlineLevel="0" collapsed="false">
      <c r="D624" s="4"/>
      <c r="E624" s="4"/>
      <c r="F624" s="4"/>
    </row>
    <row r="625" customFormat="false" ht="15.75" hidden="false" customHeight="false" outlineLevel="0" collapsed="false">
      <c r="D625" s="4"/>
      <c r="E625" s="4"/>
      <c r="F625" s="4"/>
    </row>
    <row r="626" customFormat="false" ht="15.75" hidden="false" customHeight="false" outlineLevel="0" collapsed="false">
      <c r="D626" s="4"/>
      <c r="E626" s="4"/>
      <c r="F626" s="4"/>
    </row>
    <row r="627" customFormat="false" ht="15.75" hidden="false" customHeight="false" outlineLevel="0" collapsed="false">
      <c r="D627" s="4"/>
      <c r="E627" s="4"/>
      <c r="F627" s="4"/>
    </row>
    <row r="628" customFormat="false" ht="15.75" hidden="false" customHeight="false" outlineLevel="0" collapsed="false">
      <c r="D628" s="4"/>
      <c r="E628" s="4"/>
      <c r="F628" s="4"/>
    </row>
    <row r="629" customFormat="false" ht="15.75" hidden="false" customHeight="false" outlineLevel="0" collapsed="false">
      <c r="D629" s="4"/>
      <c r="E629" s="4"/>
      <c r="F629" s="4"/>
    </row>
    <row r="630" customFormat="false" ht="15.75" hidden="false" customHeight="false" outlineLevel="0" collapsed="false">
      <c r="D630" s="4"/>
      <c r="E630" s="4"/>
      <c r="F630" s="4"/>
    </row>
    <row r="631" customFormat="false" ht="15.75" hidden="false" customHeight="false" outlineLevel="0" collapsed="false">
      <c r="D631" s="4"/>
      <c r="E631" s="4"/>
      <c r="F631" s="4"/>
    </row>
    <row r="632" customFormat="false" ht="15.75" hidden="false" customHeight="false" outlineLevel="0" collapsed="false">
      <c r="D632" s="4"/>
      <c r="E632" s="4"/>
      <c r="F632" s="4"/>
    </row>
    <row r="633" customFormat="false" ht="15.75" hidden="false" customHeight="false" outlineLevel="0" collapsed="false">
      <c r="D633" s="4"/>
      <c r="E633" s="4"/>
      <c r="F633" s="4"/>
    </row>
    <row r="634" customFormat="false" ht="15.75" hidden="false" customHeight="false" outlineLevel="0" collapsed="false">
      <c r="D634" s="4"/>
      <c r="E634" s="4"/>
      <c r="F634" s="4"/>
    </row>
    <row r="635" customFormat="false" ht="15.75" hidden="false" customHeight="false" outlineLevel="0" collapsed="false">
      <c r="D635" s="4"/>
      <c r="E635" s="4"/>
      <c r="F635" s="4"/>
    </row>
    <row r="636" customFormat="false" ht="15.75" hidden="false" customHeight="false" outlineLevel="0" collapsed="false">
      <c r="D636" s="4"/>
      <c r="E636" s="4"/>
      <c r="F636" s="4"/>
    </row>
    <row r="637" customFormat="false" ht="15.75" hidden="false" customHeight="false" outlineLevel="0" collapsed="false">
      <c r="D637" s="4"/>
      <c r="E637" s="4"/>
      <c r="F637" s="4"/>
    </row>
    <row r="638" customFormat="false" ht="15.75" hidden="false" customHeight="false" outlineLevel="0" collapsed="false">
      <c r="D638" s="4"/>
      <c r="E638" s="4"/>
      <c r="F638" s="4"/>
    </row>
    <row r="639" customFormat="false" ht="15.75" hidden="false" customHeight="false" outlineLevel="0" collapsed="false">
      <c r="D639" s="4"/>
      <c r="E639" s="4"/>
      <c r="F639" s="4"/>
    </row>
    <row r="640" customFormat="false" ht="15.75" hidden="false" customHeight="false" outlineLevel="0" collapsed="false">
      <c r="D640" s="4"/>
      <c r="E640" s="4"/>
      <c r="F640" s="4"/>
    </row>
    <row r="641" customFormat="false" ht="15.75" hidden="false" customHeight="false" outlineLevel="0" collapsed="false">
      <c r="D641" s="4"/>
      <c r="E641" s="4"/>
      <c r="F641" s="4"/>
    </row>
    <row r="642" customFormat="false" ht="15.75" hidden="false" customHeight="false" outlineLevel="0" collapsed="false">
      <c r="D642" s="4"/>
      <c r="E642" s="4"/>
      <c r="F642" s="4"/>
    </row>
    <row r="643" customFormat="false" ht="15.75" hidden="false" customHeight="false" outlineLevel="0" collapsed="false">
      <c r="D643" s="4"/>
      <c r="E643" s="4"/>
      <c r="F643" s="4"/>
    </row>
    <row r="644" customFormat="false" ht="15.75" hidden="false" customHeight="false" outlineLevel="0" collapsed="false">
      <c r="D644" s="4"/>
      <c r="E644" s="4"/>
      <c r="F644" s="4"/>
    </row>
    <row r="645" customFormat="false" ht="15.75" hidden="false" customHeight="false" outlineLevel="0" collapsed="false">
      <c r="D645" s="4"/>
      <c r="E645" s="4"/>
      <c r="F645" s="4"/>
    </row>
    <row r="646" customFormat="false" ht="15.75" hidden="false" customHeight="false" outlineLevel="0" collapsed="false">
      <c r="D646" s="4"/>
      <c r="E646" s="4"/>
      <c r="F646" s="4"/>
    </row>
    <row r="647" customFormat="false" ht="15.75" hidden="false" customHeight="false" outlineLevel="0" collapsed="false">
      <c r="D647" s="4"/>
      <c r="E647" s="4"/>
      <c r="F647" s="4"/>
    </row>
    <row r="648" customFormat="false" ht="15.75" hidden="false" customHeight="false" outlineLevel="0" collapsed="false">
      <c r="D648" s="4"/>
      <c r="E648" s="4"/>
      <c r="F648" s="4"/>
    </row>
    <row r="649" customFormat="false" ht="15.75" hidden="false" customHeight="false" outlineLevel="0" collapsed="false">
      <c r="D649" s="4"/>
      <c r="E649" s="4"/>
      <c r="F649" s="4"/>
    </row>
    <row r="650" customFormat="false" ht="15.75" hidden="false" customHeight="false" outlineLevel="0" collapsed="false">
      <c r="D650" s="4"/>
      <c r="E650" s="4"/>
      <c r="F650" s="4"/>
    </row>
    <row r="651" customFormat="false" ht="15.75" hidden="false" customHeight="false" outlineLevel="0" collapsed="false">
      <c r="D651" s="4"/>
      <c r="E651" s="4"/>
      <c r="F651" s="4"/>
    </row>
    <row r="652" customFormat="false" ht="15.75" hidden="false" customHeight="false" outlineLevel="0" collapsed="false">
      <c r="D652" s="4"/>
      <c r="E652" s="4"/>
      <c r="F652" s="4"/>
    </row>
    <row r="653" customFormat="false" ht="15.75" hidden="false" customHeight="false" outlineLevel="0" collapsed="false">
      <c r="D653" s="4"/>
      <c r="E653" s="4"/>
      <c r="F653" s="4"/>
    </row>
    <row r="654" customFormat="false" ht="15.75" hidden="false" customHeight="false" outlineLevel="0" collapsed="false">
      <c r="D654" s="4"/>
      <c r="E654" s="4"/>
      <c r="F654" s="4"/>
    </row>
    <row r="655" customFormat="false" ht="15.75" hidden="false" customHeight="false" outlineLevel="0" collapsed="false">
      <c r="D655" s="4"/>
      <c r="E655" s="4"/>
      <c r="F655" s="4"/>
    </row>
    <row r="656" customFormat="false" ht="15.75" hidden="false" customHeight="false" outlineLevel="0" collapsed="false">
      <c r="D656" s="4"/>
      <c r="E656" s="4"/>
      <c r="F656" s="4"/>
    </row>
    <row r="657" customFormat="false" ht="15.75" hidden="false" customHeight="false" outlineLevel="0" collapsed="false">
      <c r="D657" s="4"/>
      <c r="E657" s="4"/>
      <c r="F657" s="4"/>
    </row>
    <row r="658" customFormat="false" ht="15.75" hidden="false" customHeight="false" outlineLevel="0" collapsed="false">
      <c r="D658" s="4"/>
      <c r="E658" s="4"/>
      <c r="F658" s="4"/>
    </row>
    <row r="659" customFormat="false" ht="15.75" hidden="false" customHeight="false" outlineLevel="0" collapsed="false">
      <c r="D659" s="4"/>
      <c r="E659" s="4"/>
      <c r="F659" s="4"/>
    </row>
    <row r="660" customFormat="false" ht="15.75" hidden="false" customHeight="false" outlineLevel="0" collapsed="false">
      <c r="D660" s="4"/>
      <c r="E660" s="4"/>
      <c r="F660" s="4"/>
    </row>
    <row r="661" customFormat="false" ht="15.75" hidden="false" customHeight="false" outlineLevel="0" collapsed="false">
      <c r="D661" s="4"/>
      <c r="E661" s="4"/>
      <c r="F661" s="4"/>
    </row>
    <row r="662" customFormat="false" ht="15.75" hidden="false" customHeight="false" outlineLevel="0" collapsed="false">
      <c r="D662" s="4"/>
      <c r="E662" s="4"/>
      <c r="F662" s="4"/>
    </row>
    <row r="663" customFormat="false" ht="15.75" hidden="false" customHeight="false" outlineLevel="0" collapsed="false">
      <c r="D663" s="4"/>
      <c r="E663" s="4"/>
      <c r="F663" s="4"/>
    </row>
    <row r="664" customFormat="false" ht="15.75" hidden="false" customHeight="false" outlineLevel="0" collapsed="false">
      <c r="D664" s="4"/>
      <c r="E664" s="4"/>
      <c r="F664" s="4"/>
    </row>
    <row r="665" customFormat="false" ht="15.75" hidden="false" customHeight="false" outlineLevel="0" collapsed="false">
      <c r="D665" s="4"/>
      <c r="E665" s="4"/>
      <c r="F665" s="4"/>
    </row>
    <row r="666" customFormat="false" ht="15.75" hidden="false" customHeight="false" outlineLevel="0" collapsed="false">
      <c r="D666" s="4"/>
      <c r="E666" s="4"/>
      <c r="F666" s="4"/>
    </row>
    <row r="667" customFormat="false" ht="15.75" hidden="false" customHeight="false" outlineLevel="0" collapsed="false">
      <c r="D667" s="4"/>
      <c r="E667" s="4"/>
      <c r="F667" s="4"/>
    </row>
    <row r="668" customFormat="false" ht="15.75" hidden="false" customHeight="false" outlineLevel="0" collapsed="false">
      <c r="D668" s="4"/>
      <c r="E668" s="4"/>
      <c r="F668" s="4"/>
    </row>
    <row r="669" customFormat="false" ht="15.75" hidden="false" customHeight="false" outlineLevel="0" collapsed="false">
      <c r="D669" s="4"/>
      <c r="E669" s="4"/>
      <c r="F669" s="4"/>
    </row>
    <row r="670" customFormat="false" ht="15.75" hidden="false" customHeight="false" outlineLevel="0" collapsed="false">
      <c r="D670" s="4"/>
      <c r="E670" s="4"/>
      <c r="F670" s="4"/>
    </row>
    <row r="671" customFormat="false" ht="15.75" hidden="false" customHeight="false" outlineLevel="0" collapsed="false">
      <c r="D671" s="4"/>
      <c r="E671" s="4"/>
      <c r="F671" s="4"/>
    </row>
    <row r="672" customFormat="false" ht="15.75" hidden="false" customHeight="false" outlineLevel="0" collapsed="false">
      <c r="D672" s="4"/>
      <c r="E672" s="4"/>
      <c r="F672" s="4"/>
    </row>
    <row r="673" customFormat="false" ht="15.75" hidden="false" customHeight="false" outlineLevel="0" collapsed="false">
      <c r="D673" s="4"/>
      <c r="E673" s="4"/>
      <c r="F673" s="4"/>
    </row>
    <row r="674" customFormat="false" ht="15.75" hidden="false" customHeight="false" outlineLevel="0" collapsed="false">
      <c r="D674" s="4"/>
      <c r="E674" s="4"/>
      <c r="F674" s="4"/>
    </row>
    <row r="675" customFormat="false" ht="15.75" hidden="false" customHeight="false" outlineLevel="0" collapsed="false">
      <c r="D675" s="4"/>
      <c r="E675" s="4"/>
      <c r="F675" s="4"/>
    </row>
    <row r="676" customFormat="false" ht="15.75" hidden="false" customHeight="false" outlineLevel="0" collapsed="false">
      <c r="D676" s="4"/>
      <c r="E676" s="4"/>
      <c r="F676" s="4"/>
    </row>
    <row r="677" customFormat="false" ht="15.75" hidden="false" customHeight="false" outlineLevel="0" collapsed="false">
      <c r="D677" s="4"/>
      <c r="E677" s="4"/>
      <c r="F677" s="4"/>
    </row>
    <row r="678" customFormat="false" ht="15.75" hidden="false" customHeight="false" outlineLevel="0" collapsed="false">
      <c r="D678" s="4"/>
      <c r="E678" s="4"/>
      <c r="F678" s="4"/>
    </row>
    <row r="679" customFormat="false" ht="15.75" hidden="false" customHeight="false" outlineLevel="0" collapsed="false">
      <c r="D679" s="4"/>
      <c r="E679" s="4"/>
      <c r="F679" s="4"/>
    </row>
    <row r="680" customFormat="false" ht="15.75" hidden="false" customHeight="false" outlineLevel="0" collapsed="false">
      <c r="D680" s="4"/>
      <c r="E680" s="4"/>
      <c r="F680" s="4"/>
    </row>
    <row r="681" customFormat="false" ht="15.75" hidden="false" customHeight="false" outlineLevel="0" collapsed="false">
      <c r="D681" s="4"/>
      <c r="E681" s="4"/>
      <c r="F681" s="4"/>
    </row>
    <row r="682" customFormat="false" ht="15.75" hidden="false" customHeight="false" outlineLevel="0" collapsed="false">
      <c r="D682" s="4"/>
      <c r="E682" s="4"/>
      <c r="F682" s="4"/>
    </row>
    <row r="683" customFormat="false" ht="15.75" hidden="false" customHeight="false" outlineLevel="0" collapsed="false">
      <c r="D683" s="4"/>
      <c r="E683" s="4"/>
      <c r="F683" s="4"/>
    </row>
    <row r="684" customFormat="false" ht="15.75" hidden="false" customHeight="false" outlineLevel="0" collapsed="false">
      <c r="D684" s="4"/>
      <c r="E684" s="4"/>
      <c r="F684" s="4"/>
    </row>
    <row r="685" customFormat="false" ht="15.75" hidden="false" customHeight="false" outlineLevel="0" collapsed="false">
      <c r="D685" s="4"/>
      <c r="E685" s="4"/>
      <c r="F685" s="4"/>
    </row>
    <row r="686" customFormat="false" ht="15.75" hidden="false" customHeight="false" outlineLevel="0" collapsed="false">
      <c r="D686" s="4"/>
      <c r="E686" s="4"/>
      <c r="F686" s="4"/>
    </row>
    <row r="687" customFormat="false" ht="15.75" hidden="false" customHeight="false" outlineLevel="0" collapsed="false">
      <c r="D687" s="4"/>
      <c r="E687" s="4"/>
      <c r="F687" s="4"/>
    </row>
    <row r="688" customFormat="false" ht="15.75" hidden="false" customHeight="false" outlineLevel="0" collapsed="false">
      <c r="D688" s="4"/>
      <c r="E688" s="4"/>
      <c r="F688" s="4"/>
    </row>
    <row r="689" customFormat="false" ht="15.75" hidden="false" customHeight="false" outlineLevel="0" collapsed="false">
      <c r="D689" s="4"/>
      <c r="E689" s="4"/>
      <c r="F689" s="4"/>
    </row>
    <row r="690" customFormat="false" ht="15.75" hidden="false" customHeight="false" outlineLevel="0" collapsed="false">
      <c r="D690" s="4"/>
      <c r="E690" s="4"/>
      <c r="F690" s="4"/>
    </row>
    <row r="691" customFormat="false" ht="15.75" hidden="false" customHeight="false" outlineLevel="0" collapsed="false">
      <c r="D691" s="4"/>
      <c r="E691" s="4"/>
      <c r="F691" s="4"/>
    </row>
    <row r="692" customFormat="false" ht="15.75" hidden="false" customHeight="false" outlineLevel="0" collapsed="false">
      <c r="D692" s="4"/>
      <c r="E692" s="4"/>
      <c r="F692" s="4"/>
    </row>
    <row r="693" customFormat="false" ht="15.75" hidden="false" customHeight="false" outlineLevel="0" collapsed="false">
      <c r="D693" s="4"/>
      <c r="E693" s="4"/>
      <c r="F693" s="4"/>
    </row>
    <row r="694" customFormat="false" ht="15.75" hidden="false" customHeight="false" outlineLevel="0" collapsed="false">
      <c r="D694" s="4"/>
      <c r="E694" s="4"/>
      <c r="F694" s="4"/>
    </row>
    <row r="695" customFormat="false" ht="15.75" hidden="false" customHeight="false" outlineLevel="0" collapsed="false">
      <c r="D695" s="4"/>
      <c r="E695" s="4"/>
      <c r="F695" s="4"/>
    </row>
    <row r="696" customFormat="false" ht="15.75" hidden="false" customHeight="false" outlineLevel="0" collapsed="false">
      <c r="D696" s="4"/>
      <c r="E696" s="4"/>
      <c r="F696" s="4"/>
    </row>
    <row r="697" customFormat="false" ht="15.75" hidden="false" customHeight="false" outlineLevel="0" collapsed="false">
      <c r="D697" s="4"/>
      <c r="E697" s="4"/>
      <c r="F697" s="4"/>
    </row>
    <row r="698" customFormat="false" ht="15.75" hidden="false" customHeight="false" outlineLevel="0" collapsed="false">
      <c r="D698" s="4"/>
      <c r="E698" s="4"/>
      <c r="F698" s="4"/>
    </row>
    <row r="699" customFormat="false" ht="15.75" hidden="false" customHeight="false" outlineLevel="0" collapsed="false">
      <c r="D699" s="4"/>
      <c r="E699" s="4"/>
      <c r="F699" s="4"/>
    </row>
    <row r="700" customFormat="false" ht="15.75" hidden="false" customHeight="false" outlineLevel="0" collapsed="false">
      <c r="D700" s="4"/>
      <c r="E700" s="4"/>
      <c r="F700" s="4"/>
    </row>
    <row r="701" customFormat="false" ht="15.75" hidden="false" customHeight="false" outlineLevel="0" collapsed="false">
      <c r="D701" s="4"/>
      <c r="E701" s="4"/>
      <c r="F701" s="4"/>
    </row>
    <row r="702" customFormat="false" ht="15.75" hidden="false" customHeight="false" outlineLevel="0" collapsed="false">
      <c r="D702" s="4"/>
      <c r="E702" s="4"/>
      <c r="F702" s="4"/>
    </row>
    <row r="703" customFormat="false" ht="15.75" hidden="false" customHeight="false" outlineLevel="0" collapsed="false">
      <c r="D703" s="4"/>
      <c r="E703" s="4"/>
      <c r="F703" s="4"/>
    </row>
    <row r="704" customFormat="false" ht="15.75" hidden="false" customHeight="false" outlineLevel="0" collapsed="false">
      <c r="D704" s="4"/>
      <c r="E704" s="4"/>
      <c r="F704" s="4"/>
    </row>
    <row r="705" customFormat="false" ht="15.75" hidden="false" customHeight="false" outlineLevel="0" collapsed="false">
      <c r="D705" s="4"/>
      <c r="E705" s="4"/>
      <c r="F705" s="4"/>
    </row>
    <row r="706" customFormat="false" ht="15.75" hidden="false" customHeight="false" outlineLevel="0" collapsed="false">
      <c r="D706" s="4"/>
      <c r="E706" s="4"/>
      <c r="F706" s="4"/>
    </row>
    <row r="707" customFormat="false" ht="15.75" hidden="false" customHeight="false" outlineLevel="0" collapsed="false">
      <c r="D707" s="4"/>
      <c r="E707" s="4"/>
      <c r="F707" s="4"/>
    </row>
    <row r="708" customFormat="false" ht="15.75" hidden="false" customHeight="false" outlineLevel="0" collapsed="false">
      <c r="D708" s="4"/>
      <c r="E708" s="4"/>
      <c r="F708" s="4"/>
    </row>
    <row r="709" customFormat="false" ht="15.75" hidden="false" customHeight="false" outlineLevel="0" collapsed="false">
      <c r="D709" s="4"/>
      <c r="E709" s="4"/>
      <c r="F709" s="4"/>
    </row>
    <row r="710" customFormat="false" ht="15.75" hidden="false" customHeight="false" outlineLevel="0" collapsed="false">
      <c r="D710" s="4"/>
      <c r="E710" s="4"/>
      <c r="F710" s="4"/>
    </row>
    <row r="711" customFormat="false" ht="15.75" hidden="false" customHeight="false" outlineLevel="0" collapsed="false">
      <c r="D711" s="4"/>
      <c r="E711" s="4"/>
      <c r="F711" s="4"/>
    </row>
    <row r="712" customFormat="false" ht="15.75" hidden="false" customHeight="false" outlineLevel="0" collapsed="false">
      <c r="D712" s="4"/>
      <c r="E712" s="4"/>
      <c r="F712" s="4"/>
    </row>
    <row r="713" customFormat="false" ht="15.75" hidden="false" customHeight="false" outlineLevel="0" collapsed="false">
      <c r="D713" s="4"/>
      <c r="E713" s="4"/>
      <c r="F713" s="4"/>
    </row>
    <row r="714" customFormat="false" ht="15.75" hidden="false" customHeight="false" outlineLevel="0" collapsed="false">
      <c r="D714" s="4"/>
      <c r="E714" s="4"/>
      <c r="F714" s="4"/>
    </row>
    <row r="715" customFormat="false" ht="15.75" hidden="false" customHeight="false" outlineLevel="0" collapsed="false">
      <c r="D715" s="4"/>
      <c r="E715" s="4"/>
      <c r="F715" s="4"/>
    </row>
    <row r="716" customFormat="false" ht="15.75" hidden="false" customHeight="false" outlineLevel="0" collapsed="false">
      <c r="D716" s="4"/>
      <c r="E716" s="4"/>
      <c r="F716" s="4"/>
    </row>
    <row r="717" customFormat="false" ht="15.75" hidden="false" customHeight="false" outlineLevel="0" collapsed="false">
      <c r="D717" s="4"/>
      <c r="E717" s="4"/>
      <c r="F717" s="4"/>
    </row>
    <row r="718" customFormat="false" ht="15.75" hidden="false" customHeight="false" outlineLevel="0" collapsed="false">
      <c r="D718" s="4"/>
      <c r="E718" s="4"/>
      <c r="F718" s="4"/>
    </row>
    <row r="719" customFormat="false" ht="15.75" hidden="false" customHeight="false" outlineLevel="0" collapsed="false">
      <c r="D719" s="4"/>
      <c r="E719" s="4"/>
      <c r="F719" s="4"/>
    </row>
    <row r="720" customFormat="false" ht="15.75" hidden="false" customHeight="false" outlineLevel="0" collapsed="false">
      <c r="D720" s="4"/>
      <c r="E720" s="4"/>
      <c r="F720" s="4"/>
    </row>
    <row r="721" customFormat="false" ht="15.75" hidden="false" customHeight="false" outlineLevel="0" collapsed="false">
      <c r="D721" s="4"/>
      <c r="E721" s="4"/>
      <c r="F721" s="4"/>
    </row>
    <row r="722" customFormat="false" ht="15.75" hidden="false" customHeight="false" outlineLevel="0" collapsed="false">
      <c r="D722" s="4"/>
      <c r="E722" s="4"/>
      <c r="F722" s="4"/>
    </row>
    <row r="723" customFormat="false" ht="15.75" hidden="false" customHeight="false" outlineLevel="0" collapsed="false">
      <c r="D723" s="4"/>
      <c r="E723" s="4"/>
      <c r="F723" s="4"/>
    </row>
    <row r="724" customFormat="false" ht="15.75" hidden="false" customHeight="false" outlineLevel="0" collapsed="false">
      <c r="D724" s="4"/>
      <c r="E724" s="4"/>
      <c r="F724" s="4"/>
    </row>
    <row r="725" customFormat="false" ht="15.75" hidden="false" customHeight="false" outlineLevel="0" collapsed="false">
      <c r="D725" s="4"/>
      <c r="E725" s="4"/>
      <c r="F725" s="4"/>
    </row>
    <row r="726" customFormat="false" ht="15.75" hidden="false" customHeight="false" outlineLevel="0" collapsed="false">
      <c r="D726" s="4"/>
      <c r="E726" s="4"/>
      <c r="F726" s="4"/>
    </row>
    <row r="727" customFormat="false" ht="15.75" hidden="false" customHeight="false" outlineLevel="0" collapsed="false">
      <c r="D727" s="4"/>
      <c r="E727" s="4"/>
      <c r="F727" s="4"/>
    </row>
    <row r="728" customFormat="false" ht="15.75" hidden="false" customHeight="false" outlineLevel="0" collapsed="false">
      <c r="D728" s="4"/>
      <c r="E728" s="4"/>
      <c r="F728" s="4"/>
    </row>
    <row r="729" customFormat="false" ht="15.75" hidden="false" customHeight="false" outlineLevel="0" collapsed="false">
      <c r="D729" s="4"/>
      <c r="E729" s="4"/>
      <c r="F729" s="4"/>
    </row>
    <row r="730" customFormat="false" ht="15.75" hidden="false" customHeight="false" outlineLevel="0" collapsed="false">
      <c r="D730" s="4"/>
      <c r="E730" s="4"/>
      <c r="F730" s="4"/>
    </row>
    <row r="731" customFormat="false" ht="15.75" hidden="false" customHeight="false" outlineLevel="0" collapsed="false">
      <c r="D731" s="4"/>
      <c r="E731" s="4"/>
      <c r="F731" s="4"/>
    </row>
    <row r="732" customFormat="false" ht="15.75" hidden="false" customHeight="false" outlineLevel="0" collapsed="false">
      <c r="D732" s="4"/>
      <c r="E732" s="4"/>
      <c r="F732" s="4"/>
    </row>
    <row r="733" customFormat="false" ht="15.75" hidden="false" customHeight="false" outlineLevel="0" collapsed="false">
      <c r="D733" s="4"/>
      <c r="E733" s="4"/>
      <c r="F733" s="4"/>
    </row>
    <row r="734" customFormat="false" ht="15.75" hidden="false" customHeight="false" outlineLevel="0" collapsed="false">
      <c r="D734" s="4"/>
      <c r="E734" s="4"/>
      <c r="F734" s="4"/>
    </row>
    <row r="735" customFormat="false" ht="15.75" hidden="false" customHeight="false" outlineLevel="0" collapsed="false">
      <c r="D735" s="4"/>
      <c r="E735" s="4"/>
      <c r="F735" s="4"/>
    </row>
    <row r="736" customFormat="false" ht="15.75" hidden="false" customHeight="false" outlineLevel="0" collapsed="false">
      <c r="D736" s="4"/>
      <c r="E736" s="4"/>
      <c r="F736" s="4"/>
    </row>
    <row r="737" customFormat="false" ht="15.75" hidden="false" customHeight="false" outlineLevel="0" collapsed="false">
      <c r="D737" s="4"/>
      <c r="E737" s="4"/>
      <c r="F737" s="4"/>
    </row>
    <row r="738" customFormat="false" ht="15.75" hidden="false" customHeight="false" outlineLevel="0" collapsed="false">
      <c r="D738" s="4"/>
      <c r="E738" s="4"/>
      <c r="F738" s="4"/>
    </row>
    <row r="739" customFormat="false" ht="15.75" hidden="false" customHeight="false" outlineLevel="0" collapsed="false">
      <c r="D739" s="4"/>
      <c r="E739" s="4"/>
      <c r="F739" s="4"/>
    </row>
    <row r="740" customFormat="false" ht="15.75" hidden="false" customHeight="false" outlineLevel="0" collapsed="false">
      <c r="D740" s="4"/>
      <c r="E740" s="4"/>
      <c r="F740" s="4"/>
    </row>
    <row r="741" customFormat="false" ht="15.75" hidden="false" customHeight="false" outlineLevel="0" collapsed="false">
      <c r="D741" s="4"/>
      <c r="E741" s="4"/>
      <c r="F741" s="4"/>
    </row>
    <row r="742" customFormat="false" ht="15.75" hidden="false" customHeight="false" outlineLevel="0" collapsed="false">
      <c r="D742" s="4"/>
      <c r="E742" s="4"/>
      <c r="F742" s="4"/>
    </row>
    <row r="743" customFormat="false" ht="15.75" hidden="false" customHeight="false" outlineLevel="0" collapsed="false">
      <c r="D743" s="4"/>
      <c r="E743" s="4"/>
      <c r="F743" s="4"/>
    </row>
    <row r="744" customFormat="false" ht="15.75" hidden="false" customHeight="false" outlineLevel="0" collapsed="false">
      <c r="D744" s="4"/>
      <c r="E744" s="4"/>
      <c r="F744" s="4"/>
    </row>
    <row r="745" customFormat="false" ht="15.75" hidden="false" customHeight="false" outlineLevel="0" collapsed="false">
      <c r="D745" s="4"/>
      <c r="E745" s="4"/>
      <c r="F745" s="4"/>
    </row>
    <row r="746" customFormat="false" ht="15.75" hidden="false" customHeight="false" outlineLevel="0" collapsed="false">
      <c r="D746" s="4"/>
      <c r="E746" s="4"/>
      <c r="F746" s="4"/>
    </row>
    <row r="747" customFormat="false" ht="15.75" hidden="false" customHeight="false" outlineLevel="0" collapsed="false">
      <c r="D747" s="4"/>
      <c r="E747" s="4"/>
      <c r="F747" s="4"/>
    </row>
    <row r="748" customFormat="false" ht="15.75" hidden="false" customHeight="false" outlineLevel="0" collapsed="false">
      <c r="D748" s="4"/>
      <c r="E748" s="4"/>
      <c r="F748" s="4"/>
    </row>
    <row r="749" customFormat="false" ht="15.75" hidden="false" customHeight="false" outlineLevel="0" collapsed="false">
      <c r="D749" s="4"/>
      <c r="E749" s="4"/>
      <c r="F749" s="4"/>
    </row>
    <row r="750" customFormat="false" ht="15.75" hidden="false" customHeight="false" outlineLevel="0" collapsed="false">
      <c r="D750" s="4"/>
      <c r="E750" s="4"/>
      <c r="F750" s="4"/>
    </row>
    <row r="751" customFormat="false" ht="15.75" hidden="false" customHeight="false" outlineLevel="0" collapsed="false">
      <c r="D751" s="4"/>
      <c r="E751" s="4"/>
      <c r="F751" s="4"/>
    </row>
    <row r="752" customFormat="false" ht="15.75" hidden="false" customHeight="false" outlineLevel="0" collapsed="false">
      <c r="D752" s="4"/>
      <c r="E752" s="4"/>
      <c r="F752" s="4"/>
    </row>
    <row r="753" customFormat="false" ht="15.75" hidden="false" customHeight="false" outlineLevel="0" collapsed="false">
      <c r="D753" s="4"/>
      <c r="E753" s="4"/>
      <c r="F753" s="4"/>
    </row>
    <row r="754" customFormat="false" ht="15.75" hidden="false" customHeight="false" outlineLevel="0" collapsed="false">
      <c r="D754" s="4"/>
      <c r="E754" s="4"/>
      <c r="F754" s="4"/>
    </row>
    <row r="755" customFormat="false" ht="15.75" hidden="false" customHeight="false" outlineLevel="0" collapsed="false">
      <c r="D755" s="4"/>
      <c r="E755" s="4"/>
      <c r="F755" s="4"/>
    </row>
    <row r="756" customFormat="false" ht="15.75" hidden="false" customHeight="false" outlineLevel="0" collapsed="false">
      <c r="D756" s="4"/>
      <c r="E756" s="4"/>
      <c r="F756" s="4"/>
    </row>
    <row r="757" customFormat="false" ht="15.75" hidden="false" customHeight="false" outlineLevel="0" collapsed="false">
      <c r="D757" s="4"/>
      <c r="E757" s="4"/>
      <c r="F757" s="4"/>
    </row>
    <row r="758" customFormat="false" ht="15.75" hidden="false" customHeight="false" outlineLevel="0" collapsed="false">
      <c r="D758" s="4"/>
      <c r="E758" s="4"/>
      <c r="F758" s="4"/>
    </row>
    <row r="759" customFormat="false" ht="15.75" hidden="false" customHeight="false" outlineLevel="0" collapsed="false">
      <c r="D759" s="4"/>
      <c r="E759" s="4"/>
      <c r="F759" s="4"/>
    </row>
    <row r="760" customFormat="false" ht="15.75" hidden="false" customHeight="false" outlineLevel="0" collapsed="false">
      <c r="D760" s="4"/>
      <c r="E760" s="4"/>
      <c r="F760" s="4"/>
    </row>
    <row r="761" customFormat="false" ht="15.75" hidden="false" customHeight="false" outlineLevel="0" collapsed="false">
      <c r="D761" s="4"/>
      <c r="E761" s="4"/>
      <c r="F761" s="4"/>
    </row>
    <row r="762" customFormat="false" ht="15.75" hidden="false" customHeight="false" outlineLevel="0" collapsed="false">
      <c r="D762" s="4"/>
      <c r="E762" s="4"/>
      <c r="F762" s="4"/>
    </row>
    <row r="763" customFormat="false" ht="15.75" hidden="false" customHeight="false" outlineLevel="0" collapsed="false">
      <c r="D763" s="4"/>
      <c r="E763" s="4"/>
      <c r="F763" s="4"/>
    </row>
    <row r="764" customFormat="false" ht="15.75" hidden="false" customHeight="false" outlineLevel="0" collapsed="false">
      <c r="D764" s="4"/>
      <c r="E764" s="4"/>
      <c r="F764" s="4"/>
    </row>
    <row r="765" customFormat="false" ht="15.75" hidden="false" customHeight="false" outlineLevel="0" collapsed="false">
      <c r="D765" s="4"/>
      <c r="E765" s="4"/>
      <c r="F765" s="4"/>
    </row>
    <row r="766" customFormat="false" ht="15.75" hidden="false" customHeight="false" outlineLevel="0" collapsed="false">
      <c r="D766" s="4"/>
      <c r="E766" s="4"/>
      <c r="F766" s="4"/>
    </row>
    <row r="767" customFormat="false" ht="15.75" hidden="false" customHeight="false" outlineLevel="0" collapsed="false">
      <c r="D767" s="4"/>
      <c r="E767" s="4"/>
      <c r="F767" s="4"/>
    </row>
    <row r="768" customFormat="false" ht="15.75" hidden="false" customHeight="false" outlineLevel="0" collapsed="false">
      <c r="D768" s="4"/>
      <c r="E768" s="4"/>
      <c r="F768" s="4"/>
    </row>
    <row r="769" customFormat="false" ht="15.75" hidden="false" customHeight="false" outlineLevel="0" collapsed="false">
      <c r="D769" s="4"/>
      <c r="E769" s="4"/>
      <c r="F769" s="4"/>
    </row>
    <row r="770" customFormat="false" ht="15.75" hidden="false" customHeight="false" outlineLevel="0" collapsed="false">
      <c r="D770" s="4"/>
      <c r="E770" s="4"/>
      <c r="F770" s="4"/>
    </row>
    <row r="771" customFormat="false" ht="15.75" hidden="false" customHeight="false" outlineLevel="0" collapsed="false">
      <c r="D771" s="4"/>
      <c r="E771" s="4"/>
      <c r="F771" s="4"/>
    </row>
    <row r="772" customFormat="false" ht="15.75" hidden="false" customHeight="false" outlineLevel="0" collapsed="false">
      <c r="D772" s="4"/>
      <c r="E772" s="4"/>
      <c r="F772" s="4"/>
    </row>
    <row r="773" customFormat="false" ht="15.75" hidden="false" customHeight="false" outlineLevel="0" collapsed="false">
      <c r="D773" s="4"/>
      <c r="E773" s="4"/>
      <c r="F773" s="4"/>
    </row>
    <row r="774" customFormat="false" ht="15.75" hidden="false" customHeight="false" outlineLevel="0" collapsed="false">
      <c r="D774" s="4"/>
      <c r="E774" s="4"/>
      <c r="F774" s="4"/>
    </row>
    <row r="775" customFormat="false" ht="15.75" hidden="false" customHeight="false" outlineLevel="0" collapsed="false">
      <c r="D775" s="4"/>
      <c r="E775" s="4"/>
      <c r="F775" s="4"/>
    </row>
    <row r="776" customFormat="false" ht="15.75" hidden="false" customHeight="false" outlineLevel="0" collapsed="false">
      <c r="D776" s="4"/>
      <c r="E776" s="4"/>
      <c r="F776" s="4"/>
    </row>
    <row r="777" customFormat="false" ht="15.75" hidden="false" customHeight="false" outlineLevel="0" collapsed="false">
      <c r="D777" s="4"/>
      <c r="E777" s="4"/>
      <c r="F777" s="4"/>
    </row>
    <row r="778" customFormat="false" ht="15.75" hidden="false" customHeight="false" outlineLevel="0" collapsed="false">
      <c r="D778" s="4"/>
      <c r="E778" s="4"/>
      <c r="F778" s="4"/>
    </row>
    <row r="779" customFormat="false" ht="15.75" hidden="false" customHeight="false" outlineLevel="0" collapsed="false">
      <c r="D779" s="4"/>
      <c r="E779" s="4"/>
      <c r="F779" s="4"/>
    </row>
    <row r="780" customFormat="false" ht="15.75" hidden="false" customHeight="false" outlineLevel="0" collapsed="false">
      <c r="D780" s="4"/>
      <c r="E780" s="4"/>
      <c r="F780" s="4"/>
    </row>
    <row r="781" customFormat="false" ht="15.75" hidden="false" customHeight="false" outlineLevel="0" collapsed="false">
      <c r="D781" s="4"/>
      <c r="E781" s="4"/>
      <c r="F781" s="4"/>
    </row>
    <row r="782" customFormat="false" ht="15.75" hidden="false" customHeight="false" outlineLevel="0" collapsed="false">
      <c r="D782" s="4"/>
      <c r="E782" s="4"/>
      <c r="F782" s="4"/>
    </row>
    <row r="783" customFormat="false" ht="15.75" hidden="false" customHeight="false" outlineLevel="0" collapsed="false">
      <c r="D783" s="4"/>
      <c r="E783" s="4"/>
      <c r="F783" s="4"/>
    </row>
    <row r="784" customFormat="false" ht="15.75" hidden="false" customHeight="false" outlineLevel="0" collapsed="false">
      <c r="D784" s="4"/>
      <c r="E784" s="4"/>
      <c r="F784" s="4"/>
    </row>
    <row r="785" customFormat="false" ht="15.75" hidden="false" customHeight="false" outlineLevel="0" collapsed="false">
      <c r="D785" s="4"/>
      <c r="E785" s="4"/>
      <c r="F785" s="4"/>
    </row>
    <row r="786" customFormat="false" ht="15.75" hidden="false" customHeight="false" outlineLevel="0" collapsed="false">
      <c r="D786" s="4"/>
      <c r="E786" s="4"/>
      <c r="F786" s="4"/>
    </row>
    <row r="787" customFormat="false" ht="15.75" hidden="false" customHeight="false" outlineLevel="0" collapsed="false">
      <c r="D787" s="4"/>
      <c r="E787" s="4"/>
      <c r="F787" s="4"/>
    </row>
    <row r="788" customFormat="false" ht="15.75" hidden="false" customHeight="false" outlineLevel="0" collapsed="false">
      <c r="D788" s="4"/>
      <c r="E788" s="4"/>
      <c r="F788" s="4"/>
    </row>
    <row r="789" customFormat="false" ht="15.75" hidden="false" customHeight="false" outlineLevel="0" collapsed="false">
      <c r="D789" s="4"/>
      <c r="E789" s="4"/>
      <c r="F789" s="4"/>
    </row>
    <row r="790" customFormat="false" ht="15.75" hidden="false" customHeight="false" outlineLevel="0" collapsed="false">
      <c r="D790" s="4"/>
      <c r="E790" s="4"/>
      <c r="F790" s="4"/>
    </row>
    <row r="791" customFormat="false" ht="15.75" hidden="false" customHeight="false" outlineLevel="0" collapsed="false">
      <c r="D791" s="4"/>
      <c r="E791" s="4"/>
      <c r="F791" s="4"/>
    </row>
    <row r="792" customFormat="false" ht="15.75" hidden="false" customHeight="false" outlineLevel="0" collapsed="false">
      <c r="D792" s="4"/>
      <c r="E792" s="4"/>
      <c r="F792" s="4"/>
    </row>
    <row r="793" customFormat="false" ht="15.75" hidden="false" customHeight="false" outlineLevel="0" collapsed="false">
      <c r="D793" s="4"/>
      <c r="E793" s="4"/>
      <c r="F793" s="4"/>
    </row>
    <row r="794" customFormat="false" ht="15.75" hidden="false" customHeight="false" outlineLevel="0" collapsed="false">
      <c r="D794" s="4"/>
      <c r="E794" s="4"/>
      <c r="F794" s="4"/>
    </row>
    <row r="795" customFormat="false" ht="15.75" hidden="false" customHeight="false" outlineLevel="0" collapsed="false">
      <c r="D795" s="4"/>
      <c r="E795" s="4"/>
      <c r="F795" s="4"/>
    </row>
    <row r="796" customFormat="false" ht="15.75" hidden="false" customHeight="false" outlineLevel="0" collapsed="false">
      <c r="D796" s="4"/>
      <c r="E796" s="4"/>
      <c r="F796" s="4"/>
    </row>
    <row r="797" customFormat="false" ht="15.75" hidden="false" customHeight="false" outlineLevel="0" collapsed="false">
      <c r="D797" s="4"/>
      <c r="E797" s="4"/>
      <c r="F797" s="4"/>
    </row>
    <row r="798" customFormat="false" ht="15.75" hidden="false" customHeight="false" outlineLevel="0" collapsed="false">
      <c r="D798" s="4"/>
      <c r="E798" s="4"/>
      <c r="F798" s="4"/>
    </row>
    <row r="799" customFormat="false" ht="15.75" hidden="false" customHeight="false" outlineLevel="0" collapsed="false">
      <c r="D799" s="4"/>
      <c r="E799" s="4"/>
      <c r="F799" s="4"/>
    </row>
    <row r="800" customFormat="false" ht="15.75" hidden="false" customHeight="false" outlineLevel="0" collapsed="false">
      <c r="D800" s="4"/>
      <c r="E800" s="4"/>
      <c r="F800" s="4"/>
    </row>
    <row r="801" customFormat="false" ht="15.75" hidden="false" customHeight="false" outlineLevel="0" collapsed="false">
      <c r="D801" s="4"/>
      <c r="E801" s="4"/>
      <c r="F801" s="4"/>
    </row>
    <row r="802" customFormat="false" ht="15.75" hidden="false" customHeight="false" outlineLevel="0" collapsed="false">
      <c r="D802" s="4"/>
      <c r="E802" s="4"/>
      <c r="F802" s="4"/>
    </row>
    <row r="803" customFormat="false" ht="15.75" hidden="false" customHeight="false" outlineLevel="0" collapsed="false">
      <c r="D803" s="4"/>
      <c r="E803" s="4"/>
      <c r="F803" s="4"/>
    </row>
    <row r="804" customFormat="false" ht="15.75" hidden="false" customHeight="false" outlineLevel="0" collapsed="false">
      <c r="D804" s="4"/>
      <c r="E804" s="4"/>
      <c r="F804" s="4"/>
    </row>
    <row r="805" customFormat="false" ht="15.75" hidden="false" customHeight="false" outlineLevel="0" collapsed="false">
      <c r="D805" s="4"/>
      <c r="E805" s="4"/>
      <c r="F805" s="4"/>
    </row>
    <row r="806" customFormat="false" ht="15.75" hidden="false" customHeight="false" outlineLevel="0" collapsed="false">
      <c r="D806" s="4"/>
      <c r="E806" s="4"/>
      <c r="F806" s="4"/>
    </row>
    <row r="807" customFormat="false" ht="15.75" hidden="false" customHeight="false" outlineLevel="0" collapsed="false">
      <c r="D807" s="4"/>
      <c r="E807" s="4"/>
      <c r="F807" s="4"/>
    </row>
    <row r="808" customFormat="false" ht="15.75" hidden="false" customHeight="false" outlineLevel="0" collapsed="false">
      <c r="D808" s="4"/>
      <c r="E808" s="4"/>
      <c r="F808" s="4"/>
    </row>
    <row r="809" customFormat="false" ht="15.75" hidden="false" customHeight="false" outlineLevel="0" collapsed="false">
      <c r="D809" s="4"/>
      <c r="E809" s="4"/>
      <c r="F809" s="4"/>
    </row>
    <row r="810" customFormat="false" ht="15.75" hidden="false" customHeight="false" outlineLevel="0" collapsed="false">
      <c r="D810" s="4"/>
      <c r="E810" s="4"/>
      <c r="F810" s="4"/>
    </row>
    <row r="811" customFormat="false" ht="15.75" hidden="false" customHeight="false" outlineLevel="0" collapsed="false">
      <c r="D811" s="4"/>
      <c r="E811" s="4"/>
      <c r="F811" s="4"/>
    </row>
    <row r="812" customFormat="false" ht="15.75" hidden="false" customHeight="false" outlineLevel="0" collapsed="false">
      <c r="D812" s="4"/>
      <c r="E812" s="4"/>
      <c r="F812" s="4"/>
    </row>
    <row r="813" customFormat="false" ht="15.75" hidden="false" customHeight="false" outlineLevel="0" collapsed="false">
      <c r="D813" s="4"/>
      <c r="E813" s="4"/>
      <c r="F813" s="4"/>
    </row>
    <row r="814" customFormat="false" ht="15.75" hidden="false" customHeight="false" outlineLevel="0" collapsed="false">
      <c r="D814" s="4"/>
      <c r="E814" s="4"/>
      <c r="F814" s="4"/>
    </row>
    <row r="815" customFormat="false" ht="15.75" hidden="false" customHeight="false" outlineLevel="0" collapsed="false">
      <c r="D815" s="4"/>
      <c r="E815" s="4"/>
      <c r="F815" s="4"/>
    </row>
    <row r="816" customFormat="false" ht="15.75" hidden="false" customHeight="false" outlineLevel="0" collapsed="false">
      <c r="D816" s="4"/>
      <c r="E816" s="4"/>
      <c r="F816" s="4"/>
    </row>
    <row r="817" customFormat="false" ht="15.75" hidden="false" customHeight="false" outlineLevel="0" collapsed="false">
      <c r="D817" s="4"/>
      <c r="E817" s="4"/>
      <c r="F817" s="4"/>
    </row>
    <row r="818" customFormat="false" ht="15.75" hidden="false" customHeight="false" outlineLevel="0" collapsed="false">
      <c r="D818" s="4"/>
      <c r="E818" s="4"/>
      <c r="F818" s="4"/>
    </row>
    <row r="819" customFormat="false" ht="15.75" hidden="false" customHeight="false" outlineLevel="0" collapsed="false">
      <c r="D819" s="4"/>
      <c r="E819" s="4"/>
      <c r="F819" s="4"/>
    </row>
    <row r="820" customFormat="false" ht="15.75" hidden="false" customHeight="false" outlineLevel="0" collapsed="false">
      <c r="D820" s="4"/>
      <c r="E820" s="4"/>
      <c r="F820" s="4"/>
    </row>
    <row r="821" customFormat="false" ht="15.75" hidden="false" customHeight="false" outlineLevel="0" collapsed="false">
      <c r="D821" s="4"/>
      <c r="E821" s="4"/>
      <c r="F821" s="4"/>
    </row>
    <row r="822" customFormat="false" ht="15.75" hidden="false" customHeight="false" outlineLevel="0" collapsed="false">
      <c r="D822" s="4"/>
      <c r="E822" s="4"/>
      <c r="F822" s="4"/>
    </row>
    <row r="823" customFormat="false" ht="15.75" hidden="false" customHeight="false" outlineLevel="0" collapsed="false">
      <c r="D823" s="4"/>
      <c r="E823" s="4"/>
      <c r="F823" s="4"/>
    </row>
    <row r="824" customFormat="false" ht="15.75" hidden="false" customHeight="false" outlineLevel="0" collapsed="false">
      <c r="D824" s="4"/>
      <c r="E824" s="4"/>
      <c r="F824" s="4"/>
    </row>
    <row r="825" customFormat="false" ht="15.75" hidden="false" customHeight="false" outlineLevel="0" collapsed="false">
      <c r="D825" s="4"/>
      <c r="E825" s="4"/>
      <c r="F825" s="4"/>
    </row>
    <row r="826" customFormat="false" ht="15.75" hidden="false" customHeight="false" outlineLevel="0" collapsed="false">
      <c r="D826" s="4"/>
      <c r="E826" s="4"/>
      <c r="F826" s="4"/>
    </row>
    <row r="827" customFormat="false" ht="15.75" hidden="false" customHeight="false" outlineLevel="0" collapsed="false">
      <c r="D827" s="4"/>
      <c r="E827" s="4"/>
      <c r="F827" s="4"/>
    </row>
    <row r="828" customFormat="false" ht="15.75" hidden="false" customHeight="false" outlineLevel="0" collapsed="false">
      <c r="D828" s="4"/>
      <c r="E828" s="4"/>
      <c r="F828" s="4"/>
    </row>
    <row r="829" customFormat="false" ht="15.75" hidden="false" customHeight="false" outlineLevel="0" collapsed="false">
      <c r="D829" s="4"/>
      <c r="E829" s="4"/>
      <c r="F829" s="4"/>
    </row>
    <row r="830" customFormat="false" ht="15.75" hidden="false" customHeight="false" outlineLevel="0" collapsed="false">
      <c r="D830" s="4"/>
      <c r="E830" s="4"/>
      <c r="F830" s="4"/>
    </row>
    <row r="831" customFormat="false" ht="15.75" hidden="false" customHeight="false" outlineLevel="0" collapsed="false">
      <c r="D831" s="4"/>
      <c r="E831" s="4"/>
      <c r="F831" s="4"/>
    </row>
    <row r="832" customFormat="false" ht="15.75" hidden="false" customHeight="false" outlineLevel="0" collapsed="false">
      <c r="D832" s="4"/>
      <c r="E832" s="4"/>
      <c r="F832" s="4"/>
    </row>
    <row r="833" customFormat="false" ht="15.75" hidden="false" customHeight="false" outlineLevel="0" collapsed="false">
      <c r="D833" s="4"/>
      <c r="E833" s="4"/>
      <c r="F833" s="4"/>
    </row>
    <row r="834" customFormat="false" ht="15.75" hidden="false" customHeight="false" outlineLevel="0" collapsed="false">
      <c r="D834" s="4"/>
      <c r="E834" s="4"/>
      <c r="F834" s="4"/>
    </row>
    <row r="835" customFormat="false" ht="15.75" hidden="false" customHeight="false" outlineLevel="0" collapsed="false">
      <c r="D835" s="4"/>
      <c r="E835" s="4"/>
      <c r="F835" s="4"/>
    </row>
    <row r="836" customFormat="false" ht="15.75" hidden="false" customHeight="false" outlineLevel="0" collapsed="false">
      <c r="D836" s="4"/>
      <c r="E836" s="4"/>
      <c r="F836" s="4"/>
    </row>
    <row r="837" customFormat="false" ht="15.75" hidden="false" customHeight="false" outlineLevel="0" collapsed="false">
      <c r="D837" s="4"/>
      <c r="E837" s="4"/>
      <c r="F837" s="4"/>
    </row>
    <row r="838" customFormat="false" ht="15.75" hidden="false" customHeight="false" outlineLevel="0" collapsed="false">
      <c r="D838" s="4"/>
      <c r="E838" s="4"/>
      <c r="F838" s="4"/>
    </row>
    <row r="839" customFormat="false" ht="15.75" hidden="false" customHeight="false" outlineLevel="0" collapsed="false">
      <c r="D839" s="4"/>
      <c r="E839" s="4"/>
      <c r="F839" s="4"/>
    </row>
    <row r="840" customFormat="false" ht="15.75" hidden="false" customHeight="false" outlineLevel="0" collapsed="false">
      <c r="D840" s="4"/>
      <c r="E840" s="4"/>
      <c r="F840" s="4"/>
    </row>
    <row r="841" customFormat="false" ht="15.75" hidden="false" customHeight="false" outlineLevel="0" collapsed="false">
      <c r="D841" s="4"/>
      <c r="E841" s="4"/>
      <c r="F841" s="4"/>
    </row>
    <row r="842" customFormat="false" ht="15.75" hidden="false" customHeight="false" outlineLevel="0" collapsed="false">
      <c r="D842" s="4"/>
      <c r="E842" s="4"/>
      <c r="F842" s="4"/>
    </row>
    <row r="843" customFormat="false" ht="15.75" hidden="false" customHeight="false" outlineLevel="0" collapsed="false">
      <c r="D843" s="4"/>
      <c r="E843" s="4"/>
      <c r="F843" s="4"/>
    </row>
    <row r="844" customFormat="false" ht="15.75" hidden="false" customHeight="false" outlineLevel="0" collapsed="false">
      <c r="D844" s="4"/>
      <c r="E844" s="4"/>
      <c r="F844" s="4"/>
    </row>
    <row r="845" customFormat="false" ht="15.75" hidden="false" customHeight="false" outlineLevel="0" collapsed="false">
      <c r="D845" s="4"/>
      <c r="E845" s="4"/>
      <c r="F845" s="4"/>
    </row>
    <row r="846" customFormat="false" ht="15.75" hidden="false" customHeight="false" outlineLevel="0" collapsed="false">
      <c r="D846" s="4"/>
      <c r="E846" s="4"/>
      <c r="F846" s="4"/>
    </row>
    <row r="847" customFormat="false" ht="15.75" hidden="false" customHeight="false" outlineLevel="0" collapsed="false">
      <c r="D847" s="4"/>
      <c r="E847" s="4"/>
      <c r="F847" s="4"/>
    </row>
    <row r="848" customFormat="false" ht="15.75" hidden="false" customHeight="false" outlineLevel="0" collapsed="false">
      <c r="D848" s="4"/>
      <c r="E848" s="4"/>
      <c r="F848" s="4"/>
    </row>
    <row r="849" customFormat="false" ht="15.75" hidden="false" customHeight="false" outlineLevel="0" collapsed="false">
      <c r="D849" s="4"/>
      <c r="E849" s="4"/>
      <c r="F849" s="4"/>
    </row>
    <row r="850" customFormat="false" ht="15.75" hidden="false" customHeight="false" outlineLevel="0" collapsed="false">
      <c r="D850" s="4"/>
      <c r="E850" s="4"/>
      <c r="F850" s="4"/>
    </row>
    <row r="851" customFormat="false" ht="15.75" hidden="false" customHeight="false" outlineLevel="0" collapsed="false">
      <c r="D851" s="4"/>
      <c r="E851" s="4"/>
      <c r="F851" s="4"/>
    </row>
    <row r="852" customFormat="false" ht="15.75" hidden="false" customHeight="false" outlineLevel="0" collapsed="false">
      <c r="D852" s="4"/>
      <c r="E852" s="4"/>
      <c r="F852" s="4"/>
    </row>
    <row r="853" customFormat="false" ht="15.75" hidden="false" customHeight="false" outlineLevel="0" collapsed="false">
      <c r="D853" s="4"/>
      <c r="E853" s="4"/>
      <c r="F853" s="4"/>
    </row>
    <row r="854" customFormat="false" ht="15.75" hidden="false" customHeight="false" outlineLevel="0" collapsed="false">
      <c r="D854" s="4"/>
      <c r="E854" s="4"/>
      <c r="F854" s="4"/>
    </row>
    <row r="855" customFormat="false" ht="15.75" hidden="false" customHeight="false" outlineLevel="0" collapsed="false">
      <c r="D855" s="4"/>
      <c r="E855" s="4"/>
      <c r="F855" s="4"/>
    </row>
    <row r="856" customFormat="false" ht="15.75" hidden="false" customHeight="false" outlineLevel="0" collapsed="false">
      <c r="D856" s="4"/>
      <c r="E856" s="4"/>
      <c r="F856" s="4"/>
    </row>
    <row r="857" customFormat="false" ht="15.75" hidden="false" customHeight="false" outlineLevel="0" collapsed="false">
      <c r="D857" s="4"/>
      <c r="E857" s="4"/>
      <c r="F857" s="4"/>
    </row>
    <row r="858" customFormat="false" ht="15.75" hidden="false" customHeight="false" outlineLevel="0" collapsed="false">
      <c r="D858" s="4"/>
      <c r="E858" s="4"/>
      <c r="F858" s="4"/>
    </row>
    <row r="859" customFormat="false" ht="15.75" hidden="false" customHeight="false" outlineLevel="0" collapsed="false">
      <c r="D859" s="4"/>
      <c r="E859" s="4"/>
      <c r="F859" s="4"/>
    </row>
    <row r="860" customFormat="false" ht="15.75" hidden="false" customHeight="false" outlineLevel="0" collapsed="false">
      <c r="D860" s="4"/>
      <c r="E860" s="4"/>
      <c r="F860" s="4"/>
    </row>
    <row r="861" customFormat="false" ht="15.75" hidden="false" customHeight="false" outlineLevel="0" collapsed="false">
      <c r="D861" s="4"/>
      <c r="E861" s="4"/>
      <c r="F861" s="4"/>
    </row>
    <row r="862" customFormat="false" ht="15.75" hidden="false" customHeight="false" outlineLevel="0" collapsed="false">
      <c r="D862" s="4"/>
      <c r="E862" s="4"/>
      <c r="F862" s="4"/>
    </row>
    <row r="863" customFormat="false" ht="15.75" hidden="false" customHeight="false" outlineLevel="0" collapsed="false">
      <c r="D863" s="4"/>
      <c r="E863" s="4"/>
      <c r="F863" s="4"/>
    </row>
    <row r="864" customFormat="false" ht="15.75" hidden="false" customHeight="false" outlineLevel="0" collapsed="false">
      <c r="D864" s="4"/>
      <c r="E864" s="4"/>
      <c r="F864" s="4"/>
    </row>
    <row r="865" customFormat="false" ht="15.75" hidden="false" customHeight="false" outlineLevel="0" collapsed="false">
      <c r="D865" s="4"/>
      <c r="E865" s="4"/>
      <c r="F865" s="4"/>
    </row>
    <row r="866" customFormat="false" ht="15.75" hidden="false" customHeight="false" outlineLevel="0" collapsed="false">
      <c r="D866" s="4"/>
      <c r="E866" s="4"/>
      <c r="F866" s="4"/>
    </row>
    <row r="867" customFormat="false" ht="15.75" hidden="false" customHeight="false" outlineLevel="0" collapsed="false">
      <c r="D867" s="4"/>
      <c r="E867" s="4"/>
      <c r="F867" s="4"/>
    </row>
    <row r="868" customFormat="false" ht="15.75" hidden="false" customHeight="false" outlineLevel="0" collapsed="false">
      <c r="D868" s="4"/>
      <c r="E868" s="4"/>
      <c r="F868" s="4"/>
    </row>
    <row r="869" customFormat="false" ht="15.75" hidden="false" customHeight="false" outlineLevel="0" collapsed="false">
      <c r="D869" s="4"/>
      <c r="E869" s="4"/>
      <c r="F869" s="4"/>
    </row>
    <row r="870" customFormat="false" ht="15.75" hidden="false" customHeight="false" outlineLevel="0" collapsed="false">
      <c r="D870" s="4"/>
      <c r="E870" s="4"/>
      <c r="F870" s="4"/>
    </row>
    <row r="871" customFormat="false" ht="15.75" hidden="false" customHeight="false" outlineLevel="0" collapsed="false">
      <c r="D871" s="4"/>
      <c r="E871" s="4"/>
      <c r="F871" s="4"/>
    </row>
    <row r="872" customFormat="false" ht="15.75" hidden="false" customHeight="false" outlineLevel="0" collapsed="false">
      <c r="D872" s="4"/>
      <c r="E872" s="4"/>
      <c r="F872" s="4"/>
    </row>
    <row r="873" customFormat="false" ht="15.75" hidden="false" customHeight="false" outlineLevel="0" collapsed="false">
      <c r="D873" s="4"/>
      <c r="E873" s="4"/>
      <c r="F873" s="4"/>
    </row>
    <row r="874" customFormat="false" ht="15.75" hidden="false" customHeight="false" outlineLevel="0" collapsed="false">
      <c r="D874" s="4"/>
      <c r="E874" s="4"/>
      <c r="F874" s="4"/>
    </row>
    <row r="875" customFormat="false" ht="15.75" hidden="false" customHeight="false" outlineLevel="0" collapsed="false">
      <c r="D875" s="4"/>
      <c r="E875" s="4"/>
      <c r="F875" s="4"/>
    </row>
    <row r="876" customFormat="false" ht="15.75" hidden="false" customHeight="false" outlineLevel="0" collapsed="false">
      <c r="D876" s="4"/>
      <c r="E876" s="4"/>
      <c r="F876" s="4"/>
    </row>
    <row r="877" customFormat="false" ht="15.75" hidden="false" customHeight="false" outlineLevel="0" collapsed="false">
      <c r="D877" s="4"/>
      <c r="E877" s="4"/>
      <c r="F877" s="4"/>
    </row>
    <row r="878" customFormat="false" ht="15.75" hidden="false" customHeight="false" outlineLevel="0" collapsed="false">
      <c r="D878" s="4"/>
      <c r="E878" s="4"/>
      <c r="F878" s="4"/>
    </row>
    <row r="879" customFormat="false" ht="15.75" hidden="false" customHeight="false" outlineLevel="0" collapsed="false">
      <c r="D879" s="4"/>
      <c r="E879" s="4"/>
      <c r="F879" s="4"/>
    </row>
    <row r="880" customFormat="false" ht="15.75" hidden="false" customHeight="false" outlineLevel="0" collapsed="false">
      <c r="D880" s="4"/>
      <c r="E880" s="4"/>
      <c r="F880" s="4"/>
    </row>
    <row r="881" customFormat="false" ht="15.75" hidden="false" customHeight="false" outlineLevel="0" collapsed="false">
      <c r="D881" s="4"/>
      <c r="E881" s="4"/>
      <c r="F881" s="4"/>
    </row>
    <row r="882" customFormat="false" ht="15.75" hidden="false" customHeight="false" outlineLevel="0" collapsed="false">
      <c r="D882" s="4"/>
      <c r="E882" s="4"/>
      <c r="F882" s="4"/>
    </row>
    <row r="883" customFormat="false" ht="15.75" hidden="false" customHeight="false" outlineLevel="0" collapsed="false">
      <c r="D883" s="4"/>
      <c r="E883" s="4"/>
      <c r="F883" s="4"/>
    </row>
    <row r="884" customFormat="false" ht="15.75" hidden="false" customHeight="false" outlineLevel="0" collapsed="false">
      <c r="D884" s="4"/>
      <c r="E884" s="4"/>
      <c r="F884" s="4"/>
    </row>
    <row r="885" customFormat="false" ht="15.75" hidden="false" customHeight="false" outlineLevel="0" collapsed="false">
      <c r="D885" s="4"/>
      <c r="E885" s="4"/>
      <c r="F885" s="4"/>
    </row>
    <row r="886" customFormat="false" ht="15.75" hidden="false" customHeight="false" outlineLevel="0" collapsed="false">
      <c r="D886" s="4"/>
      <c r="E886" s="4"/>
      <c r="F886" s="4"/>
    </row>
    <row r="887" customFormat="false" ht="15.75" hidden="false" customHeight="false" outlineLevel="0" collapsed="false">
      <c r="D887" s="4"/>
      <c r="E887" s="4"/>
      <c r="F887" s="4"/>
    </row>
    <row r="888" customFormat="false" ht="15.75" hidden="false" customHeight="false" outlineLevel="0" collapsed="false">
      <c r="D888" s="4"/>
      <c r="E888" s="4"/>
      <c r="F888" s="4"/>
    </row>
    <row r="889" customFormat="false" ht="15.75" hidden="false" customHeight="false" outlineLevel="0" collapsed="false">
      <c r="D889" s="4"/>
      <c r="E889" s="4"/>
      <c r="F889" s="4"/>
    </row>
    <row r="890" customFormat="false" ht="15.75" hidden="false" customHeight="false" outlineLevel="0" collapsed="false">
      <c r="D890" s="4"/>
      <c r="E890" s="4"/>
      <c r="F890" s="4"/>
    </row>
    <row r="891" customFormat="false" ht="15.75" hidden="false" customHeight="false" outlineLevel="0" collapsed="false">
      <c r="D891" s="4"/>
      <c r="E891" s="4"/>
      <c r="F891" s="4"/>
    </row>
    <row r="892" customFormat="false" ht="15.75" hidden="false" customHeight="false" outlineLevel="0" collapsed="false">
      <c r="D892" s="4"/>
      <c r="E892" s="4"/>
      <c r="F892" s="4"/>
    </row>
    <row r="893" customFormat="false" ht="15.75" hidden="false" customHeight="false" outlineLevel="0" collapsed="false">
      <c r="D893" s="4"/>
      <c r="E893" s="4"/>
      <c r="F893" s="4"/>
    </row>
    <row r="894" customFormat="false" ht="15.75" hidden="false" customHeight="false" outlineLevel="0" collapsed="false">
      <c r="D894" s="4"/>
      <c r="E894" s="4"/>
      <c r="F894" s="4"/>
    </row>
    <row r="895" customFormat="false" ht="15.75" hidden="false" customHeight="false" outlineLevel="0" collapsed="false">
      <c r="D895" s="4"/>
      <c r="E895" s="4"/>
      <c r="F895" s="4"/>
    </row>
    <row r="896" customFormat="false" ht="15.75" hidden="false" customHeight="false" outlineLevel="0" collapsed="false">
      <c r="D896" s="4"/>
      <c r="E896" s="4"/>
      <c r="F896" s="4"/>
    </row>
    <row r="897" customFormat="false" ht="15.75" hidden="false" customHeight="false" outlineLevel="0" collapsed="false">
      <c r="D897" s="4"/>
      <c r="E897" s="4"/>
      <c r="F897" s="4"/>
    </row>
    <row r="898" customFormat="false" ht="15.75" hidden="false" customHeight="false" outlineLevel="0" collapsed="false">
      <c r="D898" s="4"/>
      <c r="E898" s="4"/>
      <c r="F898" s="4"/>
    </row>
    <row r="899" customFormat="false" ht="15.75" hidden="false" customHeight="false" outlineLevel="0" collapsed="false">
      <c r="D899" s="4"/>
      <c r="E899" s="4"/>
      <c r="F899" s="4"/>
    </row>
    <row r="900" customFormat="false" ht="15.75" hidden="false" customHeight="false" outlineLevel="0" collapsed="false">
      <c r="D900" s="4"/>
      <c r="E900" s="4"/>
      <c r="F900" s="4"/>
    </row>
    <row r="901" customFormat="false" ht="15.75" hidden="false" customHeight="false" outlineLevel="0" collapsed="false">
      <c r="D901" s="4"/>
      <c r="E901" s="4"/>
      <c r="F901" s="4"/>
    </row>
    <row r="902" customFormat="false" ht="15.75" hidden="false" customHeight="false" outlineLevel="0" collapsed="false">
      <c r="D902" s="4"/>
      <c r="E902" s="4"/>
      <c r="F902" s="4"/>
    </row>
    <row r="903" customFormat="false" ht="15.75" hidden="false" customHeight="false" outlineLevel="0" collapsed="false">
      <c r="D903" s="4"/>
      <c r="E903" s="4"/>
      <c r="F903" s="4"/>
    </row>
    <row r="904" customFormat="false" ht="15.75" hidden="false" customHeight="false" outlineLevel="0" collapsed="false">
      <c r="D904" s="4"/>
      <c r="E904" s="4"/>
      <c r="F904" s="4"/>
    </row>
    <row r="905" customFormat="false" ht="15.75" hidden="false" customHeight="false" outlineLevel="0" collapsed="false">
      <c r="D905" s="4"/>
      <c r="E905" s="4"/>
      <c r="F905" s="4"/>
    </row>
    <row r="906" customFormat="false" ht="15.75" hidden="false" customHeight="false" outlineLevel="0" collapsed="false">
      <c r="D906" s="4"/>
      <c r="E906" s="4"/>
      <c r="F906" s="4"/>
    </row>
    <row r="907" customFormat="false" ht="15.75" hidden="false" customHeight="false" outlineLevel="0" collapsed="false">
      <c r="D907" s="4"/>
      <c r="E907" s="4"/>
      <c r="F907" s="4"/>
    </row>
    <row r="908" customFormat="false" ht="15.75" hidden="false" customHeight="false" outlineLevel="0" collapsed="false">
      <c r="D908" s="4"/>
      <c r="E908" s="4"/>
      <c r="F908" s="4"/>
    </row>
    <row r="909" customFormat="false" ht="15.75" hidden="false" customHeight="false" outlineLevel="0" collapsed="false">
      <c r="D909" s="4"/>
      <c r="E909" s="4"/>
      <c r="F909" s="4"/>
    </row>
    <row r="910" customFormat="false" ht="15.75" hidden="false" customHeight="false" outlineLevel="0" collapsed="false">
      <c r="D910" s="4"/>
      <c r="E910" s="4"/>
      <c r="F910" s="4"/>
    </row>
    <row r="911" customFormat="false" ht="15.75" hidden="false" customHeight="false" outlineLevel="0" collapsed="false">
      <c r="D911" s="4"/>
      <c r="E911" s="4"/>
      <c r="F911" s="4"/>
    </row>
    <row r="912" customFormat="false" ht="15.75" hidden="false" customHeight="false" outlineLevel="0" collapsed="false">
      <c r="D912" s="4"/>
      <c r="E912" s="4"/>
      <c r="F912" s="4"/>
    </row>
    <row r="913" customFormat="false" ht="15.75" hidden="false" customHeight="false" outlineLevel="0" collapsed="false">
      <c r="D913" s="4"/>
      <c r="E913" s="4"/>
      <c r="F913" s="4"/>
    </row>
    <row r="914" customFormat="false" ht="15.75" hidden="false" customHeight="false" outlineLevel="0" collapsed="false">
      <c r="D914" s="4"/>
      <c r="E914" s="4"/>
      <c r="F914" s="4"/>
    </row>
    <row r="915" customFormat="false" ht="15.75" hidden="false" customHeight="false" outlineLevel="0" collapsed="false">
      <c r="D915" s="4"/>
      <c r="E915" s="4"/>
      <c r="F915" s="4"/>
    </row>
    <row r="916" customFormat="false" ht="15.75" hidden="false" customHeight="false" outlineLevel="0" collapsed="false">
      <c r="D916" s="4"/>
      <c r="E916" s="4"/>
      <c r="F916" s="4"/>
    </row>
    <row r="917" customFormat="false" ht="15.75" hidden="false" customHeight="false" outlineLevel="0" collapsed="false">
      <c r="D917" s="4"/>
      <c r="E917" s="4"/>
      <c r="F917" s="4"/>
    </row>
    <row r="918" customFormat="false" ht="15.75" hidden="false" customHeight="false" outlineLevel="0" collapsed="false">
      <c r="D918" s="4"/>
      <c r="E918" s="4"/>
      <c r="F918" s="4"/>
    </row>
    <row r="919" customFormat="false" ht="15.75" hidden="false" customHeight="false" outlineLevel="0" collapsed="false">
      <c r="D919" s="4"/>
      <c r="E919" s="4"/>
      <c r="F919" s="4"/>
    </row>
    <row r="920" customFormat="false" ht="15.75" hidden="false" customHeight="false" outlineLevel="0" collapsed="false">
      <c r="D920" s="4"/>
      <c r="E920" s="4"/>
      <c r="F920" s="4"/>
    </row>
    <row r="921" customFormat="false" ht="15.75" hidden="false" customHeight="false" outlineLevel="0" collapsed="false">
      <c r="D921" s="4"/>
      <c r="E921" s="4"/>
      <c r="F921" s="4"/>
    </row>
    <row r="922" customFormat="false" ht="15.75" hidden="false" customHeight="false" outlineLevel="0" collapsed="false">
      <c r="D922" s="4"/>
      <c r="E922" s="4"/>
      <c r="F922" s="4"/>
    </row>
    <row r="923" customFormat="false" ht="15.75" hidden="false" customHeight="false" outlineLevel="0" collapsed="false">
      <c r="D923" s="4"/>
      <c r="E923" s="4"/>
      <c r="F923" s="4"/>
    </row>
    <row r="924" customFormat="false" ht="15.75" hidden="false" customHeight="false" outlineLevel="0" collapsed="false">
      <c r="D924" s="4"/>
      <c r="E924" s="4"/>
      <c r="F924" s="4"/>
    </row>
    <row r="925" customFormat="false" ht="15.75" hidden="false" customHeight="false" outlineLevel="0" collapsed="false">
      <c r="D925" s="4"/>
      <c r="E925" s="4"/>
      <c r="F925" s="4"/>
    </row>
    <row r="926" customFormat="false" ht="15.75" hidden="false" customHeight="false" outlineLevel="0" collapsed="false">
      <c r="D926" s="4"/>
      <c r="E926" s="4"/>
      <c r="F926" s="4"/>
    </row>
    <row r="927" customFormat="false" ht="15.75" hidden="false" customHeight="false" outlineLevel="0" collapsed="false">
      <c r="D927" s="4"/>
      <c r="E927" s="4"/>
      <c r="F927" s="4"/>
    </row>
    <row r="928" customFormat="false" ht="15.75" hidden="false" customHeight="false" outlineLevel="0" collapsed="false">
      <c r="D928" s="4"/>
      <c r="E928" s="4"/>
      <c r="F928" s="4"/>
    </row>
    <row r="929" customFormat="false" ht="15.75" hidden="false" customHeight="false" outlineLevel="0" collapsed="false">
      <c r="D929" s="4"/>
      <c r="E929" s="4"/>
      <c r="F929" s="4"/>
    </row>
    <row r="930" customFormat="false" ht="15.75" hidden="false" customHeight="false" outlineLevel="0" collapsed="false">
      <c r="D930" s="4"/>
      <c r="E930" s="4"/>
      <c r="F930" s="4"/>
    </row>
    <row r="931" customFormat="false" ht="15.75" hidden="false" customHeight="false" outlineLevel="0" collapsed="false">
      <c r="D931" s="4"/>
      <c r="E931" s="4"/>
      <c r="F931" s="4"/>
    </row>
    <row r="932" customFormat="false" ht="15.75" hidden="false" customHeight="false" outlineLevel="0" collapsed="false">
      <c r="D932" s="4"/>
      <c r="E932" s="4"/>
      <c r="F932" s="4"/>
    </row>
    <row r="933" customFormat="false" ht="15.75" hidden="false" customHeight="false" outlineLevel="0" collapsed="false">
      <c r="D933" s="4"/>
      <c r="E933" s="4"/>
      <c r="F933" s="4"/>
    </row>
    <row r="934" customFormat="false" ht="15.75" hidden="false" customHeight="false" outlineLevel="0" collapsed="false">
      <c r="D934" s="4"/>
      <c r="E934" s="4"/>
      <c r="F934" s="4"/>
    </row>
    <row r="935" customFormat="false" ht="15.75" hidden="false" customHeight="false" outlineLevel="0" collapsed="false">
      <c r="D935" s="4"/>
      <c r="E935" s="4"/>
      <c r="F935" s="4"/>
    </row>
    <row r="936" customFormat="false" ht="15.75" hidden="false" customHeight="false" outlineLevel="0" collapsed="false">
      <c r="D936" s="4"/>
      <c r="E936" s="4"/>
      <c r="F936" s="4"/>
    </row>
    <row r="937" customFormat="false" ht="15.75" hidden="false" customHeight="false" outlineLevel="0" collapsed="false">
      <c r="D937" s="4"/>
      <c r="E937" s="4"/>
      <c r="F937" s="4"/>
    </row>
    <row r="938" customFormat="false" ht="15.75" hidden="false" customHeight="false" outlineLevel="0" collapsed="false">
      <c r="D938" s="4"/>
      <c r="E938" s="4"/>
      <c r="F938" s="4"/>
    </row>
    <row r="939" customFormat="false" ht="15.75" hidden="false" customHeight="false" outlineLevel="0" collapsed="false">
      <c r="D939" s="4"/>
      <c r="E939" s="4"/>
      <c r="F939" s="4"/>
    </row>
    <row r="940" customFormat="false" ht="15.75" hidden="false" customHeight="false" outlineLevel="0" collapsed="false">
      <c r="D940" s="4"/>
      <c r="E940" s="4"/>
      <c r="F940" s="4"/>
    </row>
    <row r="941" customFormat="false" ht="15.75" hidden="false" customHeight="false" outlineLevel="0" collapsed="false">
      <c r="D941" s="4"/>
      <c r="E941" s="4"/>
      <c r="F941" s="4"/>
    </row>
    <row r="942" customFormat="false" ht="15.75" hidden="false" customHeight="false" outlineLevel="0" collapsed="false">
      <c r="D942" s="4"/>
      <c r="E942" s="4"/>
      <c r="F942" s="4"/>
    </row>
    <row r="943" customFormat="false" ht="15.75" hidden="false" customHeight="false" outlineLevel="0" collapsed="false">
      <c r="D943" s="4"/>
      <c r="E943" s="4"/>
      <c r="F943" s="4"/>
    </row>
    <row r="944" customFormat="false" ht="15.75" hidden="false" customHeight="false" outlineLevel="0" collapsed="false">
      <c r="D944" s="4"/>
      <c r="E944" s="4"/>
      <c r="F944" s="4"/>
    </row>
    <row r="945" customFormat="false" ht="15.75" hidden="false" customHeight="false" outlineLevel="0" collapsed="false">
      <c r="D945" s="4"/>
      <c r="E945" s="4"/>
      <c r="F945" s="4"/>
    </row>
    <row r="946" customFormat="false" ht="15.75" hidden="false" customHeight="false" outlineLevel="0" collapsed="false">
      <c r="D946" s="4"/>
      <c r="E946" s="4"/>
      <c r="F946" s="4"/>
    </row>
    <row r="947" customFormat="false" ht="15.75" hidden="false" customHeight="false" outlineLevel="0" collapsed="false">
      <c r="D947" s="4"/>
      <c r="E947" s="4"/>
      <c r="F947" s="4"/>
    </row>
    <row r="948" customFormat="false" ht="15.75" hidden="false" customHeight="false" outlineLevel="0" collapsed="false">
      <c r="D948" s="4"/>
      <c r="E948" s="4"/>
      <c r="F948" s="4"/>
    </row>
    <row r="949" customFormat="false" ht="15.75" hidden="false" customHeight="false" outlineLevel="0" collapsed="false">
      <c r="D949" s="4"/>
      <c r="E949" s="4"/>
      <c r="F949" s="4"/>
    </row>
    <row r="950" customFormat="false" ht="15.75" hidden="false" customHeight="false" outlineLevel="0" collapsed="false">
      <c r="D950" s="4"/>
      <c r="E950" s="4"/>
      <c r="F950" s="4"/>
    </row>
    <row r="951" customFormat="false" ht="15.75" hidden="false" customHeight="false" outlineLevel="0" collapsed="false">
      <c r="D951" s="4"/>
      <c r="E951" s="4"/>
      <c r="F951" s="4"/>
    </row>
    <row r="952" customFormat="false" ht="15.75" hidden="false" customHeight="false" outlineLevel="0" collapsed="false">
      <c r="D952" s="4"/>
      <c r="E952" s="4"/>
      <c r="F952" s="4"/>
    </row>
    <row r="953" customFormat="false" ht="15.75" hidden="false" customHeight="false" outlineLevel="0" collapsed="false">
      <c r="D953" s="4"/>
      <c r="E953" s="4"/>
      <c r="F953" s="4"/>
    </row>
    <row r="954" customFormat="false" ht="15.75" hidden="false" customHeight="false" outlineLevel="0" collapsed="false">
      <c r="D954" s="4"/>
      <c r="E954" s="4"/>
      <c r="F954" s="4"/>
    </row>
    <row r="955" customFormat="false" ht="15.75" hidden="false" customHeight="false" outlineLevel="0" collapsed="false">
      <c r="D955" s="4"/>
      <c r="E955" s="4"/>
      <c r="F955" s="4"/>
    </row>
    <row r="956" customFormat="false" ht="15.75" hidden="false" customHeight="false" outlineLevel="0" collapsed="false">
      <c r="D956" s="4"/>
      <c r="E956" s="4"/>
      <c r="F956" s="4"/>
    </row>
    <row r="957" customFormat="false" ht="15.75" hidden="false" customHeight="false" outlineLevel="0" collapsed="false">
      <c r="D957" s="4"/>
      <c r="E957" s="4"/>
      <c r="F957" s="4"/>
    </row>
    <row r="958" customFormat="false" ht="15.75" hidden="false" customHeight="false" outlineLevel="0" collapsed="false">
      <c r="D958" s="4"/>
      <c r="E958" s="4"/>
      <c r="F958" s="4"/>
    </row>
    <row r="959" customFormat="false" ht="15.75" hidden="false" customHeight="false" outlineLevel="0" collapsed="false">
      <c r="D959" s="4"/>
      <c r="E959" s="4"/>
      <c r="F959" s="4"/>
    </row>
    <row r="960" customFormat="false" ht="15.75" hidden="false" customHeight="false" outlineLevel="0" collapsed="false">
      <c r="D960" s="4"/>
      <c r="E960" s="4"/>
      <c r="F960" s="4"/>
    </row>
    <row r="961" customFormat="false" ht="15.75" hidden="false" customHeight="false" outlineLevel="0" collapsed="false">
      <c r="D961" s="4"/>
      <c r="E961" s="4"/>
      <c r="F961" s="4"/>
    </row>
    <row r="962" customFormat="false" ht="15.75" hidden="false" customHeight="false" outlineLevel="0" collapsed="false">
      <c r="D962" s="4"/>
      <c r="E962" s="4"/>
      <c r="F962" s="4"/>
    </row>
    <row r="963" customFormat="false" ht="15.75" hidden="false" customHeight="false" outlineLevel="0" collapsed="false">
      <c r="D963" s="4"/>
      <c r="E963" s="4"/>
      <c r="F963" s="4"/>
    </row>
    <row r="964" customFormat="false" ht="15.75" hidden="false" customHeight="false" outlineLevel="0" collapsed="false">
      <c r="D964" s="4"/>
      <c r="E964" s="4"/>
      <c r="F964" s="4"/>
    </row>
    <row r="965" customFormat="false" ht="15.75" hidden="false" customHeight="false" outlineLevel="0" collapsed="false">
      <c r="D965" s="4"/>
      <c r="E965" s="4"/>
      <c r="F965" s="4"/>
    </row>
    <row r="966" customFormat="false" ht="15.75" hidden="false" customHeight="false" outlineLevel="0" collapsed="false">
      <c r="D966" s="4"/>
      <c r="E966" s="4"/>
      <c r="F966" s="4"/>
    </row>
    <row r="967" customFormat="false" ht="15.75" hidden="false" customHeight="false" outlineLevel="0" collapsed="false">
      <c r="D967" s="4"/>
      <c r="E967" s="4"/>
      <c r="F967" s="4"/>
    </row>
    <row r="968" customFormat="false" ht="15.75" hidden="false" customHeight="false" outlineLevel="0" collapsed="false">
      <c r="D968" s="4"/>
      <c r="E968" s="4"/>
      <c r="F968" s="4"/>
    </row>
    <row r="969" customFormat="false" ht="15.75" hidden="false" customHeight="false" outlineLevel="0" collapsed="false">
      <c r="D969" s="4"/>
      <c r="E969" s="4"/>
      <c r="F969" s="4"/>
    </row>
    <row r="970" customFormat="false" ht="15.75" hidden="false" customHeight="false" outlineLevel="0" collapsed="false">
      <c r="D970" s="4"/>
      <c r="E970" s="4"/>
      <c r="F970" s="4"/>
    </row>
    <row r="971" customFormat="false" ht="15.75" hidden="false" customHeight="false" outlineLevel="0" collapsed="false">
      <c r="D971" s="4"/>
      <c r="E971" s="4"/>
      <c r="F971" s="4"/>
    </row>
    <row r="972" customFormat="false" ht="15.75" hidden="false" customHeight="false" outlineLevel="0" collapsed="false">
      <c r="D972" s="4"/>
      <c r="E972" s="4"/>
      <c r="F972" s="4"/>
    </row>
    <row r="973" customFormat="false" ht="15.75" hidden="false" customHeight="false" outlineLevel="0" collapsed="false">
      <c r="D973" s="4"/>
      <c r="E973" s="4"/>
      <c r="F973" s="4"/>
    </row>
    <row r="974" customFormat="false" ht="15.75" hidden="false" customHeight="false" outlineLevel="0" collapsed="false">
      <c r="D974" s="4"/>
      <c r="E974" s="4"/>
      <c r="F974" s="4"/>
    </row>
    <row r="975" customFormat="false" ht="15.75" hidden="false" customHeight="false" outlineLevel="0" collapsed="false">
      <c r="D975" s="4"/>
      <c r="E975" s="4"/>
      <c r="F975" s="4"/>
    </row>
    <row r="976" customFormat="false" ht="15.75" hidden="false" customHeight="false" outlineLevel="0" collapsed="false">
      <c r="D976" s="4"/>
      <c r="E976" s="4"/>
      <c r="F976" s="4"/>
    </row>
    <row r="977" customFormat="false" ht="15.75" hidden="false" customHeight="false" outlineLevel="0" collapsed="false">
      <c r="D977" s="4"/>
      <c r="E977" s="4"/>
      <c r="F977" s="4"/>
    </row>
    <row r="978" customFormat="false" ht="15.75" hidden="false" customHeight="false" outlineLevel="0" collapsed="false">
      <c r="D978" s="4"/>
      <c r="E978" s="4"/>
      <c r="F978" s="4"/>
    </row>
    <row r="979" customFormat="false" ht="15.75" hidden="false" customHeight="false" outlineLevel="0" collapsed="false">
      <c r="D979" s="4"/>
      <c r="E979" s="4"/>
      <c r="F979" s="4"/>
    </row>
    <row r="980" customFormat="false" ht="15.75" hidden="false" customHeight="false" outlineLevel="0" collapsed="false">
      <c r="D980" s="4"/>
      <c r="E980" s="4"/>
      <c r="F980" s="4"/>
    </row>
    <row r="981" customFormat="false" ht="15.75" hidden="false" customHeight="false" outlineLevel="0" collapsed="false">
      <c r="D981" s="4"/>
      <c r="E981" s="4"/>
      <c r="F981" s="4"/>
    </row>
    <row r="982" customFormat="false" ht="15.75" hidden="false" customHeight="false" outlineLevel="0" collapsed="false">
      <c r="D982" s="4"/>
      <c r="E982" s="4"/>
      <c r="F982" s="4"/>
    </row>
    <row r="983" customFormat="false" ht="15.75" hidden="false" customHeight="false" outlineLevel="0" collapsed="false">
      <c r="D983" s="4"/>
      <c r="E983" s="4"/>
      <c r="F983" s="4"/>
    </row>
  </sheetData>
  <mergeCells count="32"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J4"/>
    <mergeCell ref="AK4:AP4"/>
    <mergeCell ref="AQ4:AV4"/>
    <mergeCell ref="AW4:AW5"/>
    <mergeCell ref="G16:L17"/>
    <mergeCell ref="M16:R17"/>
    <mergeCell ref="S16:X17"/>
    <mergeCell ref="Y16:AD17"/>
    <mergeCell ref="AE16:AJ17"/>
    <mergeCell ref="AK16:AP17"/>
    <mergeCell ref="AQ16:AV17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D24:D25"/>
  </mergeCells>
  <dataValidations count="6">
    <dataValidation allowBlank="true" errorStyle="stop" operator="between" showDropDown="false" showErrorMessage="true" showInputMessage="false" sqref="B26:B40" type="list">
      <formula1>'16 Серия'!$B$6:$B$15</formula1>
      <formula2>0</formula2>
    </dataValidation>
    <dataValidation allowBlank="true" errorStyle="stop" operator="between" showDropDown="false" showErrorMessage="true" showInputMessage="false" sqref="C26:C40" type="list">
      <formula1>"Удаление,Желтая карточка,Красная карточка,ППК,Опоздание,Дисциплинарный"</formula1>
      <formula2>0</formula2>
    </dataValidation>
    <dataValidation allowBlank="true" errorStyle="stop" operator="between" showDropDown="false" showErrorMessage="true" showInputMessage="false" sqref="G18 M18 S18 Y18 AE18 AK18 AQ18" type="list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  <formula2>0</formula2>
    </dataValidation>
    <dataValidation allowBlank="true" errorStyle="stop" operator="between" showDropDown="false" showErrorMessage="true" showInputMessage="false" sqref="H6:H15 N6:N15 T6:T15 Z6:Z15 AF6:AF15 AL6:AL15 AR6:AR15" type="list">
      <formula1>"2,50"</formula1>
      <formula2>0</formula2>
    </dataValidation>
    <dataValidation allowBlank="true" errorStyle="stop" operator="between" showDropDown="false" showErrorMessage="true" showInputMessage="false" sqref="J6:J15 P6:P15 V6:V15 AB6:AB15 AH6:AH15 AN6:AN15 AT6:AT15" type="list">
      <formula1>"У/Победа,У/Проигрыш,ПУ"</formula1>
      <formula2>0</formula2>
    </dataValidation>
    <dataValidation allowBlank="true" errorStyle="stop" operator="between" showDropDown="false" showErrorMessage="true" showInputMessage="false" sqref="G6:G15 M6:M15 S6:S15 Y6:Y15 AE6:AE15 AK6:AK15 AQ6:AQ15" type="list">
      <formula1>"Мирный,Шериф,Мафия,Дон"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8.88"/>
    <col collapsed="false" customWidth="true" hidden="false" outlineLevel="0" max="3" min="3" style="0" width="15"/>
    <col collapsed="false" customWidth="true" hidden="false" outlineLevel="0" max="7" min="7" style="0" width="10.51"/>
    <col collapsed="false" customWidth="true" hidden="false" outlineLevel="0" max="8" min="8" style="0" width="14.88"/>
    <col collapsed="false" customWidth="true" hidden="false" outlineLevel="0" max="9" min="9" style="0" width="16.12"/>
  </cols>
  <sheetData>
    <row r="1" customFormat="false" ht="20.25" hidden="false" customHeight="true" outlineLevel="0" collapsed="false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</row>
    <row r="2" customFormat="false" ht="27.75" hidden="false" customHeight="true" outlineLevel="0" collapsed="false">
      <c r="A2" s="158" t="s">
        <v>249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</row>
    <row r="3" customFormat="false" ht="18.75" hidden="false" customHeight="true" outlineLevel="0" collapsed="false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59"/>
      <c r="Z3" s="159"/>
      <c r="AA3" s="159"/>
      <c r="AB3" s="4"/>
      <c r="AC3" s="4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</row>
    <row r="4" customFormat="false" ht="44.25" hidden="false" customHeight="true" outlineLevel="0" collapsed="false">
      <c r="A4" s="160" t="s">
        <v>1</v>
      </c>
      <c r="B4" s="161" t="s">
        <v>95</v>
      </c>
      <c r="C4" s="160" t="s">
        <v>3</v>
      </c>
      <c r="D4" s="160" t="s">
        <v>250</v>
      </c>
      <c r="E4" s="162"/>
      <c r="F4" s="162"/>
      <c r="G4" s="163" t="s">
        <v>251</v>
      </c>
      <c r="H4" s="164"/>
      <c r="I4" s="164"/>
      <c r="J4" s="165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</row>
    <row r="5" customFormat="false" ht="15.75" hidden="false" customHeight="false" outlineLevel="0" collapsed="false">
      <c r="A5" s="166" t="n">
        <v>1</v>
      </c>
      <c r="B5" s="167" t="str">
        <f aca="false">Лист3!A3</f>
        <v>Coach</v>
      </c>
      <c r="C5" s="167" t="n">
        <f aca="false">Лист3!B3</f>
        <v>42.25</v>
      </c>
      <c r="D5" s="168" t="n">
        <v>1</v>
      </c>
      <c r="G5" s="160" t="s">
        <v>1</v>
      </c>
      <c r="H5" s="161" t="s">
        <v>95</v>
      </c>
      <c r="I5" s="160" t="s">
        <v>3</v>
      </c>
      <c r="J5" s="160" t="s">
        <v>250</v>
      </c>
    </row>
    <row r="6" customFormat="false" ht="15.75" hidden="false" customHeight="false" outlineLevel="0" collapsed="false">
      <c r="A6" s="169" t="n">
        <v>2</v>
      </c>
      <c r="B6" s="170" t="str">
        <f aca="false">Лист3!D3</f>
        <v>Дракарис</v>
      </c>
      <c r="C6" s="170" t="n">
        <f aca="false">Лист3!E3</f>
        <v>34.75</v>
      </c>
      <c r="D6" s="171" t="n">
        <v>2</v>
      </c>
      <c r="G6" s="172" t="n">
        <v>1</v>
      </c>
      <c r="H6" s="173" t="e">
        <f aca="false" t="array" ref="H6:J21">sort(Лист3!AX3:AZ18,2,FALSE())</f>
        <v>#NAME?</v>
      </c>
      <c r="I6" s="174" t="e">
        <v>#NAME?</v>
      </c>
      <c r="J6" s="175" t="e">
        <v>#NAME?</v>
      </c>
    </row>
    <row r="7" customFormat="false" ht="15.75" hidden="false" customHeight="false" outlineLevel="0" collapsed="false">
      <c r="A7" s="166" t="n">
        <v>3</v>
      </c>
      <c r="B7" s="167" t="str">
        <f aca="false">Лист3!G3</f>
        <v>Админ</v>
      </c>
      <c r="C7" s="167" t="n">
        <f aca="false">Лист3!H3</f>
        <v>34.5</v>
      </c>
      <c r="D7" s="168" t="n">
        <v>3</v>
      </c>
      <c r="G7" s="172" t="n">
        <v>2</v>
      </c>
      <c r="H7" s="173" t="e">
        <v>#NAME?</v>
      </c>
      <c r="I7" s="174" t="e">
        <v>#NAME?</v>
      </c>
      <c r="J7" s="175" t="e">
        <v>#NAME?</v>
      </c>
    </row>
    <row r="8" customFormat="false" ht="15.75" hidden="false" customHeight="false" outlineLevel="0" collapsed="false">
      <c r="A8" s="169" t="n">
        <v>4</v>
      </c>
      <c r="B8" s="170" t="str">
        <f aca="false">Лист3!J3</f>
        <v>Cristo</v>
      </c>
      <c r="C8" s="170" t="str">
        <f aca="false">IF(Лист3!K$3,"0"," ")</f>
        <v>0</v>
      </c>
      <c r="D8" s="171" t="n">
        <v>4</v>
      </c>
      <c r="G8" s="172" t="n">
        <v>3</v>
      </c>
      <c r="H8" s="174" t="e">
        <v>#NAME?</v>
      </c>
      <c r="I8" s="174" t="e">
        <v>#NAME?</v>
      </c>
      <c r="J8" s="176" t="e">
        <v>#NAME?</v>
      </c>
    </row>
    <row r="9" customFormat="false" ht="15.75" hidden="false" customHeight="false" outlineLevel="0" collapsed="false">
      <c r="A9" s="166" t="n">
        <v>5</v>
      </c>
      <c r="B9" s="167"/>
      <c r="C9" s="167" t="str">
        <f aca="false">IF(Лист3!N$3,"0"," ")</f>
        <v>0</v>
      </c>
      <c r="D9" s="168" t="n">
        <v>5</v>
      </c>
      <c r="G9" s="177" t="n">
        <v>4</v>
      </c>
      <c r="H9" s="178" t="e">
        <v>#NAME?</v>
      </c>
      <c r="I9" s="179" t="e">
        <v>#NAME?</v>
      </c>
      <c r="J9" s="180" t="e">
        <v>#NAME?</v>
      </c>
    </row>
    <row r="10" customFormat="false" ht="15.75" hidden="false" customHeight="false" outlineLevel="0" collapsed="false">
      <c r="A10" s="169" t="n">
        <v>6</v>
      </c>
      <c r="B10" s="170"/>
      <c r="C10" s="170" t="str">
        <f aca="false">IF(Лист3!Q$3,"0"," ")</f>
        <v>0</v>
      </c>
      <c r="D10" s="171" t="n">
        <v>6</v>
      </c>
      <c r="G10" s="181" t="n">
        <v>5</v>
      </c>
      <c r="H10" s="173" t="e">
        <v>#NAME?</v>
      </c>
      <c r="I10" s="174" t="e">
        <v>#NAME?</v>
      </c>
      <c r="J10" s="175" t="e">
        <v>#NAME?</v>
      </c>
    </row>
    <row r="11" customFormat="false" ht="15.75" hidden="false" customHeight="false" outlineLevel="0" collapsed="false">
      <c r="A11" s="166" t="n">
        <v>7</v>
      </c>
      <c r="B11" s="167"/>
      <c r="C11" s="167" t="str">
        <f aca="false">IF(Лист3!T$3,"0"," ")</f>
        <v>0</v>
      </c>
      <c r="D11" s="168" t="n">
        <v>7</v>
      </c>
      <c r="G11" s="181" t="n">
        <v>6</v>
      </c>
      <c r="H11" s="173" t="e">
        <v>#NAME?</v>
      </c>
      <c r="I11" s="174" t="e">
        <v>#NAME?</v>
      </c>
      <c r="J11" s="176" t="e">
        <v>#NAME?</v>
      </c>
    </row>
    <row r="12" customFormat="false" ht="15.75" hidden="false" customHeight="false" outlineLevel="0" collapsed="false">
      <c r="A12" s="169" t="n">
        <v>8</v>
      </c>
      <c r="B12" s="170"/>
      <c r="C12" s="170" t="str">
        <f aca="false">IF(Лист3!W$3,"0"," ")</f>
        <v>0</v>
      </c>
      <c r="D12" s="171" t="n">
        <v>8</v>
      </c>
      <c r="G12" s="181" t="n">
        <v>7</v>
      </c>
      <c r="H12" s="173" t="e">
        <v>#NAME?</v>
      </c>
      <c r="I12" s="174" t="e">
        <v>#NAME?</v>
      </c>
      <c r="J12" s="175" t="e">
        <v>#NAME?</v>
      </c>
    </row>
    <row r="13" customFormat="false" ht="15.75" hidden="false" customHeight="false" outlineLevel="0" collapsed="false">
      <c r="A13" s="166" t="n">
        <v>9</v>
      </c>
      <c r="B13" s="167"/>
      <c r="C13" s="167" t="str">
        <f aca="false">IF(Лист3!Z$3,"0"," ")</f>
        <v>0</v>
      </c>
      <c r="D13" s="168" t="n">
        <v>9</v>
      </c>
      <c r="G13" s="181" t="n">
        <v>8</v>
      </c>
      <c r="H13" s="173" t="e">
        <v>#NAME?</v>
      </c>
      <c r="I13" s="174" t="e">
        <v>#NAME?</v>
      </c>
      <c r="J13" s="175" t="e">
        <v>#NAME?</v>
      </c>
    </row>
    <row r="14" customFormat="false" ht="15.75" hidden="false" customHeight="false" outlineLevel="0" collapsed="false">
      <c r="A14" s="169" t="n">
        <v>10</v>
      </c>
      <c r="B14" s="170"/>
      <c r="C14" s="170" t="str">
        <f aca="false">IF(Лист3!AC$3,"0"," ")</f>
        <v>0</v>
      </c>
      <c r="D14" s="171" t="n">
        <v>10</v>
      </c>
      <c r="G14" s="181" t="n">
        <v>9</v>
      </c>
      <c r="H14" s="173" t="e">
        <v>#NAME?</v>
      </c>
      <c r="I14" s="174" t="e">
        <v>#NAME?</v>
      </c>
      <c r="J14" s="176" t="e">
        <v>#NAME?</v>
      </c>
    </row>
    <row r="15" customFormat="false" ht="15.75" hidden="false" customHeight="false" outlineLevel="0" collapsed="false">
      <c r="A15" s="166" t="n">
        <v>11</v>
      </c>
      <c r="B15" s="167"/>
      <c r="C15" s="167" t="str">
        <f aca="false">IF(Лист3!AF$3,"0"," ")</f>
        <v>0</v>
      </c>
      <c r="D15" s="168" t="n">
        <v>11</v>
      </c>
      <c r="G15" s="181" t="n">
        <v>10</v>
      </c>
      <c r="H15" s="173" t="e">
        <v>#NAME?</v>
      </c>
      <c r="I15" s="174" t="e">
        <v>#NAME?</v>
      </c>
      <c r="J15" s="175" t="e">
        <v>#NAME?</v>
      </c>
    </row>
    <row r="16" customFormat="false" ht="15.75" hidden="false" customHeight="false" outlineLevel="0" collapsed="false">
      <c r="A16" s="169" t="n">
        <v>12</v>
      </c>
      <c r="B16" s="170"/>
      <c r="C16" s="170" t="str">
        <f aca="false">IF(Лист3!AI$3,"0"," ")</f>
        <v>0</v>
      </c>
      <c r="D16" s="171" t="n">
        <v>12</v>
      </c>
      <c r="G16" s="181" t="n">
        <v>11</v>
      </c>
      <c r="H16" s="173" t="e">
        <v>#NAME?</v>
      </c>
      <c r="I16" s="174" t="e">
        <v>#NAME?</v>
      </c>
      <c r="J16" s="176" t="e">
        <v>#NAME?</v>
      </c>
    </row>
    <row r="17" customFormat="false" ht="15.75" hidden="false" customHeight="false" outlineLevel="0" collapsed="false">
      <c r="A17" s="166" t="n">
        <v>13</v>
      </c>
      <c r="B17" s="167"/>
      <c r="C17" s="167" t="str">
        <f aca="false">IF(Лист3!AL$3,"0"," ")</f>
        <v>0</v>
      </c>
      <c r="D17" s="168" t="n">
        <v>13</v>
      </c>
      <c r="G17" s="181" t="n">
        <v>12</v>
      </c>
      <c r="H17" s="173" t="e">
        <v>#NAME?</v>
      </c>
      <c r="I17" s="174" t="e">
        <v>#NAME?</v>
      </c>
      <c r="J17" s="175" t="e">
        <v>#NAME?</v>
      </c>
    </row>
    <row r="18" customFormat="false" ht="15.75" hidden="false" customHeight="false" outlineLevel="0" collapsed="false">
      <c r="A18" s="169" t="n">
        <v>14</v>
      </c>
      <c r="B18" s="170"/>
      <c r="C18" s="170" t="str">
        <f aca="false">IF(Лист3!AO$3,"0"," ")</f>
        <v>0</v>
      </c>
      <c r="D18" s="171" t="n">
        <v>14</v>
      </c>
      <c r="G18" s="181" t="n">
        <v>13</v>
      </c>
      <c r="H18" s="173" t="e">
        <v>#NAME?</v>
      </c>
      <c r="I18" s="174" t="e">
        <v>#NAME?</v>
      </c>
      <c r="J18" s="175" t="e">
        <v>#NAME?</v>
      </c>
    </row>
    <row r="19" customFormat="false" ht="15.75" hidden="false" customHeight="false" outlineLevel="0" collapsed="false">
      <c r="A19" s="166" t="n">
        <v>15</v>
      </c>
      <c r="B19" s="167"/>
      <c r="C19" s="167" t="str">
        <f aca="false">IF(Лист3!AR$3,"0"," ")</f>
        <v>0</v>
      </c>
      <c r="D19" s="168" t="n">
        <v>15</v>
      </c>
      <c r="G19" s="181" t="n">
        <v>14</v>
      </c>
      <c r="H19" s="173" t="e">
        <v>#NAME?</v>
      </c>
      <c r="I19" s="174" t="e">
        <v>#NAME?</v>
      </c>
      <c r="J19" s="176" t="e">
        <v>#NAME?</v>
      </c>
    </row>
    <row r="20" customFormat="false" ht="15.75" hidden="false" customHeight="false" outlineLevel="0" collapsed="false">
      <c r="A20" s="169" t="n">
        <v>16</v>
      </c>
      <c r="B20" s="170"/>
      <c r="C20" s="170" t="str">
        <f aca="false">IF(Лист3!AU$3,"0"," ")</f>
        <v>0</v>
      </c>
      <c r="D20" s="171" t="n">
        <v>16</v>
      </c>
      <c r="G20" s="181" t="n">
        <v>15</v>
      </c>
      <c r="H20" s="173" t="e">
        <v>#NAME?</v>
      </c>
      <c r="I20" s="174" t="e">
        <v>#NAME?</v>
      </c>
      <c r="J20" s="175" t="e">
        <v>#NAME?</v>
      </c>
    </row>
    <row r="21" customFormat="false" ht="15.75" hidden="false" customHeight="false" outlineLevel="0" collapsed="false">
      <c r="A21" s="182" t="n">
        <v>17</v>
      </c>
      <c r="B21" s="183" t="e">
        <f aca="false">H6</f>
        <v>#NAME?</v>
      </c>
      <c r="C21" s="183" t="e">
        <f aca="false">I6</f>
        <v>#NAME?</v>
      </c>
      <c r="D21" s="184" t="e">
        <f aca="false">J6</f>
        <v>#NAME?</v>
      </c>
      <c r="G21" s="185" t="n">
        <v>16</v>
      </c>
      <c r="H21" s="186" t="e">
        <v>#NAME?</v>
      </c>
      <c r="I21" s="187" t="e">
        <v>#NAME?</v>
      </c>
      <c r="J21" s="188" t="e">
        <v>#NAME?</v>
      </c>
    </row>
    <row r="22" customFormat="false" ht="15.75" hidden="false" customHeight="false" outlineLevel="0" collapsed="false">
      <c r="A22" s="182" t="n">
        <v>18</v>
      </c>
      <c r="B22" s="189"/>
      <c r="C22" s="189"/>
      <c r="D22" s="171"/>
    </row>
    <row r="23" customFormat="false" ht="15.75" hidden="false" customHeight="false" outlineLevel="0" collapsed="false">
      <c r="A23" s="182" t="n">
        <v>19</v>
      </c>
      <c r="B23" s="167"/>
      <c r="C23" s="167"/>
      <c r="D23" s="168"/>
    </row>
    <row r="24" customFormat="false" ht="15.75" hidden="false" customHeight="false" outlineLevel="0" collapsed="false">
      <c r="A24" s="190" t="n">
        <v>20</v>
      </c>
      <c r="B24" s="191"/>
      <c r="C24" s="191"/>
      <c r="D24" s="192"/>
    </row>
    <row r="27" customFormat="false" ht="15.75" hidden="false" customHeight="false" outlineLevel="0" collapsed="false">
      <c r="A27" s="19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38"/>
    <col collapsed="false" customWidth="true" hidden="false" outlineLevel="0" max="3" min="2" style="0" width="20.13"/>
    <col collapsed="false" customWidth="true" hidden="false" outlineLevel="0" max="4" min="4" style="0" width="15.38"/>
    <col collapsed="false" customWidth="true" hidden="false" outlineLevel="0" max="6" min="5" style="0" width="20.13"/>
    <col collapsed="false" customWidth="true" hidden="false" outlineLevel="0" max="7" min="7" style="0" width="15.38"/>
    <col collapsed="false" customWidth="true" hidden="false" outlineLevel="0" max="9" min="8" style="0" width="20.13"/>
    <col collapsed="false" customWidth="true" hidden="false" outlineLevel="0" max="10" min="10" style="0" width="15.38"/>
    <col collapsed="false" customWidth="true" hidden="false" outlineLevel="0" max="12" min="11" style="0" width="20.13"/>
    <col collapsed="false" customWidth="true" hidden="false" outlineLevel="0" max="13" min="13" style="0" width="15.38"/>
    <col collapsed="false" customWidth="true" hidden="false" outlineLevel="0" max="15" min="14" style="0" width="20.13"/>
    <col collapsed="false" customWidth="true" hidden="false" outlineLevel="0" max="16" min="16" style="0" width="15.38"/>
    <col collapsed="false" customWidth="true" hidden="false" outlineLevel="0" max="18" min="17" style="0" width="20.13"/>
    <col collapsed="false" customWidth="true" hidden="false" outlineLevel="0" max="19" min="19" style="0" width="15.38"/>
    <col collapsed="false" customWidth="true" hidden="false" outlineLevel="0" max="21" min="20" style="0" width="20.13"/>
    <col collapsed="false" customWidth="true" hidden="false" outlineLevel="0" max="22" min="22" style="0" width="15.38"/>
    <col collapsed="false" customWidth="true" hidden="false" outlineLevel="0" max="24" min="23" style="0" width="20.13"/>
    <col collapsed="false" customWidth="true" hidden="false" outlineLevel="0" max="25" min="25" style="0" width="15.38"/>
    <col collapsed="false" customWidth="true" hidden="false" outlineLevel="0" max="27" min="26" style="0" width="20.13"/>
    <col collapsed="false" customWidth="true" hidden="false" outlineLevel="0" max="28" min="28" style="0" width="15.38"/>
    <col collapsed="false" customWidth="true" hidden="false" outlineLevel="0" max="30" min="29" style="0" width="20.13"/>
    <col collapsed="false" customWidth="true" hidden="false" outlineLevel="0" max="31" min="31" style="0" width="15.38"/>
    <col collapsed="false" customWidth="true" hidden="false" outlineLevel="0" max="33" min="32" style="0" width="20.13"/>
    <col collapsed="false" customWidth="true" hidden="false" outlineLevel="0" max="34" min="34" style="0" width="15.38"/>
    <col collapsed="false" customWidth="true" hidden="false" outlineLevel="0" max="36" min="35" style="0" width="20.13"/>
    <col collapsed="false" customWidth="true" hidden="false" outlineLevel="0" max="37" min="37" style="0" width="15.38"/>
    <col collapsed="false" customWidth="true" hidden="false" outlineLevel="0" max="39" min="38" style="0" width="20.13"/>
    <col collapsed="false" customWidth="true" hidden="false" outlineLevel="0" max="40" min="40" style="0" width="15.38"/>
    <col collapsed="false" customWidth="true" hidden="false" outlineLevel="0" max="42" min="41" style="0" width="20.13"/>
    <col collapsed="false" customWidth="true" hidden="false" outlineLevel="0" max="43" min="43" style="0" width="15.38"/>
    <col collapsed="false" customWidth="true" hidden="false" outlineLevel="0" max="45" min="44" style="0" width="20.13"/>
    <col collapsed="false" customWidth="true" hidden="false" outlineLevel="0" max="46" min="46" style="0" width="15.38"/>
    <col collapsed="false" customWidth="true" hidden="false" outlineLevel="0" max="53" min="47" style="0" width="20.13"/>
  </cols>
  <sheetData>
    <row r="1" customFormat="false" ht="15.75" hidden="false" customHeight="false" outlineLevel="0" collapsed="false">
      <c r="A1" s="194" t="s">
        <v>252</v>
      </c>
      <c r="B1" s="195"/>
      <c r="C1" s="195"/>
      <c r="D1" s="194" t="s">
        <v>253</v>
      </c>
      <c r="E1" s="195"/>
      <c r="F1" s="195"/>
      <c r="G1" s="194" t="s">
        <v>254</v>
      </c>
      <c r="H1" s="195"/>
      <c r="I1" s="195"/>
      <c r="J1" s="194" t="s">
        <v>255</v>
      </c>
      <c r="K1" s="195"/>
      <c r="L1" s="195"/>
      <c r="M1" s="194" t="s">
        <v>256</v>
      </c>
      <c r="N1" s="195"/>
      <c r="O1" s="195"/>
      <c r="P1" s="194" t="s">
        <v>257</v>
      </c>
      <c r="Q1" s="195"/>
      <c r="R1" s="195"/>
      <c r="S1" s="194" t="s">
        <v>258</v>
      </c>
      <c r="T1" s="195"/>
      <c r="U1" s="195"/>
      <c r="V1" s="194" t="s">
        <v>259</v>
      </c>
      <c r="W1" s="195"/>
      <c r="X1" s="195"/>
      <c r="Y1" s="194" t="s">
        <v>260</v>
      </c>
      <c r="Z1" s="195"/>
      <c r="AA1" s="195"/>
      <c r="AB1" s="194" t="s">
        <v>261</v>
      </c>
      <c r="AC1" s="195"/>
      <c r="AD1" s="195"/>
      <c r="AE1" s="194" t="s">
        <v>262</v>
      </c>
      <c r="AF1" s="195"/>
      <c r="AG1" s="195"/>
      <c r="AH1" s="194" t="s">
        <v>263</v>
      </c>
      <c r="AI1" s="195"/>
      <c r="AJ1" s="195"/>
      <c r="AK1" s="194" t="s">
        <v>264</v>
      </c>
      <c r="AL1" s="195"/>
      <c r="AM1" s="195"/>
      <c r="AN1" s="194" t="s">
        <v>265</v>
      </c>
      <c r="AO1" s="195"/>
      <c r="AP1" s="195"/>
      <c r="AQ1" s="194" t="s">
        <v>266</v>
      </c>
      <c r="AR1" s="195"/>
      <c r="AS1" s="195"/>
      <c r="AT1" s="194" t="s">
        <v>267</v>
      </c>
      <c r="AU1" s="195"/>
      <c r="AV1" s="195"/>
      <c r="AW1" s="173"/>
      <c r="AX1" s="196" t="s">
        <v>268</v>
      </c>
      <c r="AY1" s="173"/>
      <c r="AZ1" s="173"/>
      <c r="BA1" s="173"/>
    </row>
    <row r="2" customFormat="false" ht="15.75" hidden="false" customHeight="false" outlineLevel="0" collapsed="false">
      <c r="A2" s="197" t="s">
        <v>2</v>
      </c>
      <c r="B2" s="198" t="s">
        <v>3</v>
      </c>
      <c r="C2" s="198"/>
      <c r="D2" s="197" t="s">
        <v>2</v>
      </c>
      <c r="E2" s="198" t="s">
        <v>3</v>
      </c>
      <c r="F2" s="198"/>
      <c r="G2" s="197" t="s">
        <v>2</v>
      </c>
      <c r="H2" s="198" t="s">
        <v>3</v>
      </c>
      <c r="I2" s="198"/>
      <c r="J2" s="197" t="s">
        <v>2</v>
      </c>
      <c r="K2" s="198" t="s">
        <v>3</v>
      </c>
      <c r="L2" s="198"/>
      <c r="M2" s="197" t="s">
        <v>2</v>
      </c>
      <c r="N2" s="198" t="s">
        <v>3</v>
      </c>
      <c r="O2" s="198"/>
      <c r="P2" s="197" t="s">
        <v>2</v>
      </c>
      <c r="Q2" s="198" t="s">
        <v>3</v>
      </c>
      <c r="R2" s="198"/>
      <c r="S2" s="197" t="s">
        <v>2</v>
      </c>
      <c r="T2" s="198" t="s">
        <v>3</v>
      </c>
      <c r="U2" s="198"/>
      <c r="V2" s="197" t="s">
        <v>2</v>
      </c>
      <c r="W2" s="198" t="s">
        <v>3</v>
      </c>
      <c r="X2" s="198"/>
      <c r="Y2" s="197" t="s">
        <v>2</v>
      </c>
      <c r="Z2" s="198" t="s">
        <v>3</v>
      </c>
      <c r="AA2" s="198"/>
      <c r="AB2" s="197" t="s">
        <v>2</v>
      </c>
      <c r="AC2" s="198" t="s">
        <v>3</v>
      </c>
      <c r="AD2" s="198"/>
      <c r="AE2" s="197" t="s">
        <v>2</v>
      </c>
      <c r="AF2" s="198" t="s">
        <v>3</v>
      </c>
      <c r="AG2" s="198"/>
      <c r="AH2" s="197" t="s">
        <v>2</v>
      </c>
      <c r="AI2" s="198" t="s">
        <v>3</v>
      </c>
      <c r="AJ2" s="198"/>
      <c r="AK2" s="197" t="s">
        <v>2</v>
      </c>
      <c r="AL2" s="198" t="s">
        <v>3</v>
      </c>
      <c r="AM2" s="198"/>
      <c r="AN2" s="197" t="s">
        <v>2</v>
      </c>
      <c r="AO2" s="198" t="s">
        <v>3</v>
      </c>
      <c r="AP2" s="198"/>
      <c r="AQ2" s="197" t="s">
        <v>2</v>
      </c>
      <c r="AR2" s="198" t="s">
        <v>3</v>
      </c>
      <c r="AS2" s="198"/>
      <c r="AT2" s="197" t="s">
        <v>2</v>
      </c>
      <c r="AU2" s="198" t="s">
        <v>3</v>
      </c>
      <c r="AV2" s="199"/>
      <c r="AW2" s="200"/>
      <c r="AX2" s="201" t="s">
        <v>2</v>
      </c>
      <c r="AY2" s="202" t="s">
        <v>3</v>
      </c>
      <c r="AZ2" s="203" t="s">
        <v>250</v>
      </c>
      <c r="BA2" s="199"/>
    </row>
    <row r="3" customFormat="false" ht="15.75" hidden="false" customHeight="false" outlineLevel="0" collapsed="false">
      <c r="A3" s="78" t="str">
        <f aca="false">IFERROR(__xludf.dummyfunction("QUERY('1 Серия'!$B$6:$F$15,""select B,C,F ORDER by C desc, F desc"")"),"Coach")</f>
        <v>Coach</v>
      </c>
      <c r="B3" s="78" t="n">
        <f aca="false">IFERROR(__xludf.dummyfunction("""COMPUTED_VALUE"""),42.25)</f>
        <v>42.25</v>
      </c>
      <c r="C3" s="78" t="n">
        <f aca="false">IFERROR(__xludf.dummyfunction("""COMPUTED_VALUE"""),24.75)</f>
        <v>24.75</v>
      </c>
      <c r="D3" s="78" t="str">
        <f aca="false">IFERROR(__xludf.dummyfunction("QUERY('2 Серия'!$B$6:$F$15,""select B,C,F ORDER by C desc, F desc"")"),"Дракарис")</f>
        <v>Дракарис</v>
      </c>
      <c r="E3" s="78" t="n">
        <f aca="false">IFERROR(__xludf.dummyfunction("""COMPUTED_VALUE"""),34.75)</f>
        <v>34.75</v>
      </c>
      <c r="F3" s="78" t="n">
        <f aca="false">IFERROR(__xludf.dummyfunction("""COMPUTED_VALUE"""),22.25)</f>
        <v>22.25</v>
      </c>
      <c r="G3" s="78" t="str">
        <f aca="false">IFERROR(__xludf.dummyfunction("QUERY('3 Серия'!$B$6:$F$15,""select B,C,F ORDER by C desc, F desc"")"),"Админ")</f>
        <v>Админ</v>
      </c>
      <c r="H3" s="78" t="n">
        <f aca="false">IFERROR(__xludf.dummyfunction("""COMPUTED_VALUE"""),34.5)</f>
        <v>34.5</v>
      </c>
      <c r="I3" s="78" t="n">
        <f aca="false">IFERROR(__xludf.dummyfunction("""COMPUTED_VALUE"""),22)</f>
        <v>22</v>
      </c>
      <c r="J3" s="78" t="str">
        <f aca="false">IFERROR(__xludf.dummyfunction("QUERY('4 Серия'!$B$6:$F$15,""select B,C, F ORDER by C desc, F desc"")"),"Cristo")</f>
        <v>Cristo</v>
      </c>
      <c r="K3" s="78" t="n">
        <f aca="false">IFERROR(__xludf.dummyfunction("""COMPUTED_VALUE"""),37)</f>
        <v>37</v>
      </c>
      <c r="L3" s="78" t="n">
        <f aca="false">IFERROR(__xludf.dummyfunction("""COMPUTED_VALUE"""),22)</f>
        <v>22</v>
      </c>
      <c r="M3" s="78" t="str">
        <f aca="false">IFERROR(__xludf.dummyfunction("QUERY('5 Серия'!$B$6:$F$15,""select B,C,F ORDER by C desc, F desc"")"),"NME")</f>
        <v>NME</v>
      </c>
      <c r="N3" s="78" t="n">
        <f aca="false">IFERROR(__xludf.dummyfunction("""COMPUTED_VALUE"""),33)</f>
        <v>33</v>
      </c>
      <c r="O3" s="78" t="n">
        <f aca="false">IFERROR(__xludf.dummyfunction("""COMPUTED_VALUE"""),23)</f>
        <v>23</v>
      </c>
      <c r="P3" s="78" t="str">
        <f aca="false">IFERROR(__xludf.dummyfunction("QUERY('6 Серия'!$B$6:$F$15,""select B,C,F ORDER by C desc, F desc"")"),"Still Rise ")</f>
        <v>Still Rise </v>
      </c>
      <c r="Q3" s="78" t="n">
        <f aca="false">IFERROR(__xludf.dummyfunction("""COMPUTED_VALUE"""),33.25)</f>
        <v>33.25</v>
      </c>
      <c r="R3" s="78" t="n">
        <f aca="false">IFERROR(__xludf.dummyfunction("""COMPUTED_VALUE"""),20.75)</f>
        <v>20.75</v>
      </c>
      <c r="S3" s="77" t="str">
        <f aca="false">IFERROR(__xludf.dummyfunction("QUERY('7 Серия'!$B$6:$F$15,""select B,C,F ORDER by C desc, F desc"")"),"Чешир")</f>
        <v>Чешир</v>
      </c>
      <c r="T3" s="78" t="n">
        <f aca="false">IFERROR(__xludf.dummyfunction("""COMPUTED_VALUE"""),35.5)</f>
        <v>35.5</v>
      </c>
      <c r="U3" s="78" t="n">
        <f aca="false">IFERROR(__xludf.dummyfunction("""COMPUTED_VALUE"""),23)</f>
        <v>23</v>
      </c>
      <c r="V3" s="78" t="str">
        <f aca="false">IFERROR(__xludf.dummyfunction("QUERY('8 Серия'!$B$6:$F$15,""select B,C,F ORDER by C desc, F desc"")"),"Зверюга")</f>
        <v>Зверюга</v>
      </c>
      <c r="W3" s="78" t="n">
        <f aca="false">IFERROR(__xludf.dummyfunction("""COMPUTED_VALUE"""),38.25)</f>
        <v>38.25</v>
      </c>
      <c r="X3" s="78" t="n">
        <f aca="false">IFERROR(__xludf.dummyfunction("""COMPUTED_VALUE"""),25.75)</f>
        <v>25.75</v>
      </c>
      <c r="Y3" s="78" t="str">
        <f aca="false">IFERROR(__xludf.dummyfunction("QUERY('9 Серия'!$B$6:$F$15,""select B,C,F ORDER by C desc, F desc"")"),"Наполеон")</f>
        <v>Наполеон</v>
      </c>
      <c r="Z3" s="78" t="n">
        <f aca="false">IFERROR(__xludf.dummyfunction("""COMPUTED_VALUE"""),36.75)</f>
        <v>36.75</v>
      </c>
      <c r="AA3" s="78" t="n">
        <f aca="false">IFERROR(__xludf.dummyfunction("""COMPUTED_VALUE"""),24.25)</f>
        <v>24.25</v>
      </c>
      <c r="AB3" s="78" t="str">
        <f aca="false">IFERROR(__xludf.dummyfunction("QUERY('10 Серия'!$B$6:$F$15,""select B,C,F ORDER by C desc, F desc"")"),"Армен 24")</f>
        <v>Армен 24</v>
      </c>
      <c r="AC3" s="78" t="n">
        <f aca="false">IFERROR(__xludf.dummyfunction("""COMPUTED_VALUE"""),32)</f>
        <v>32</v>
      </c>
      <c r="AD3" s="78" t="n">
        <f aca="false">IFERROR(__xludf.dummyfunction("""COMPUTED_VALUE"""),22)</f>
        <v>22</v>
      </c>
      <c r="AE3" s="78" t="str">
        <f aca="false">IFERROR(__xludf.dummyfunction("QUERY('11 Серия'!$B$6:$F$15,""select B,C,F ORDER by C desc, F desc"")"),"Армен 24")</f>
        <v>Армен 24</v>
      </c>
      <c r="AF3" s="78" t="n">
        <f aca="false">IFERROR(__xludf.dummyfunction("""COMPUTED_VALUE"""),37.25)</f>
        <v>37.25</v>
      </c>
      <c r="AG3" s="78" t="n">
        <f aca="false">IFERROR(__xludf.dummyfunction("""COMPUTED_VALUE"""),27.25)</f>
        <v>27.25</v>
      </c>
      <c r="AH3" s="78" t="str">
        <f aca="false">IFERROR(__xludf.dummyfunction("QUERY('12 Серия'!$B$6:$F$15,""select B,C,F ORDER by C desc, F desc"")"),"Махинатор")</f>
        <v>Махинатор</v>
      </c>
      <c r="AI3" s="78" t="n">
        <f aca="false">IFERROR(__xludf.dummyfunction("""COMPUTED_VALUE"""),41.75)</f>
        <v>41.75</v>
      </c>
      <c r="AJ3" s="78" t="n">
        <f aca="false">IFERROR(__xludf.dummyfunction("""COMPUTED_VALUE"""),24.25)</f>
        <v>24.25</v>
      </c>
      <c r="AK3" s="78" t="str">
        <f aca="false">IFERROR(__xludf.dummyfunction("QUERY('13 Серия'!$B$6:$F$15,""select B,C,F ORDER by C desc, F desc"")"),"Арс")</f>
        <v>Арс</v>
      </c>
      <c r="AL3" s="78" t="n">
        <f aca="false">IFERROR(__xludf.dummyfunction("""COMPUTED_VALUE"""),30.5)</f>
        <v>30.5</v>
      </c>
      <c r="AM3" s="78" t="n">
        <f aca="false">IFERROR(__xludf.dummyfunction("""COMPUTED_VALUE"""),20.5)</f>
        <v>20.5</v>
      </c>
      <c r="AN3" s="78" t="str">
        <f aca="false">IFERROR(__xludf.dummyfunction("QUERY('14 Серия'!$B$6:$F$15,""select B,C,F ORDER by C desc, F desc"")"),"Curly")</f>
        <v>Curly</v>
      </c>
      <c r="AO3" s="78" t="n">
        <f aca="false">IFERROR(__xludf.dummyfunction("""COMPUTED_VALUE"""),32)</f>
        <v>32</v>
      </c>
      <c r="AP3" s="78" t="n">
        <f aca="false">IFERROR(__xludf.dummyfunction("""COMPUTED_VALUE"""),19.5)</f>
        <v>19.5</v>
      </c>
      <c r="AQ3" s="78" t="str">
        <f aca="false">IFERROR(__xludf.dummyfunction("QUERY('15 Серия'!$B$6:$F$15,""select B,C,F ORDER by C desc, F desc"")"),"UFO")</f>
        <v>UFO</v>
      </c>
      <c r="AR3" s="78" t="n">
        <f aca="false">IFERROR(__xludf.dummyfunction("""COMPUTED_VALUE"""),32)</f>
        <v>32</v>
      </c>
      <c r="AS3" s="78" t="n">
        <f aca="false">IFERROR(__xludf.dummyfunction("""COMPUTED_VALUE"""),22)</f>
        <v>22</v>
      </c>
      <c r="AT3" s="78" t="str">
        <f aca="false">IFERROR(__xludf.dummyfunction("QUERY('16 Серия'!$B$6:$F$15,""select B,C,F ORDER by C desc, F desc"")"),"Луна")</f>
        <v>Луна</v>
      </c>
      <c r="AU3" s="78" t="n">
        <f aca="false">IFERROR(__xludf.dummyfunction("""COMPUTED_VALUE"""),33.75)</f>
        <v>33.75</v>
      </c>
      <c r="AV3" s="78" t="n">
        <f aca="false">IFERROR(__xludf.dummyfunction("""COMPUTED_VALUE"""),21.25)</f>
        <v>21.25</v>
      </c>
      <c r="AW3" s="78"/>
      <c r="AX3" s="204" t="str">
        <f aca="false">A4</f>
        <v>Тихий Закат</v>
      </c>
      <c r="AY3" s="78" t="n">
        <f aca="false">B4</f>
        <v>35.75</v>
      </c>
      <c r="AZ3" s="205" t="n">
        <v>1</v>
      </c>
      <c r="BA3" s="36" t="n">
        <f aca="false">C$4</f>
        <v>23.25</v>
      </c>
    </row>
    <row r="4" customFormat="false" ht="15.75" hidden="false" customHeight="false" outlineLevel="0" collapsed="false">
      <c r="A4" s="120" t="str">
        <f aca="false">IFERROR(__xludf.dummyfunction("""COMPUTED_VALUE"""),"Тихий Закат")</f>
        <v>Тихий Закат</v>
      </c>
      <c r="B4" s="78" t="n">
        <f aca="false">IFERROR(__xludf.dummyfunction("""COMPUTED_VALUE"""),35.75)</f>
        <v>35.75</v>
      </c>
      <c r="C4" s="78" t="n">
        <f aca="false">IFERROR(__xludf.dummyfunction("""COMPUTED_VALUE"""),23.25)</f>
        <v>23.25</v>
      </c>
      <c r="D4" s="120" t="str">
        <f aca="false">IFERROR(__xludf.dummyfunction("""COMPUTED_VALUE"""),"Тихий Закат")</f>
        <v>Тихий Закат</v>
      </c>
      <c r="E4" s="78" t="n">
        <f aca="false">IFERROR(__xludf.dummyfunction("""COMPUTED_VALUE"""),33.75)</f>
        <v>33.75</v>
      </c>
      <c r="F4" s="78" t="n">
        <f aca="false">IFERROR(__xludf.dummyfunction("""COMPUTED_VALUE"""),23.75)</f>
        <v>23.75</v>
      </c>
      <c r="G4" s="120" t="str">
        <f aca="false">IFERROR(__xludf.dummyfunction("""COMPUTED_VALUE"""),"Никнейм")</f>
        <v>Никнейм</v>
      </c>
      <c r="H4" s="78" t="n">
        <f aca="false">IFERROR(__xludf.dummyfunction("""COMPUTED_VALUE"""),33.25)</f>
        <v>33.25</v>
      </c>
      <c r="I4" s="78" t="n">
        <f aca="false">IFERROR(__xludf.dummyfunction("""COMPUTED_VALUE"""),23.25)</f>
        <v>23.25</v>
      </c>
      <c r="J4" s="120" t="str">
        <f aca="false">IFERROR(__xludf.dummyfunction("""COMPUTED_VALUE"""),"Cherry Pick")</f>
        <v>Cherry Pick</v>
      </c>
      <c r="K4" s="78" t="n">
        <f aca="false">IFERROR(__xludf.dummyfunction("""COMPUTED_VALUE"""),34.25)</f>
        <v>34.25</v>
      </c>
      <c r="L4" s="78" t="n">
        <f aca="false">IFERROR(__xludf.dummyfunction("""COMPUTED_VALUE"""),21.75)</f>
        <v>21.75</v>
      </c>
      <c r="M4" s="120" t="str">
        <f aca="false">IFERROR(__xludf.dummyfunction("""COMPUTED_VALUE"""),"Король Лев")</f>
        <v>Король Лев</v>
      </c>
      <c r="N4" s="78" t="n">
        <f aca="false">IFERROR(__xludf.dummyfunction("""COMPUTED_VALUE"""),32)</f>
        <v>32</v>
      </c>
      <c r="O4" s="78" t="n">
        <f aca="false">IFERROR(__xludf.dummyfunction("""COMPUTED_VALUE"""),22)</f>
        <v>22</v>
      </c>
      <c r="P4" s="120" t="str">
        <f aca="false">IFERROR(__xludf.dummyfunction("""COMPUTED_VALUE"""),"Физик")</f>
        <v>Физик</v>
      </c>
      <c r="Q4" s="78" t="n">
        <f aca="false">IFERROR(__xludf.dummyfunction("""COMPUTED_VALUE"""),30.75)</f>
        <v>30.75</v>
      </c>
      <c r="R4" s="78" t="n">
        <f aca="false">IFERROR(__xludf.dummyfunction("""COMPUTED_VALUE"""),20.75)</f>
        <v>20.75</v>
      </c>
      <c r="S4" s="120" t="str">
        <f aca="false">IFERROR(__xludf.dummyfunction("""COMPUTED_VALUE"""),"Бастурма")</f>
        <v>Бастурма</v>
      </c>
      <c r="T4" s="78" t="n">
        <f aca="false">IFERROR(__xludf.dummyfunction("""COMPUTED_VALUE"""),33.5)</f>
        <v>33.5</v>
      </c>
      <c r="U4" s="78" t="n">
        <f aca="false">IFERROR(__xludf.dummyfunction("""COMPUTED_VALUE"""),21)</f>
        <v>21</v>
      </c>
      <c r="V4" s="120" t="str">
        <f aca="false">IFERROR(__xludf.dummyfunction("""COMPUTED_VALUE"""),"Бастурма")</f>
        <v>Бастурма</v>
      </c>
      <c r="W4" s="78" t="n">
        <f aca="false">IFERROR(__xludf.dummyfunction("""COMPUTED_VALUE"""),37.75)</f>
        <v>37.75</v>
      </c>
      <c r="X4" s="78" t="n">
        <f aca="false">IFERROR(__xludf.dummyfunction("""COMPUTED_VALUE"""),22.75)</f>
        <v>22.75</v>
      </c>
      <c r="Y4" s="120" t="str">
        <f aca="false">IFERROR(__xludf.dummyfunction("""COMPUTED_VALUE"""),"Луна")</f>
        <v>Луна</v>
      </c>
      <c r="Z4" s="78" t="n">
        <f aca="false">IFERROR(__xludf.dummyfunction("""COMPUTED_VALUE"""),30)</f>
        <v>30</v>
      </c>
      <c r="AA4" s="78" t="n">
        <f aca="false">IFERROR(__xludf.dummyfunction("""COMPUTED_VALUE"""),22.5)</f>
        <v>22.5</v>
      </c>
      <c r="AB4" s="120" t="str">
        <f aca="false">IFERROR(__xludf.dummyfunction("""COMPUTED_VALUE"""),"Букля")</f>
        <v>Букля</v>
      </c>
      <c r="AC4" s="78" t="n">
        <f aca="false">IFERROR(__xludf.dummyfunction("""COMPUTED_VALUE"""),31)</f>
        <v>31</v>
      </c>
      <c r="AD4" s="78" t="n">
        <f aca="false">IFERROR(__xludf.dummyfunction("""COMPUTED_VALUE"""),21)</f>
        <v>21</v>
      </c>
      <c r="AE4" s="120" t="str">
        <f aca="false">IFERROR(__xludf.dummyfunction("""COMPUTED_VALUE"""),"Махинатор")</f>
        <v>Махинатор</v>
      </c>
      <c r="AF4" s="78" t="n">
        <f aca="false">IFERROR(__xludf.dummyfunction("""COMPUTED_VALUE"""),37.25)</f>
        <v>37.25</v>
      </c>
      <c r="AG4" s="78" t="n">
        <f aca="false">IFERROR(__xludf.dummyfunction("""COMPUTED_VALUE"""),24.75)</f>
        <v>24.75</v>
      </c>
      <c r="AH4" s="120" t="str">
        <f aca="false">IFERROR(__xludf.dummyfunction("""COMPUTED_VALUE"""),"Мона")</f>
        <v>Мона</v>
      </c>
      <c r="AI4" s="78" t="n">
        <f aca="false">IFERROR(__xludf.dummyfunction("""COMPUTED_VALUE"""),30.5)</f>
        <v>30.5</v>
      </c>
      <c r="AJ4" s="78" t="n">
        <f aca="false">IFERROR(__xludf.dummyfunction("""COMPUTED_VALUE"""),20.5)</f>
        <v>20.5</v>
      </c>
      <c r="AK4" s="120" t="str">
        <f aca="false">IFERROR(__xludf.dummyfunction("""COMPUTED_VALUE"""),"Алкарис")</f>
        <v>Алкарис</v>
      </c>
      <c r="AL4" s="78" t="n">
        <f aca="false">IFERROR(__xludf.dummyfunction("""COMPUTED_VALUE"""),30.5)</f>
        <v>30.5</v>
      </c>
      <c r="AM4" s="78" t="n">
        <f aca="false">IFERROR(__xludf.dummyfunction("""COMPUTED_VALUE"""),20.5)</f>
        <v>20.5</v>
      </c>
      <c r="AN4" s="120" t="str">
        <f aca="false">IFERROR(__xludf.dummyfunction("""COMPUTED_VALUE"""),"Infinity ")</f>
        <v>Infinity </v>
      </c>
      <c r="AO4" s="78" t="n">
        <f aca="false">IFERROR(__xludf.dummyfunction("""COMPUTED_VALUE"""),31.25)</f>
        <v>31.25</v>
      </c>
      <c r="AP4" s="78" t="n">
        <f aca="false">IFERROR(__xludf.dummyfunction("""COMPUTED_VALUE"""),21.25)</f>
        <v>21.25</v>
      </c>
      <c r="AQ4" s="120" t="str">
        <f aca="false">IFERROR(__xludf.dummyfunction("""COMPUTED_VALUE"""),"Продюсер")</f>
        <v>Продюсер</v>
      </c>
      <c r="AR4" s="78" t="n">
        <f aca="false">IFERROR(__xludf.dummyfunction("""COMPUTED_VALUE"""),30)</f>
        <v>30</v>
      </c>
      <c r="AS4" s="78" t="n">
        <f aca="false">IFERROR(__xludf.dummyfunction("""COMPUTED_VALUE"""),22.5)</f>
        <v>22.5</v>
      </c>
      <c r="AT4" s="120" t="str">
        <f aca="false">IFERROR(__xludf.dummyfunction("""COMPUTED_VALUE"""),"Рыжая")</f>
        <v>Рыжая</v>
      </c>
      <c r="AU4" s="78" t="n">
        <f aca="false">IFERROR(__xludf.dummyfunction("""COMPUTED_VALUE"""),31.75)</f>
        <v>31.75</v>
      </c>
      <c r="AV4" s="78" t="n">
        <f aca="false">IFERROR(__xludf.dummyfunction("""COMPUTED_VALUE"""),19.25)</f>
        <v>19.25</v>
      </c>
      <c r="AX4" s="206" t="str">
        <f aca="false">D4</f>
        <v>Тихий Закат</v>
      </c>
      <c r="AY4" s="78" t="n">
        <f aca="false">E4</f>
        <v>33.75</v>
      </c>
      <c r="AZ4" s="207" t="n">
        <v>2</v>
      </c>
      <c r="BA4" s="36" t="n">
        <f aca="false">F$4</f>
        <v>23.75</v>
      </c>
    </row>
    <row r="5" customFormat="false" ht="15.75" hidden="false" customHeight="false" outlineLevel="0" collapsed="false">
      <c r="A5" s="120" t="str">
        <f aca="false">IFERROR(__xludf.dummyfunction("""COMPUTED_VALUE"""),"Хамилка")</f>
        <v>Хамилка</v>
      </c>
      <c r="B5" s="78" t="n">
        <f aca="false">IFERROR(__xludf.dummyfunction("""COMPUTED_VALUE"""),33)</f>
        <v>33</v>
      </c>
      <c r="C5" s="78" t="n">
        <f aca="false">IFERROR(__xludf.dummyfunction("""COMPUTED_VALUE"""),20.5)</f>
        <v>20.5</v>
      </c>
      <c r="D5" s="120" t="str">
        <f aca="false">IFERROR(__xludf.dummyfunction("""COMPUTED_VALUE"""),"Левша")</f>
        <v>Левша</v>
      </c>
      <c r="E5" s="78" t="n">
        <f aca="false">IFERROR(__xludf.dummyfunction("""COMPUTED_VALUE"""),30.75)</f>
        <v>30.75</v>
      </c>
      <c r="F5" s="78" t="n">
        <f aca="false">IFERROR(__xludf.dummyfunction("""COMPUTED_VALUE"""),23.25)</f>
        <v>23.25</v>
      </c>
      <c r="G5" s="120" t="str">
        <f aca="false">IFERROR(__xludf.dummyfunction("""COMPUTED_VALUE"""),"Тихий Закат")</f>
        <v>Тихий Закат</v>
      </c>
      <c r="H5" s="78" t="n">
        <f aca="false">IFERROR(__xludf.dummyfunction("""COMPUTED_VALUE"""),31.5)</f>
        <v>31.5</v>
      </c>
      <c r="I5" s="78" t="n">
        <f aca="false">IFERROR(__xludf.dummyfunction("""COMPUTED_VALUE"""),21.5)</f>
        <v>21.5</v>
      </c>
      <c r="J5" s="120" t="str">
        <f aca="false">IFERROR(__xludf.dummyfunction("""COMPUTED_VALUE"""),"Лео")</f>
        <v>Лео</v>
      </c>
      <c r="K5" s="78" t="n">
        <f aca="false">IFERROR(__xludf.dummyfunction("""COMPUTED_VALUE"""),33.75)</f>
        <v>33.75</v>
      </c>
      <c r="L5" s="78" t="n">
        <f aca="false">IFERROR(__xludf.dummyfunction("""COMPUTED_VALUE"""),23.75)</f>
        <v>23.75</v>
      </c>
      <c r="M5" s="120" t="str">
        <f aca="false">IFERROR(__xludf.dummyfunction("""COMPUTED_VALUE"""),"Schokk")</f>
        <v>Schokk</v>
      </c>
      <c r="N5" s="78" t="n">
        <f aca="false">IFERROR(__xludf.dummyfunction("""COMPUTED_VALUE"""),29)</f>
        <v>29</v>
      </c>
      <c r="O5" s="78" t="n">
        <f aca="false">IFERROR(__xludf.dummyfunction("""COMPUTED_VALUE"""),21.5)</f>
        <v>21.5</v>
      </c>
      <c r="P5" s="120" t="str">
        <f aca="false">IFERROR(__xludf.dummyfunction("""COMPUTED_VALUE"""),"СЧ")</f>
        <v>СЧ</v>
      </c>
      <c r="Q5" s="78" t="n">
        <f aca="false">IFERROR(__xludf.dummyfunction("""COMPUTED_VALUE"""),27.75)</f>
        <v>27.75</v>
      </c>
      <c r="R5" s="78" t="n">
        <f aca="false">IFERROR(__xludf.dummyfunction("""COMPUTED_VALUE"""),17.75)</f>
        <v>17.75</v>
      </c>
      <c r="S5" s="120" t="str">
        <f aca="false">IFERROR(__xludf.dummyfunction("""COMPUTED_VALUE"""),"Путедьют")</f>
        <v>Путедьют</v>
      </c>
      <c r="T5" s="78" t="n">
        <f aca="false">IFERROR(__xludf.dummyfunction("""COMPUTED_VALUE"""),33)</f>
        <v>33</v>
      </c>
      <c r="U5" s="78" t="n">
        <f aca="false">IFERROR(__xludf.dummyfunction("""COMPUTED_VALUE"""),20.5)</f>
        <v>20.5</v>
      </c>
      <c r="V5" s="120" t="str">
        <f aca="false">IFERROR(__xludf.dummyfunction("""COMPUTED_VALUE"""),"Путедьют")</f>
        <v>Путедьют</v>
      </c>
      <c r="W5" s="78" t="n">
        <f aca="false">IFERROR(__xludf.dummyfunction("""COMPUTED_VALUE"""),30.75)</f>
        <v>30.75</v>
      </c>
      <c r="X5" s="78" t="n">
        <f aca="false">IFERROR(__xludf.dummyfunction("""COMPUTED_VALUE"""),20.75)</f>
        <v>20.75</v>
      </c>
      <c r="Y5" s="120" t="str">
        <f aca="false">IFERROR(__xludf.dummyfunction("""COMPUTED_VALUE"""),"Бастурма")</f>
        <v>Бастурма</v>
      </c>
      <c r="Z5" s="78" t="n">
        <f aca="false">IFERROR(__xludf.dummyfunction("""COMPUTED_VALUE"""),27.75)</f>
        <v>27.75</v>
      </c>
      <c r="AA5" s="78" t="n">
        <f aca="false">IFERROR(__xludf.dummyfunction("""COMPUTED_VALUE"""),17.75)</f>
        <v>17.75</v>
      </c>
      <c r="AB5" s="120" t="str">
        <f aca="false">IFERROR(__xludf.dummyfunction("""COMPUTED_VALUE"""),"Хамилка")</f>
        <v>Хамилка</v>
      </c>
      <c r="AC5" s="78" t="n">
        <f aca="false">IFERROR(__xludf.dummyfunction("""COMPUTED_VALUE"""),30.25)</f>
        <v>30.25</v>
      </c>
      <c r="AD5" s="78" t="n">
        <f aca="false">IFERROR(__xludf.dummyfunction("""COMPUTED_VALUE"""),20.25)</f>
        <v>20.25</v>
      </c>
      <c r="AE5" s="120" t="str">
        <f aca="false">IFERROR(__xludf.dummyfunction("""COMPUTED_VALUE"""),"Никнейм")</f>
        <v>Никнейм</v>
      </c>
      <c r="AF5" s="78" t="n">
        <f aca="false">IFERROR(__xludf.dummyfunction("""COMPUTED_VALUE"""),30.5)</f>
        <v>30.5</v>
      </c>
      <c r="AG5" s="78" t="n">
        <f aca="false">IFERROR(__xludf.dummyfunction("""COMPUTED_VALUE"""),20.5)</f>
        <v>20.5</v>
      </c>
      <c r="AH5" s="120" t="str">
        <f aca="false">IFERROR(__xludf.dummyfunction("""COMPUTED_VALUE"""),"Natsy")</f>
        <v>Natsy</v>
      </c>
      <c r="AI5" s="78" t="n">
        <f aca="false">IFERROR(__xludf.dummyfunction("""COMPUTED_VALUE"""),29.75)</f>
        <v>29.75</v>
      </c>
      <c r="AJ5" s="78" t="n">
        <f aca="false">IFERROR(__xludf.dummyfunction("""COMPUTED_VALUE"""),19.75)</f>
        <v>19.75</v>
      </c>
      <c r="AK5" s="120" t="str">
        <f aca="false">IFERROR(__xludf.dummyfunction("""COMPUTED_VALUE"""),"Физик")</f>
        <v>Физик</v>
      </c>
      <c r="AL5" s="78" t="n">
        <f aca="false">IFERROR(__xludf.dummyfunction("""COMPUTED_VALUE"""),30.25)</f>
        <v>30.25</v>
      </c>
      <c r="AM5" s="78" t="n">
        <f aca="false">IFERROR(__xludf.dummyfunction("""COMPUTED_VALUE"""),20.25)</f>
        <v>20.25</v>
      </c>
      <c r="AN5" s="120" t="str">
        <f aca="false">IFERROR(__xludf.dummyfunction("""COMPUTED_VALUE"""),"Писатель")</f>
        <v>Писатель</v>
      </c>
      <c r="AO5" s="78" t="n">
        <f aca="false">IFERROR(__xludf.dummyfunction("""COMPUTED_VALUE"""),31)</f>
        <v>31</v>
      </c>
      <c r="AP5" s="78" t="n">
        <f aca="false">IFERROR(__xludf.dummyfunction("""COMPUTED_VALUE"""),21)</f>
        <v>21</v>
      </c>
      <c r="AQ5" s="120" t="str">
        <f aca="false">IFERROR(__xludf.dummyfunction("""COMPUTED_VALUE"""),"Jazz")</f>
        <v>Jazz</v>
      </c>
      <c r="AR5" s="78" t="n">
        <f aca="false">IFERROR(__xludf.dummyfunction("""COMPUTED_VALUE"""),29)</f>
        <v>29</v>
      </c>
      <c r="AS5" s="78" t="n">
        <f aca="false">IFERROR(__xludf.dummyfunction("""COMPUTED_VALUE"""),19)</f>
        <v>19</v>
      </c>
      <c r="AT5" s="120" t="str">
        <f aca="false">IFERROR(__xludf.dummyfunction("""COMPUTED_VALUE"""),"Параселена")</f>
        <v>Параселена</v>
      </c>
      <c r="AU5" s="78" t="n">
        <f aca="false">IFERROR(__xludf.dummyfunction("""COMPUTED_VALUE"""),30.25)</f>
        <v>30.25</v>
      </c>
      <c r="AV5" s="78" t="n">
        <f aca="false">IFERROR(__xludf.dummyfunction("""COMPUTED_VALUE"""),20.25)</f>
        <v>20.25</v>
      </c>
      <c r="AX5" s="206" t="str">
        <f aca="false">G4</f>
        <v>Никнейм</v>
      </c>
      <c r="AY5" s="78" t="n">
        <f aca="false">H4</f>
        <v>33.25</v>
      </c>
      <c r="AZ5" s="207" t="n">
        <v>3</v>
      </c>
      <c r="BA5" s="36" t="n">
        <f aca="false">I$4</f>
        <v>23.25</v>
      </c>
    </row>
    <row r="6" customFormat="false" ht="15.75" hidden="false" customHeight="false" outlineLevel="0" collapsed="false">
      <c r="A6" s="120" t="str">
        <f aca="false">IFERROR(__xludf.dummyfunction("""COMPUTED_VALUE"""),"Ketamin")</f>
        <v>Ketamin</v>
      </c>
      <c r="B6" s="78" t="n">
        <f aca="false">IFERROR(__xludf.dummyfunction("""COMPUTED_VALUE"""),29.75)</f>
        <v>29.75</v>
      </c>
      <c r="C6" s="78" t="n">
        <f aca="false">IFERROR(__xludf.dummyfunction("""COMPUTED_VALUE"""),19.75)</f>
        <v>19.75</v>
      </c>
      <c r="D6" s="120" t="str">
        <f aca="false">IFERROR(__xludf.dummyfunction("""COMPUTED_VALUE"""),"Админ")</f>
        <v>Админ</v>
      </c>
      <c r="E6" s="78" t="n">
        <f aca="false">IFERROR(__xludf.dummyfunction("""COMPUTED_VALUE"""),27)</f>
        <v>27</v>
      </c>
      <c r="F6" s="78" t="n">
        <f aca="false">IFERROR(__xludf.dummyfunction("""COMPUTED_VALUE"""),19.5)</f>
        <v>19.5</v>
      </c>
      <c r="G6" s="120" t="str">
        <f aca="false">IFERROR(__xludf.dummyfunction("""COMPUTED_VALUE"""),"Still Rise")</f>
        <v>Still Rise</v>
      </c>
      <c r="H6" s="78" t="n">
        <f aca="false">IFERROR(__xludf.dummyfunction("""COMPUTED_VALUE"""),29)</f>
        <v>29</v>
      </c>
      <c r="I6" s="78" t="n">
        <f aca="false">IFERROR(__xludf.dummyfunction("""COMPUTED_VALUE"""),19)</f>
        <v>19</v>
      </c>
      <c r="J6" s="120" t="str">
        <f aca="false">IFERROR(__xludf.dummyfunction("""COMPUTED_VALUE"""),"Sirena")</f>
        <v>Sirena</v>
      </c>
      <c r="K6" s="78" t="n">
        <f aca="false">IFERROR(__xludf.dummyfunction("""COMPUTED_VALUE"""),32.75)</f>
        <v>32.75</v>
      </c>
      <c r="L6" s="78" t="n">
        <f aca="false">IFERROR(__xludf.dummyfunction("""COMPUTED_VALUE"""),20.25)</f>
        <v>20.25</v>
      </c>
      <c r="M6" s="120" t="str">
        <f aca="false">IFERROR(__xludf.dummyfunction("""COMPUTED_VALUE"""),"Лео")</f>
        <v>Лео</v>
      </c>
      <c r="N6" s="78" t="n">
        <f aca="false">IFERROR(__xludf.dummyfunction("""COMPUTED_VALUE"""),27.25)</f>
        <v>27.25</v>
      </c>
      <c r="O6" s="78" t="n">
        <f aca="false">IFERROR(__xludf.dummyfunction("""COMPUTED_VALUE"""),19.75)</f>
        <v>19.75</v>
      </c>
      <c r="P6" s="120" t="str">
        <f aca="false">IFERROR(__xludf.dummyfunction("""COMPUTED_VALUE"""),"Jazz")</f>
        <v>Jazz</v>
      </c>
      <c r="Q6" s="78" t="n">
        <f aca="false">IFERROR(__xludf.dummyfunction("""COMPUTED_VALUE"""),25.75)</f>
        <v>25.75</v>
      </c>
      <c r="R6" s="78" t="n">
        <f aca="false">IFERROR(__xludf.dummyfunction("""COMPUTED_VALUE"""),18.25)</f>
        <v>18.25</v>
      </c>
      <c r="S6" s="120" t="str">
        <f aca="false">IFERROR(__xludf.dummyfunction("""COMPUTED_VALUE"""),"Юрия")</f>
        <v>Юрия</v>
      </c>
      <c r="T6" s="78" t="n">
        <f aca="false">IFERROR(__xludf.dummyfunction("""COMPUTED_VALUE"""),32)</f>
        <v>32</v>
      </c>
      <c r="U6" s="78" t="n">
        <f aca="false">IFERROR(__xludf.dummyfunction("""COMPUTED_VALUE"""),19.5)</f>
        <v>19.5</v>
      </c>
      <c r="V6" s="120" t="str">
        <f aca="false">IFERROR(__xludf.dummyfunction("""COMPUTED_VALUE"""),"Нелли")</f>
        <v>Нелли</v>
      </c>
      <c r="W6" s="78" t="n">
        <f aca="false">IFERROR(__xludf.dummyfunction("""COMPUTED_VALUE"""),28.5)</f>
        <v>28.5</v>
      </c>
      <c r="X6" s="78" t="n">
        <f aca="false">IFERROR(__xludf.dummyfunction("""COMPUTED_VALUE"""),21)</f>
        <v>21</v>
      </c>
      <c r="Y6" s="120" t="str">
        <f aca="false">IFERROR(__xludf.dummyfunction("""COMPUTED_VALUE"""),"Путедьют")</f>
        <v>Путедьют</v>
      </c>
      <c r="Z6" s="78" t="n">
        <f aca="false">IFERROR(__xludf.dummyfunction("""COMPUTED_VALUE"""),27)</f>
        <v>27</v>
      </c>
      <c r="AA6" s="78" t="n">
        <f aca="false">IFERROR(__xludf.dummyfunction("""COMPUTED_VALUE"""),19.5)</f>
        <v>19.5</v>
      </c>
      <c r="AB6" s="120" t="str">
        <f aca="false">IFERROR(__xludf.dummyfunction("""COMPUTED_VALUE"""),"Bublik")</f>
        <v>Bublik</v>
      </c>
      <c r="AC6" s="78" t="n">
        <f aca="false">IFERROR(__xludf.dummyfunction("""COMPUTED_VALUE"""),30)</f>
        <v>30</v>
      </c>
      <c r="AD6" s="78" t="n">
        <f aca="false">IFERROR(__xludf.dummyfunction("""COMPUTED_VALUE"""),20)</f>
        <v>20</v>
      </c>
      <c r="AE6" s="120" t="str">
        <f aca="false">IFERROR(__xludf.dummyfunction("""COMPUTED_VALUE"""),"Домовой")</f>
        <v>Домовой</v>
      </c>
      <c r="AF6" s="78" t="n">
        <f aca="false">IFERROR(__xludf.dummyfunction("""COMPUTED_VALUE"""),30.5)</f>
        <v>30.5</v>
      </c>
      <c r="AG6" s="78" t="n">
        <f aca="false">IFERROR(__xludf.dummyfunction("""COMPUTED_VALUE"""),18)</f>
        <v>18</v>
      </c>
      <c r="AH6" s="120" t="str">
        <f aca="false">IFERROR(__xludf.dummyfunction("""COMPUTED_VALUE"""),"Круэлла")</f>
        <v>Круэлла</v>
      </c>
      <c r="AI6" s="78" t="n">
        <f aca="false">IFERROR(__xludf.dummyfunction("""COMPUTED_VALUE"""),29.5)</f>
        <v>29.5</v>
      </c>
      <c r="AJ6" s="78" t="n">
        <f aca="false">IFERROR(__xludf.dummyfunction("""COMPUTED_VALUE"""),22)</f>
        <v>22</v>
      </c>
      <c r="AK6" s="120" t="str">
        <f aca="false">IFERROR(__xludf.dummyfunction("""COMPUTED_VALUE"""),"Крестный отец ")</f>
        <v>Крестный отец </v>
      </c>
      <c r="AL6" s="78" t="n">
        <f aca="false">IFERROR(__xludf.dummyfunction("""COMPUTED_VALUE"""),29.75)</f>
        <v>29.75</v>
      </c>
      <c r="AM6" s="78" t="n">
        <f aca="false">IFERROR(__xludf.dummyfunction("""COMPUTED_VALUE"""),19.75)</f>
        <v>19.75</v>
      </c>
      <c r="AN6" s="120" t="str">
        <f aca="false">IFERROR(__xludf.dummyfunction("""COMPUTED_VALUE"""),"Оладушек")</f>
        <v>Оладушек</v>
      </c>
      <c r="AO6" s="78" t="n">
        <f aca="false">IFERROR(__xludf.dummyfunction("""COMPUTED_VALUE"""),28.75)</f>
        <v>28.75</v>
      </c>
      <c r="AP6" s="78" t="n">
        <f aca="false">IFERROR(__xludf.dummyfunction("""COMPUTED_VALUE"""),18.75)</f>
        <v>18.75</v>
      </c>
      <c r="AQ6" s="120" t="str">
        <f aca="false">IFERROR(__xludf.dummyfunction("""COMPUTED_VALUE"""),"Infinity")</f>
        <v>Infinity</v>
      </c>
      <c r="AR6" s="78" t="n">
        <f aca="false">IFERROR(__xludf.dummyfunction("""COMPUTED_VALUE"""),28.75)</f>
        <v>28.75</v>
      </c>
      <c r="AS6" s="78" t="n">
        <f aca="false">IFERROR(__xludf.dummyfunction("""COMPUTED_VALUE"""),21.25)</f>
        <v>21.25</v>
      </c>
      <c r="AT6" s="120" t="str">
        <f aca="false">IFERROR(__xludf.dummyfunction("""COMPUTED_VALUE"""),"Продюсер")</f>
        <v>Продюсер</v>
      </c>
      <c r="AU6" s="78" t="n">
        <f aca="false">IFERROR(__xludf.dummyfunction("""COMPUTED_VALUE"""),29.25)</f>
        <v>29.25</v>
      </c>
      <c r="AV6" s="78" t="n">
        <f aca="false">IFERROR(__xludf.dummyfunction("""COMPUTED_VALUE"""),19.25)</f>
        <v>19.25</v>
      </c>
      <c r="AX6" s="206" t="str">
        <f aca="false">J4</f>
        <v>Cherry Pick</v>
      </c>
      <c r="AY6" s="78" t="n">
        <f aca="false">K4</f>
        <v>34.25</v>
      </c>
      <c r="AZ6" s="205" t="n">
        <v>4</v>
      </c>
      <c r="BA6" s="36" t="n">
        <f aca="false">L$4</f>
        <v>21.75</v>
      </c>
    </row>
    <row r="7" customFormat="false" ht="15.75" hidden="false" customHeight="false" outlineLevel="0" collapsed="false">
      <c r="A7" s="120" t="str">
        <f aca="false">IFERROR(__xludf.dummyfunction("""COMPUTED_VALUE"""),"Андерсен")</f>
        <v>Андерсен</v>
      </c>
      <c r="B7" s="78" t="n">
        <f aca="false">IFERROR(__xludf.dummyfunction("""COMPUTED_VALUE"""),29)</f>
        <v>29</v>
      </c>
      <c r="C7" s="78" t="n">
        <f aca="false">IFERROR(__xludf.dummyfunction("""COMPUTED_VALUE"""),19)</f>
        <v>19</v>
      </c>
      <c r="D7" s="120" t="str">
        <f aca="false">IFERROR(__xludf.dummyfunction("""COMPUTED_VALUE"""),"Хантер")</f>
        <v>Хантер</v>
      </c>
      <c r="E7" s="78" t="n">
        <f aca="false">IFERROR(__xludf.dummyfunction("""COMPUTED_VALUE"""),26.75)</f>
        <v>26.75</v>
      </c>
      <c r="F7" s="78" t="n">
        <f aca="false">IFERROR(__xludf.dummyfunction("""COMPUTED_VALUE"""),16.75)</f>
        <v>16.75</v>
      </c>
      <c r="G7" s="120" t="str">
        <f aca="false">IFERROR(__xludf.dummyfunction("""COMPUTED_VALUE"""),"Лунатик")</f>
        <v>Лунатик</v>
      </c>
      <c r="H7" s="78" t="n">
        <f aca="false">IFERROR(__xludf.dummyfunction("""COMPUTED_VALUE"""),28.75)</f>
        <v>28.75</v>
      </c>
      <c r="I7" s="78" t="n">
        <f aca="false">IFERROR(__xludf.dummyfunction("""COMPUTED_VALUE"""),18.75)</f>
        <v>18.75</v>
      </c>
      <c r="J7" s="120" t="str">
        <f aca="false">IFERROR(__xludf.dummyfunction("""COMPUTED_VALUE"""),"Curly")</f>
        <v>Curly</v>
      </c>
      <c r="K7" s="78" t="n">
        <f aca="false">IFERROR(__xludf.dummyfunction("""COMPUTED_VALUE"""),29.5)</f>
        <v>29.5</v>
      </c>
      <c r="L7" s="78" t="n">
        <f aca="false">IFERROR(__xludf.dummyfunction("""COMPUTED_VALUE"""),19.5)</f>
        <v>19.5</v>
      </c>
      <c r="M7" s="120" t="str">
        <f aca="false">IFERROR(__xludf.dummyfunction("""COMPUTED_VALUE"""),"Писатель")</f>
        <v>Писатель</v>
      </c>
      <c r="N7" s="78" t="n">
        <f aca="false">IFERROR(__xludf.dummyfunction("""COMPUTED_VALUE"""),26.75)</f>
        <v>26.75</v>
      </c>
      <c r="O7" s="78" t="n">
        <f aca="false">IFERROR(__xludf.dummyfunction("""COMPUTED_VALUE"""),19.25)</f>
        <v>19.25</v>
      </c>
      <c r="P7" s="120" t="str">
        <f aca="false">IFERROR(__xludf.dummyfunction("""COMPUTED_VALUE"""),"Продюсер")</f>
        <v>Продюсер</v>
      </c>
      <c r="Q7" s="78" t="n">
        <f aca="false">IFERROR(__xludf.dummyfunction("""COMPUTED_VALUE"""),25)</f>
        <v>25</v>
      </c>
      <c r="R7" s="78" t="n">
        <f aca="false">IFERROR(__xludf.dummyfunction("""COMPUTED_VALUE"""),17.5)</f>
        <v>17.5</v>
      </c>
      <c r="S7" s="120" t="str">
        <f aca="false">IFERROR(__xludf.dummyfunction("""COMPUTED_VALUE"""),"Шоу Бой")</f>
        <v>Шоу Бой</v>
      </c>
      <c r="T7" s="78" t="n">
        <f aca="false">IFERROR(__xludf.dummyfunction("""COMPUTED_VALUE"""),31)</f>
        <v>31</v>
      </c>
      <c r="U7" s="78" t="n">
        <f aca="false">IFERROR(__xludf.dummyfunction("""COMPUTED_VALUE"""),21)</f>
        <v>21</v>
      </c>
      <c r="V7" s="120" t="str">
        <f aca="false">IFERROR(__xludf.dummyfunction("""COMPUTED_VALUE"""),"Teslex")</f>
        <v>Teslex</v>
      </c>
      <c r="W7" s="78" t="n">
        <f aca="false">IFERROR(__xludf.dummyfunction("""COMPUTED_VALUE"""),28.25)</f>
        <v>28.25</v>
      </c>
      <c r="X7" s="78" t="n">
        <f aca="false">IFERROR(__xludf.dummyfunction("""COMPUTED_VALUE"""),18.25)</f>
        <v>18.25</v>
      </c>
      <c r="Y7" s="120" t="str">
        <f aca="false">IFERROR(__xludf.dummyfunction("""COMPUTED_VALUE"""),"Чешир")</f>
        <v>Чешир</v>
      </c>
      <c r="Z7" s="78" t="n">
        <f aca="false">IFERROR(__xludf.dummyfunction("""COMPUTED_VALUE"""),26.5)</f>
        <v>26.5</v>
      </c>
      <c r="AA7" s="78" t="n">
        <f aca="false">IFERROR(__xludf.dummyfunction("""COMPUTED_VALUE"""),19)</f>
        <v>19</v>
      </c>
      <c r="AB7" s="120" t="str">
        <f aca="false">IFERROR(__xludf.dummyfunction("""COMPUTED_VALUE"""),"Ketamin")</f>
        <v>Ketamin</v>
      </c>
      <c r="AC7" s="78" t="n">
        <f aca="false">IFERROR(__xludf.dummyfunction("""COMPUTED_VALUE"""),29.25)</f>
        <v>29.25</v>
      </c>
      <c r="AD7" s="78" t="n">
        <f aca="false">IFERROR(__xludf.dummyfunction("""COMPUTED_VALUE"""),19.25)</f>
        <v>19.25</v>
      </c>
      <c r="AE7" s="120" t="str">
        <f aca="false">IFERROR(__xludf.dummyfunction("""COMPUTED_VALUE"""),"Natsy")</f>
        <v>Natsy</v>
      </c>
      <c r="AF7" s="78" t="n">
        <f aca="false">IFERROR(__xludf.dummyfunction("""COMPUTED_VALUE"""),30)</f>
        <v>30</v>
      </c>
      <c r="AG7" s="78" t="n">
        <f aca="false">IFERROR(__xludf.dummyfunction("""COMPUTED_VALUE"""),20)</f>
        <v>20</v>
      </c>
      <c r="AH7" s="120" t="str">
        <f aca="false">IFERROR(__xludf.dummyfunction("""COMPUTED_VALUE"""),"Луна")</f>
        <v>Луна</v>
      </c>
      <c r="AI7" s="78" t="n">
        <f aca="false">IFERROR(__xludf.dummyfunction("""COMPUTED_VALUE"""),28.5)</f>
        <v>28.5</v>
      </c>
      <c r="AJ7" s="78" t="n">
        <f aca="false">IFERROR(__xludf.dummyfunction("""COMPUTED_VALUE"""),18.5)</f>
        <v>18.5</v>
      </c>
      <c r="AK7" s="120" t="str">
        <f aca="false">IFERROR(__xludf.dummyfunction("""COMPUTED_VALUE"""),"Слепой Часовщик")</f>
        <v>Слепой Часовщик</v>
      </c>
      <c r="AL7" s="78" t="n">
        <f aca="false">IFERROR(__xludf.dummyfunction("""COMPUTED_VALUE"""),28.75)</f>
        <v>28.75</v>
      </c>
      <c r="AM7" s="78" t="n">
        <f aca="false">IFERROR(__xludf.dummyfunction("""COMPUTED_VALUE"""),21.25)</f>
        <v>21.25</v>
      </c>
      <c r="AN7" s="120" t="str">
        <f aca="false">IFERROR(__xludf.dummyfunction("""COMPUTED_VALUE"""),"Арс")</f>
        <v>Арс</v>
      </c>
      <c r="AO7" s="78" t="n">
        <f aca="false">IFERROR(__xludf.dummyfunction("""COMPUTED_VALUE"""),27)</f>
        <v>27</v>
      </c>
      <c r="AP7" s="78" t="n">
        <f aca="false">IFERROR(__xludf.dummyfunction("""COMPUTED_VALUE"""),19.5)</f>
        <v>19.5</v>
      </c>
      <c r="AQ7" s="120" t="str">
        <f aca="false">IFERROR(__xludf.dummyfunction("""COMPUTED_VALUE"""),"Love")</f>
        <v>Love</v>
      </c>
      <c r="AR7" s="78" t="n">
        <f aca="false">IFERROR(__xludf.dummyfunction("""COMPUTED_VALUE"""),27.75)</f>
        <v>27.75</v>
      </c>
      <c r="AS7" s="78" t="n">
        <f aca="false">IFERROR(__xludf.dummyfunction("""COMPUTED_VALUE"""),20.25)</f>
        <v>20.25</v>
      </c>
      <c r="AT7" s="120" t="str">
        <f aca="false">IFERROR(__xludf.dummyfunction("""COMPUTED_VALUE"""),"Love")</f>
        <v>Love</v>
      </c>
      <c r="AU7" s="78" t="n">
        <f aca="false">IFERROR(__xludf.dummyfunction("""COMPUTED_VALUE"""),29.25)</f>
        <v>29.25</v>
      </c>
      <c r="AV7" s="78" t="n">
        <f aca="false">IFERROR(__xludf.dummyfunction("""COMPUTED_VALUE"""),19.25)</f>
        <v>19.25</v>
      </c>
      <c r="AX7" s="206" t="str">
        <f aca="false">M4</f>
        <v>Король Лев</v>
      </c>
      <c r="AY7" s="78" t="n">
        <f aca="false">N4</f>
        <v>32</v>
      </c>
      <c r="AZ7" s="207" t="n">
        <v>5</v>
      </c>
      <c r="BA7" s="36" t="n">
        <f aca="false">O$4</f>
        <v>22</v>
      </c>
    </row>
    <row r="8" customFormat="false" ht="15.75" hidden="false" customHeight="false" outlineLevel="0" collapsed="false">
      <c r="A8" s="120" t="str">
        <f aca="false">IFERROR(__xludf.dummyfunction("""COMPUTED_VALUE"""),"Админ")</f>
        <v>Админ</v>
      </c>
      <c r="B8" s="78" t="n">
        <f aca="false">IFERROR(__xludf.dummyfunction("""COMPUTED_VALUE"""),26.5)</f>
        <v>26.5</v>
      </c>
      <c r="C8" s="78" t="n">
        <f aca="false">IFERROR(__xludf.dummyfunction("""COMPUTED_VALUE"""),16.5)</f>
        <v>16.5</v>
      </c>
      <c r="D8" s="120" t="str">
        <f aca="false">IFERROR(__xludf.dummyfunction("""COMPUTED_VALUE"""),"Хрум")</f>
        <v>Хрум</v>
      </c>
      <c r="E8" s="78" t="n">
        <f aca="false">IFERROR(__xludf.dummyfunction("""COMPUTED_VALUE"""),21.5)</f>
        <v>21.5</v>
      </c>
      <c r="F8" s="78" t="n">
        <f aca="false">IFERROR(__xludf.dummyfunction("""COMPUTED_VALUE"""),16.5)</f>
        <v>16.5</v>
      </c>
      <c r="G8" s="120" t="str">
        <f aca="false">IFERROR(__xludf.dummyfunction("""COMPUTED_VALUE"""),"Сахарочек")</f>
        <v>Сахарочек</v>
      </c>
      <c r="H8" s="78" t="n">
        <f aca="false">IFERROR(__xludf.dummyfunction("""COMPUTED_VALUE"""),26.75)</f>
        <v>26.75</v>
      </c>
      <c r="I8" s="78" t="n">
        <f aca="false">IFERROR(__xludf.dummyfunction("""COMPUTED_VALUE"""),19.25)</f>
        <v>19.25</v>
      </c>
      <c r="J8" s="120" t="str">
        <f aca="false">IFERROR(__xludf.dummyfunction("""COMPUTED_VALUE"""),"Правда")</f>
        <v>Правда</v>
      </c>
      <c r="K8" s="78" t="n">
        <f aca="false">IFERROR(__xludf.dummyfunction("""COMPUTED_VALUE"""),25.5)</f>
        <v>25.5</v>
      </c>
      <c r="L8" s="78" t="n">
        <f aca="false">IFERROR(__xludf.dummyfunction("""COMPUTED_VALUE"""),18)</f>
        <v>18</v>
      </c>
      <c r="M8" s="120" t="str">
        <f aca="false">IFERROR(__xludf.dummyfunction("""COMPUTED_VALUE"""),"Бестия")</f>
        <v>Бестия</v>
      </c>
      <c r="N8" s="78" t="n">
        <f aca="false">IFERROR(__xludf.dummyfunction("""COMPUTED_VALUE"""),25.75)</f>
        <v>25.75</v>
      </c>
      <c r="O8" s="78" t="n">
        <f aca="false">IFERROR(__xludf.dummyfunction("""COMPUTED_VALUE"""),18.25)</f>
        <v>18.25</v>
      </c>
      <c r="P8" s="120" t="str">
        <f aca="false">IFERROR(__xludf.dummyfunction("""COMPUTED_VALUE"""),"Дантес")</f>
        <v>Дантес</v>
      </c>
      <c r="Q8" s="78" t="n">
        <f aca="false">IFERROR(__xludf.dummyfunction("""COMPUTED_VALUE"""),24.75)</f>
        <v>24.75</v>
      </c>
      <c r="R8" s="78" t="n">
        <f aca="false">IFERROR(__xludf.dummyfunction("""COMPUTED_VALUE"""),17.25)</f>
        <v>17.25</v>
      </c>
      <c r="S8" s="120" t="str">
        <f aca="false">IFERROR(__xludf.dummyfunction("""COMPUTED_VALUE"""),"Natsy")</f>
        <v>Natsy</v>
      </c>
      <c r="T8" s="78" t="n">
        <f aca="false">IFERROR(__xludf.dummyfunction("""COMPUTED_VALUE"""),29.5)</f>
        <v>29.5</v>
      </c>
      <c r="U8" s="78" t="n">
        <f aca="false">IFERROR(__xludf.dummyfunction("""COMPUTED_VALUE"""),19.5)</f>
        <v>19.5</v>
      </c>
      <c r="V8" s="120" t="str">
        <f aca="false">IFERROR(__xludf.dummyfunction("""COMPUTED_VALUE"""),"Чешир")</f>
        <v>Чешир</v>
      </c>
      <c r="W8" s="78" t="n">
        <f aca="false">IFERROR(__xludf.dummyfunction("""COMPUTED_VALUE"""),26.75)</f>
        <v>26.75</v>
      </c>
      <c r="X8" s="78" t="n">
        <f aca="false">IFERROR(__xludf.dummyfunction("""COMPUTED_VALUE"""),16.75)</f>
        <v>16.75</v>
      </c>
      <c r="Y8" s="120" t="str">
        <f aca="false">IFERROR(__xludf.dummyfunction("""COMPUTED_VALUE"""),"Jazz")</f>
        <v>Jazz</v>
      </c>
      <c r="Z8" s="78" t="n">
        <f aca="false">IFERROR(__xludf.dummyfunction("""COMPUTED_VALUE"""),25.75)</f>
        <v>25.75</v>
      </c>
      <c r="AA8" s="78" t="n">
        <f aca="false">IFERROR(__xludf.dummyfunction("""COMPUTED_VALUE"""),18.25)</f>
        <v>18.25</v>
      </c>
      <c r="AB8" s="120" t="str">
        <f aca="false">IFERROR(__xludf.dummyfunction("""COMPUTED_VALUE"""),"Никнейм")</f>
        <v>Никнейм</v>
      </c>
      <c r="AC8" s="78" t="n">
        <f aca="false">IFERROR(__xludf.dummyfunction("""COMPUTED_VALUE"""),27.5)</f>
        <v>27.5</v>
      </c>
      <c r="AD8" s="78" t="n">
        <f aca="false">IFERROR(__xludf.dummyfunction("""COMPUTED_VALUE"""),17.5)</f>
        <v>17.5</v>
      </c>
      <c r="AE8" s="120" t="str">
        <f aca="false">IFERROR(__xludf.dummyfunction("""COMPUTED_VALUE"""),"Рыжая")</f>
        <v>Рыжая</v>
      </c>
      <c r="AF8" s="78" t="n">
        <f aca="false">IFERROR(__xludf.dummyfunction("""COMPUTED_VALUE"""),30)</f>
        <v>30</v>
      </c>
      <c r="AG8" s="78" t="n">
        <f aca="false">IFERROR(__xludf.dummyfunction("""COMPUTED_VALUE"""),20)</f>
        <v>20</v>
      </c>
      <c r="AH8" s="120" t="str">
        <f aca="false">IFERROR(__xludf.dummyfunction("""COMPUTED_VALUE"""),"Сахарочек")</f>
        <v>Сахарочек</v>
      </c>
      <c r="AI8" s="78" t="n">
        <f aca="false">IFERROR(__xludf.dummyfunction("""COMPUTED_VALUE"""),26.5)</f>
        <v>26.5</v>
      </c>
      <c r="AJ8" s="78" t="n">
        <f aca="false">IFERROR(__xludf.dummyfunction("""COMPUTED_VALUE"""),16.5)</f>
        <v>16.5</v>
      </c>
      <c r="AK8" s="120" t="str">
        <f aca="false">IFERROR(__xludf.dummyfunction("""COMPUTED_VALUE"""),"Красавчик")</f>
        <v>Красавчик</v>
      </c>
      <c r="AL8" s="78" t="n">
        <f aca="false">IFERROR(__xludf.dummyfunction("""COMPUTED_VALUE"""),28.5)</f>
        <v>28.5</v>
      </c>
      <c r="AM8" s="78" t="n">
        <f aca="false">IFERROR(__xludf.dummyfunction("""COMPUTED_VALUE"""),18.5)</f>
        <v>18.5</v>
      </c>
      <c r="AN8" s="120" t="str">
        <f aca="false">IFERROR(__xludf.dummyfunction("""COMPUTED_VALUE"""),"SEO")</f>
        <v>SEO</v>
      </c>
      <c r="AO8" s="78" t="n">
        <f aca="false">IFERROR(__xludf.dummyfunction("""COMPUTED_VALUE"""),26.5)</f>
        <v>26.5</v>
      </c>
      <c r="AP8" s="78" t="n">
        <f aca="false">IFERROR(__xludf.dummyfunction("""COMPUTED_VALUE"""),19)</f>
        <v>19</v>
      </c>
      <c r="AQ8" s="120" t="str">
        <f aca="false">IFERROR(__xludf.dummyfunction("""COMPUTED_VALUE"""),"Параселена")</f>
        <v>Параселена</v>
      </c>
      <c r="AR8" s="78" t="n">
        <f aca="false">IFERROR(__xludf.dummyfunction("""COMPUTED_VALUE"""),26.75)</f>
        <v>26.75</v>
      </c>
      <c r="AS8" s="78" t="n">
        <f aca="false">IFERROR(__xludf.dummyfunction("""COMPUTED_VALUE"""),19.25)</f>
        <v>19.25</v>
      </c>
      <c r="AT8" s="120" t="str">
        <f aca="false">IFERROR(__xludf.dummyfunction("""COMPUTED_VALUE"""),"БМ")</f>
        <v>БМ</v>
      </c>
      <c r="AU8" s="78" t="n">
        <f aca="false">IFERROR(__xludf.dummyfunction("""COMPUTED_VALUE"""),29)</f>
        <v>29</v>
      </c>
      <c r="AV8" s="78" t="n">
        <f aca="false">IFERROR(__xludf.dummyfunction("""COMPUTED_VALUE"""),21.5)</f>
        <v>21.5</v>
      </c>
      <c r="AX8" s="206" t="str">
        <f aca="false">P4</f>
        <v>Физик</v>
      </c>
      <c r="AY8" s="78" t="n">
        <f aca="false">Q4</f>
        <v>30.75</v>
      </c>
      <c r="AZ8" s="207" t="n">
        <v>6</v>
      </c>
      <c r="BA8" s="36" t="n">
        <f aca="false">R$4</f>
        <v>20.75</v>
      </c>
    </row>
    <row r="9" customFormat="false" ht="15.75" hidden="false" customHeight="false" outlineLevel="0" collapsed="false">
      <c r="A9" s="120" t="str">
        <f aca="false">IFERROR(__xludf.dummyfunction("""COMPUTED_VALUE"""),"Хрум")</f>
        <v>Хрум</v>
      </c>
      <c r="B9" s="78" t="n">
        <f aca="false">IFERROR(__xludf.dummyfunction("""COMPUTED_VALUE"""),25)</f>
        <v>25</v>
      </c>
      <c r="C9" s="78" t="n">
        <f aca="false">IFERROR(__xludf.dummyfunction("""COMPUTED_VALUE"""),20)</f>
        <v>20</v>
      </c>
      <c r="D9" s="120" t="str">
        <f aca="false">IFERROR(__xludf.dummyfunction("""COMPUTED_VALUE"""),"Никнейм")</f>
        <v>Никнейм</v>
      </c>
      <c r="E9" s="78" t="n">
        <f aca="false">IFERROR(__xludf.dummyfunction("""COMPUTED_VALUE"""),21.5)</f>
        <v>21.5</v>
      </c>
      <c r="F9" s="78" t="n">
        <f aca="false">IFERROR(__xludf.dummyfunction("""COMPUTED_VALUE"""),16.5)</f>
        <v>16.5</v>
      </c>
      <c r="G9" s="120" t="str">
        <f aca="false">IFERROR(__xludf.dummyfunction("""COMPUTED_VALUE"""),"Хрум")</f>
        <v>Хрум</v>
      </c>
      <c r="H9" s="78" t="n">
        <f aca="false">IFERROR(__xludf.dummyfunction("""COMPUTED_VALUE"""),25.75)</f>
        <v>25.75</v>
      </c>
      <c r="I9" s="78" t="n">
        <f aca="false">IFERROR(__xludf.dummyfunction("""COMPUTED_VALUE"""),18.25)</f>
        <v>18.25</v>
      </c>
      <c r="J9" s="120" t="str">
        <f aca="false">IFERROR(__xludf.dummyfunction("""COMPUTED_VALUE"""),"Дантес")</f>
        <v>Дантес</v>
      </c>
      <c r="K9" s="78" t="n">
        <f aca="false">IFERROR(__xludf.dummyfunction("""COMPUTED_VALUE"""),25)</f>
        <v>25</v>
      </c>
      <c r="L9" s="78" t="n">
        <f aca="false">IFERROR(__xludf.dummyfunction("""COMPUTED_VALUE"""),17.5)</f>
        <v>17.5</v>
      </c>
      <c r="M9" s="120" t="str">
        <f aca="false">IFERROR(__xludf.dummyfunction("""COMPUTED_VALUE"""),"Bublik")</f>
        <v>Bublik</v>
      </c>
      <c r="N9" s="78" t="n">
        <f aca="false">IFERROR(__xludf.dummyfunction("""COMPUTED_VALUE"""),25.5)</f>
        <v>25.5</v>
      </c>
      <c r="O9" s="78" t="n">
        <f aca="false">IFERROR(__xludf.dummyfunction("""COMPUTED_VALUE"""),18)</f>
        <v>18</v>
      </c>
      <c r="P9" s="120" t="str">
        <f aca="false">IFERROR(__xludf.dummyfunction("""COMPUTED_VALUE"""),"Оскар")</f>
        <v>Оскар</v>
      </c>
      <c r="Q9" s="78" t="n">
        <f aca="false">IFERROR(__xludf.dummyfunction("""COMPUTED_VALUE"""),23.5)</f>
        <v>23.5</v>
      </c>
      <c r="R9" s="78" t="n">
        <f aca="false">IFERROR(__xludf.dummyfunction("""COMPUTED_VALUE"""),16)</f>
        <v>16</v>
      </c>
      <c r="S9" s="120" t="str">
        <f aca="false">IFERROR(__xludf.dummyfunction("""COMPUTED_VALUE"""),"Нелли")</f>
        <v>Нелли</v>
      </c>
      <c r="T9" s="78" t="n">
        <f aca="false">IFERROR(__xludf.dummyfunction("""COMPUTED_VALUE"""),28.25)</f>
        <v>28.25</v>
      </c>
      <c r="U9" s="78" t="n">
        <f aca="false">IFERROR(__xludf.dummyfunction("""COMPUTED_VALUE"""),20.75)</f>
        <v>20.75</v>
      </c>
      <c r="V9" s="120" t="str">
        <f aca="false">IFERROR(__xludf.dummyfunction("""COMPUTED_VALUE"""),"Шпиц")</f>
        <v>Шпиц</v>
      </c>
      <c r="W9" s="78" t="n">
        <f aca="false">IFERROR(__xludf.dummyfunction("""COMPUTED_VALUE"""),26.75)</f>
        <v>26.75</v>
      </c>
      <c r="X9" s="78" t="n">
        <f aca="false">IFERROR(__xludf.dummyfunction("""COMPUTED_VALUE"""),16.75)</f>
        <v>16.75</v>
      </c>
      <c r="Y9" s="120" t="str">
        <f aca="false">IFERROR(__xludf.dummyfunction("""COMPUTED_VALUE"""),"Шоу Бой")</f>
        <v>Шоу Бой</v>
      </c>
      <c r="Z9" s="78" t="n">
        <f aca="false">IFERROR(__xludf.dummyfunction("""COMPUTED_VALUE"""),24.5)</f>
        <v>24.5</v>
      </c>
      <c r="AA9" s="78" t="n">
        <f aca="false">IFERROR(__xludf.dummyfunction("""COMPUTED_VALUE"""),19.5)</f>
        <v>19.5</v>
      </c>
      <c r="AB9" s="120" t="str">
        <f aca="false">IFERROR(__xludf.dummyfunction("""COMPUTED_VALUE"""),"Махинатор")</f>
        <v>Махинатор</v>
      </c>
      <c r="AC9" s="78" t="n">
        <f aca="false">IFERROR(__xludf.dummyfunction("""COMPUTED_VALUE"""),22.75)</f>
        <v>22.75</v>
      </c>
      <c r="AD9" s="78" t="n">
        <f aca="false">IFERROR(__xludf.dummyfunction("""COMPUTED_VALUE"""),17.75)</f>
        <v>17.75</v>
      </c>
      <c r="AE9" s="120" t="str">
        <f aca="false">IFERROR(__xludf.dummyfunction("""COMPUTED_VALUE"""),"Sr")</f>
        <v>Sr</v>
      </c>
      <c r="AF9" s="78" t="n">
        <f aca="false">IFERROR(__xludf.dummyfunction("""COMPUTED_VALUE"""),28)</f>
        <v>28</v>
      </c>
      <c r="AG9" s="78" t="n">
        <f aca="false">IFERROR(__xludf.dummyfunction("""COMPUTED_VALUE"""),20.5)</f>
        <v>20.5</v>
      </c>
      <c r="AH9" s="120" t="str">
        <f aca="false">IFERROR(__xludf.dummyfunction("""COMPUTED_VALUE"""),"Никнейм")</f>
        <v>Никнейм</v>
      </c>
      <c r="AI9" s="78" t="n">
        <f aca="false">IFERROR(__xludf.dummyfunction("""COMPUTED_VALUE"""),23)</f>
        <v>23</v>
      </c>
      <c r="AJ9" s="78" t="n">
        <f aca="false">IFERROR(__xludf.dummyfunction("""COMPUTED_VALUE"""),18)</f>
        <v>18</v>
      </c>
      <c r="AK9" s="120" t="str">
        <f aca="false">IFERROR(__xludf.dummyfunction("""COMPUTED_VALUE"""),"SEO")</f>
        <v>SEO</v>
      </c>
      <c r="AL9" s="78" t="n">
        <f aca="false">IFERROR(__xludf.dummyfunction("""COMPUTED_VALUE"""),27.5)</f>
        <v>27.5</v>
      </c>
      <c r="AM9" s="78" t="n">
        <f aca="false">IFERROR(__xludf.dummyfunction("""COMPUTED_VALUE"""),20)</f>
        <v>20</v>
      </c>
      <c r="AN9" s="120" t="str">
        <f aca="false">IFERROR(__xludf.dummyfunction("""COMPUTED_VALUE"""),"Слепой Часовщик")</f>
        <v>Слепой Часовщик</v>
      </c>
      <c r="AO9" s="78" t="n">
        <f aca="false">IFERROR(__xludf.dummyfunction("""COMPUTED_VALUE"""),26.25)</f>
        <v>26.25</v>
      </c>
      <c r="AP9" s="78" t="n">
        <f aca="false">IFERROR(__xludf.dummyfunction("""COMPUTED_VALUE"""),18.75)</f>
        <v>18.75</v>
      </c>
      <c r="AQ9" s="120" t="str">
        <f aca="false">IFERROR(__xludf.dummyfunction("""COMPUTED_VALUE"""),"Teslex")</f>
        <v>Teslex</v>
      </c>
      <c r="AR9" s="78" t="n">
        <f aca="false">IFERROR(__xludf.dummyfunction("""COMPUTED_VALUE"""),26.25)</f>
        <v>26.25</v>
      </c>
      <c r="AS9" s="78" t="n">
        <f aca="false">IFERROR(__xludf.dummyfunction("""COMPUTED_VALUE"""),16.25)</f>
        <v>16.25</v>
      </c>
      <c r="AT9" s="120" t="str">
        <f aca="false">IFERROR(__xludf.dummyfunction("""COMPUTED_VALUE"""),"Домовенок ")</f>
        <v>Домовенок </v>
      </c>
      <c r="AU9" s="78" t="n">
        <f aca="false">IFERROR(__xludf.dummyfunction("""COMPUTED_VALUE"""),26.5)</f>
        <v>26.5</v>
      </c>
      <c r="AV9" s="78" t="n">
        <f aca="false">IFERROR(__xludf.dummyfunction("""COMPUTED_VALUE"""),19)</f>
        <v>19</v>
      </c>
      <c r="AX9" s="206" t="str">
        <f aca="false">S4</f>
        <v>Бастурма</v>
      </c>
      <c r="AY9" s="78" t="n">
        <f aca="false">T4</f>
        <v>33.5</v>
      </c>
      <c r="AZ9" s="205" t="n">
        <v>7</v>
      </c>
      <c r="BA9" s="36" t="n">
        <f aca="false">U$4</f>
        <v>21</v>
      </c>
    </row>
    <row r="10" customFormat="false" ht="15.75" hidden="false" customHeight="false" outlineLevel="0" collapsed="false">
      <c r="A10" s="120" t="str">
        <f aca="false">IFERROR(__xludf.dummyfunction("""COMPUTED_VALUE"""),"SR")</f>
        <v>SR</v>
      </c>
      <c r="B10" s="78" t="n">
        <f aca="false">IFERROR(__xludf.dummyfunction("""COMPUTED_VALUE"""),20)</f>
        <v>20</v>
      </c>
      <c r="C10" s="78" t="n">
        <f aca="false">IFERROR(__xludf.dummyfunction("""COMPUTED_VALUE"""),15)</f>
        <v>15</v>
      </c>
      <c r="D10" s="120" t="str">
        <f aca="false">IFERROR(__xludf.dummyfunction("""COMPUTED_VALUE"""),"Лунатик")</f>
        <v>Лунатик</v>
      </c>
      <c r="E10" s="78" t="n">
        <f aca="false">IFERROR(__xludf.dummyfunction("""COMPUTED_VALUE"""),18.75)</f>
        <v>18.75</v>
      </c>
      <c r="F10" s="78" t="n">
        <f aca="false">IFERROR(__xludf.dummyfunction("""COMPUTED_VALUE"""),16.25)</f>
        <v>16.25</v>
      </c>
      <c r="G10" s="120" t="str">
        <f aca="false">IFERROR(__xludf.dummyfunction("""COMPUTED_VALUE"""),"Домовенок")</f>
        <v>Домовенок</v>
      </c>
      <c r="H10" s="78" t="n">
        <f aca="false">IFERROR(__xludf.dummyfunction("""COMPUTED_VALUE"""),23.75)</f>
        <v>23.75</v>
      </c>
      <c r="I10" s="78" t="n">
        <f aca="false">IFERROR(__xludf.dummyfunction("""COMPUTED_VALUE"""),16.25)</f>
        <v>16.25</v>
      </c>
      <c r="J10" s="120" t="str">
        <f aca="false">IFERROR(__xludf.dummyfunction("""COMPUTED_VALUE"""),"Суета")</f>
        <v>Суета</v>
      </c>
      <c r="K10" s="78" t="n">
        <f aca="false">IFERROR(__xludf.dummyfunction("""COMPUTED_VALUE"""),24.25)</f>
        <v>24.25</v>
      </c>
      <c r="L10" s="78" t="n">
        <f aca="false">IFERROR(__xludf.dummyfunction("""COMPUTED_VALUE"""),16.75)</f>
        <v>16.75</v>
      </c>
      <c r="M10" s="120" t="str">
        <f aca="false">IFERROR(__xludf.dummyfunction("""COMPUTED_VALUE"""),"Sirena")</f>
        <v>Sirena</v>
      </c>
      <c r="N10" s="78" t="n">
        <f aca="false">IFERROR(__xludf.dummyfunction("""COMPUTED_VALUE"""),23)</f>
        <v>23</v>
      </c>
      <c r="O10" s="78" t="n">
        <f aca="false">IFERROR(__xludf.dummyfunction("""COMPUTED_VALUE"""),18)</f>
        <v>18</v>
      </c>
      <c r="P10" s="120" t="str">
        <f aca="false">IFERROR(__xludf.dummyfunction("""COMPUTED_VALUE"""),"Лео")</f>
        <v>Лео</v>
      </c>
      <c r="Q10" s="78" t="n">
        <f aca="false">IFERROR(__xludf.dummyfunction("""COMPUTED_VALUE"""),22.5)</f>
        <v>22.5</v>
      </c>
      <c r="R10" s="78" t="n">
        <f aca="false">IFERROR(__xludf.dummyfunction("""COMPUTED_VALUE"""),17.5)</f>
        <v>17.5</v>
      </c>
      <c r="S10" s="120" t="str">
        <f aca="false">IFERROR(__xludf.dummyfunction("""COMPUTED_VALUE"""),"Зверюга")</f>
        <v>Зверюга</v>
      </c>
      <c r="T10" s="78" t="n">
        <f aca="false">IFERROR(__xludf.dummyfunction("""COMPUTED_VALUE"""),25)</f>
        <v>25</v>
      </c>
      <c r="U10" s="78" t="n">
        <f aca="false">IFERROR(__xludf.dummyfunction("""COMPUTED_VALUE"""),20)</f>
        <v>20</v>
      </c>
      <c r="V10" s="120" t="str">
        <f aca="false">IFERROR(__xludf.dummyfunction("""COMPUTED_VALUE"""),"Шоу Бой")</f>
        <v>Шоу Бой</v>
      </c>
      <c r="W10" s="78" t="n">
        <f aca="false">IFERROR(__xludf.dummyfunction("""COMPUTED_VALUE"""),25.75)</f>
        <v>25.75</v>
      </c>
      <c r="X10" s="78" t="n">
        <f aca="false">IFERROR(__xludf.dummyfunction("""COMPUTED_VALUE"""),20.75)</f>
        <v>20.75</v>
      </c>
      <c r="Y10" s="120" t="str">
        <f aca="false">IFERROR(__xludf.dummyfunction("""COMPUTED_VALUE"""),"Stacy")</f>
        <v>Stacy</v>
      </c>
      <c r="Z10" s="78" t="n">
        <f aca="false">IFERROR(__xludf.dummyfunction("""COMPUTED_VALUE"""),20)</f>
        <v>20</v>
      </c>
      <c r="AA10" s="78" t="n">
        <f aca="false">IFERROR(__xludf.dummyfunction("""COMPUTED_VALUE"""),15)</f>
        <v>15</v>
      </c>
      <c r="AB10" s="120" t="str">
        <f aca="false">IFERROR(__xludf.dummyfunction("""COMPUTED_VALUE"""),"Рыжая")</f>
        <v>Рыжая</v>
      </c>
      <c r="AC10" s="78" t="n">
        <f aca="false">IFERROR(__xludf.dummyfunction("""COMPUTED_VALUE"""),22.75)</f>
        <v>22.75</v>
      </c>
      <c r="AD10" s="78" t="n">
        <f aca="false">IFERROR(__xludf.dummyfunction("""COMPUTED_VALUE"""),17.75)</f>
        <v>17.75</v>
      </c>
      <c r="AE10" s="120" t="str">
        <f aca="false">IFERROR(__xludf.dummyfunction("""COMPUTED_VALUE"""),"Букля")</f>
        <v>Букля</v>
      </c>
      <c r="AF10" s="78" t="n">
        <f aca="false">IFERROR(__xludf.dummyfunction("""COMPUTED_VALUE"""),28)</f>
        <v>28</v>
      </c>
      <c r="AG10" s="78" t="n">
        <f aca="false">IFERROR(__xludf.dummyfunction("""COMPUTED_VALUE"""),20.5)</f>
        <v>20.5</v>
      </c>
      <c r="AH10" s="120" t="str">
        <f aca="false">IFERROR(__xludf.dummyfunction("""COMPUTED_VALUE"""),"Дракарис")</f>
        <v>Дракарис</v>
      </c>
      <c r="AI10" s="78" t="n">
        <f aca="false">IFERROR(__xludf.dummyfunction("""COMPUTED_VALUE"""),22)</f>
        <v>22</v>
      </c>
      <c r="AJ10" s="78" t="n">
        <f aca="false">IFERROR(__xludf.dummyfunction("""COMPUTED_VALUE"""),19.5)</f>
        <v>19.5</v>
      </c>
      <c r="AK10" s="120" t="str">
        <f aca="false">IFERROR(__xludf.dummyfunction("""COMPUTED_VALUE"""),"Juventini")</f>
        <v>Juventini</v>
      </c>
      <c r="AL10" s="78" t="n">
        <f aca="false">IFERROR(__xludf.dummyfunction("""COMPUTED_VALUE"""),25)</f>
        <v>25</v>
      </c>
      <c r="AM10" s="78" t="n">
        <f aca="false">IFERROR(__xludf.dummyfunction("""COMPUTED_VALUE"""),15)</f>
        <v>15</v>
      </c>
      <c r="AN10" s="120" t="str">
        <f aca="false">IFERROR(__xludf.dummyfunction("""COMPUTED_VALUE"""),"Love")</f>
        <v>Love</v>
      </c>
      <c r="AO10" s="78" t="n">
        <f aca="false">IFERROR(__xludf.dummyfunction("""COMPUTED_VALUE"""),26.25)</f>
        <v>26.25</v>
      </c>
      <c r="AP10" s="78" t="n">
        <f aca="false">IFERROR(__xludf.dummyfunction("""COMPUTED_VALUE"""),18.75)</f>
        <v>18.75</v>
      </c>
      <c r="AQ10" s="120" t="str">
        <f aca="false">IFERROR(__xludf.dummyfunction("""COMPUTED_VALUE"""),"Рыжая")</f>
        <v>Рыжая</v>
      </c>
      <c r="AR10" s="78" t="n">
        <f aca="false">IFERROR(__xludf.dummyfunction("""COMPUTED_VALUE"""),25.5)</f>
        <v>25.5</v>
      </c>
      <c r="AS10" s="78" t="n">
        <f aca="false">IFERROR(__xludf.dummyfunction("""COMPUTED_VALUE"""),15.5)</f>
        <v>15.5</v>
      </c>
      <c r="AT10" s="120" t="str">
        <f aca="false">IFERROR(__xludf.dummyfunction("""COMPUTED_VALUE"""),"UFO")</f>
        <v>UFO</v>
      </c>
      <c r="AU10" s="78" t="n">
        <f aca="false">IFERROR(__xludf.dummyfunction("""COMPUTED_VALUE"""),20.25)</f>
        <v>20.25</v>
      </c>
      <c r="AV10" s="78" t="n">
        <f aca="false">IFERROR(__xludf.dummyfunction("""COMPUTED_VALUE"""),17.75)</f>
        <v>17.75</v>
      </c>
      <c r="AX10" s="206" t="str">
        <f aca="false">V4</f>
        <v>Бастурма</v>
      </c>
      <c r="AY10" s="78" t="n">
        <f aca="false">W4</f>
        <v>37.75</v>
      </c>
      <c r="AZ10" s="207" t="n">
        <v>8</v>
      </c>
      <c r="BA10" s="36" t="n">
        <f aca="false">X$4</f>
        <v>22.75</v>
      </c>
    </row>
    <row r="11" customFormat="false" ht="15.75" hidden="false" customHeight="false" outlineLevel="0" collapsed="false">
      <c r="A11" s="120" t="str">
        <f aca="false">IFERROR(__xludf.dummyfunction("""COMPUTED_VALUE"""),"Никнейм")</f>
        <v>Никнейм</v>
      </c>
      <c r="B11" s="78" t="n">
        <f aca="false">IFERROR(__xludf.dummyfunction("""COMPUTED_VALUE"""),14.5)</f>
        <v>14.5</v>
      </c>
      <c r="C11" s="78" t="n">
        <f aca="false">IFERROR(__xludf.dummyfunction("""COMPUTED_VALUE"""),14.5)</f>
        <v>14.5</v>
      </c>
      <c r="D11" s="120" t="str">
        <f aca="false">IFERROR(__xludf.dummyfunction("""COMPUTED_VALUE"""),"Love")</f>
        <v>Love</v>
      </c>
      <c r="E11" s="78" t="n">
        <f aca="false">IFERROR(__xludf.dummyfunction("""COMPUTED_VALUE"""),16)</f>
        <v>16</v>
      </c>
      <c r="F11" s="78" t="n">
        <f aca="false">IFERROR(__xludf.dummyfunction("""COMPUTED_VALUE"""),13.5)</f>
        <v>13.5</v>
      </c>
      <c r="G11" s="120" t="str">
        <f aca="false">IFERROR(__xludf.dummyfunction("""COMPUTED_VALUE"""),"Хантер")</f>
        <v>Хантер</v>
      </c>
      <c r="H11" s="78" t="n">
        <f aca="false">IFERROR(__xludf.dummyfunction("""COMPUTED_VALUE"""),20)</f>
        <v>20</v>
      </c>
      <c r="I11" s="78" t="n">
        <f aca="false">IFERROR(__xludf.dummyfunction("""COMPUTED_VALUE"""),15)</f>
        <v>15</v>
      </c>
      <c r="J11" s="120" t="str">
        <f aca="false">IFERROR(__xludf.dummyfunction("""COMPUTED_VALUE"""),"Рыжая")</f>
        <v>Рыжая</v>
      </c>
      <c r="K11" s="78" t="n">
        <f aca="false">IFERROR(__xludf.dummyfunction("""COMPUTED_VALUE"""),22.5)</f>
        <v>22.5</v>
      </c>
      <c r="L11" s="78" t="n">
        <f aca="false">IFERROR(__xludf.dummyfunction("""COMPUTED_VALUE"""),17.5)</f>
        <v>17.5</v>
      </c>
      <c r="M11" s="120" t="str">
        <f aca="false">IFERROR(__xludf.dummyfunction("""COMPUTED_VALUE"""),"СЧ")</f>
        <v>СЧ</v>
      </c>
      <c r="N11" s="78" t="n">
        <f aca="false">IFERROR(__xludf.dummyfunction("""COMPUTED_VALUE"""),22.25)</f>
        <v>22.25</v>
      </c>
      <c r="O11" s="78" t="n">
        <f aca="false">IFERROR(__xludf.dummyfunction("""COMPUTED_VALUE"""),17.25)</f>
        <v>17.25</v>
      </c>
      <c r="P11" s="120" t="str">
        <f aca="false">IFERROR(__xludf.dummyfunction("""COMPUTED_VALUE"""),"Хлоя")</f>
        <v>Хлоя</v>
      </c>
      <c r="Q11" s="78" t="n">
        <f aca="false">IFERROR(__xludf.dummyfunction("""COMPUTED_VALUE"""),21)</f>
        <v>21</v>
      </c>
      <c r="R11" s="78" t="n">
        <f aca="false">IFERROR(__xludf.dummyfunction("""COMPUTED_VALUE"""),16)</f>
        <v>16</v>
      </c>
      <c r="S11" s="120" t="str">
        <f aca="false">IFERROR(__xludf.dummyfunction("""COMPUTED_VALUE"""),"Донателло")</f>
        <v>Донателло</v>
      </c>
      <c r="T11" s="78" t="n">
        <f aca="false">IFERROR(__xludf.dummyfunction("""COMPUTED_VALUE"""),20.25)</f>
        <v>20.25</v>
      </c>
      <c r="U11" s="78" t="n">
        <f aca="false">IFERROR(__xludf.dummyfunction("""COMPUTED_VALUE"""),15.25)</f>
        <v>15.25</v>
      </c>
      <c r="V11" s="120" t="str">
        <f aca="false">IFERROR(__xludf.dummyfunction("""COMPUTED_VALUE"""),"Afer1st")</f>
        <v>Afer1st</v>
      </c>
      <c r="W11" s="78" t="n">
        <f aca="false">IFERROR(__xludf.dummyfunction("""COMPUTED_VALUE"""),25.75)</f>
        <v>25.75</v>
      </c>
      <c r="X11" s="78" t="n">
        <f aca="false">IFERROR(__xludf.dummyfunction("""COMPUTED_VALUE"""),18.25)</f>
        <v>18.25</v>
      </c>
      <c r="Y11" s="120" t="str">
        <f aca="false">IFERROR(__xludf.dummyfunction("""COMPUTED_VALUE"""),"Мишель")</f>
        <v>Мишель</v>
      </c>
      <c r="Z11" s="78" t="n">
        <f aca="false">IFERROR(__xludf.dummyfunction("""COMPUTED_VALUE"""),16.25)</f>
        <v>16.25</v>
      </c>
      <c r="AA11" s="78" t="n">
        <f aca="false">IFERROR(__xludf.dummyfunction("""COMPUTED_VALUE"""),16.25)</f>
        <v>16.25</v>
      </c>
      <c r="AB11" s="120" t="str">
        <f aca="false">IFERROR(__xludf.dummyfunction("""COMPUTED_VALUE"""),"Спирит")</f>
        <v>Спирит</v>
      </c>
      <c r="AC11" s="78" t="n">
        <f aca="false">IFERROR(__xludf.dummyfunction("""COMPUTED_VALUE"""),22.75)</f>
        <v>22.75</v>
      </c>
      <c r="AD11" s="78" t="n">
        <f aca="false">IFERROR(__xludf.dummyfunction("""COMPUTED_VALUE"""),15.25)</f>
        <v>15.25</v>
      </c>
      <c r="AE11" s="120" t="str">
        <f aca="false">IFERROR(__xludf.dummyfunction("""COMPUTED_VALUE"""),"Спирит")</f>
        <v>Спирит</v>
      </c>
      <c r="AF11" s="78" t="n">
        <f aca="false">IFERROR(__xludf.dummyfunction("""COMPUTED_VALUE"""),22.5)</f>
        <v>22.5</v>
      </c>
      <c r="AG11" s="78" t="n">
        <f aca="false">IFERROR(__xludf.dummyfunction("""COMPUTED_VALUE"""),17.5)</f>
        <v>17.5</v>
      </c>
      <c r="AH11" s="120" t="str">
        <f aca="false">IFERROR(__xludf.dummyfunction("""COMPUTED_VALUE"""),"Домовенок")</f>
        <v>Домовенок</v>
      </c>
      <c r="AI11" s="78" t="n">
        <f aca="false">IFERROR(__xludf.dummyfunction("""COMPUTED_VALUE"""),22)</f>
        <v>22</v>
      </c>
      <c r="AJ11" s="78" t="n">
        <f aca="false">IFERROR(__xludf.dummyfunction("""COMPUTED_VALUE"""),17)</f>
        <v>17</v>
      </c>
      <c r="AK11" s="120" t="str">
        <f aca="false">IFERROR(__xludf.dummyfunction("""COMPUTED_VALUE"""),"Венеция")</f>
        <v>Венеция</v>
      </c>
      <c r="AL11" s="78" t="n">
        <f aca="false">IFERROR(__xludf.dummyfunction("""COMPUTED_VALUE"""),23.5)</f>
        <v>23.5</v>
      </c>
      <c r="AM11" s="78" t="n">
        <f aca="false">IFERROR(__xludf.dummyfunction("""COMPUTED_VALUE"""),16)</f>
        <v>16</v>
      </c>
      <c r="AN11" s="120" t="str">
        <f aca="false">IFERROR(__xludf.dummyfunction("""COMPUTED_VALUE"""),"Алкарис")</f>
        <v>Алкарис</v>
      </c>
      <c r="AO11" s="78" t="n">
        <f aca="false">IFERROR(__xludf.dummyfunction("""COMPUTED_VALUE"""),22.75)</f>
        <v>22.75</v>
      </c>
      <c r="AP11" s="78" t="n">
        <f aca="false">IFERROR(__xludf.dummyfunction("""COMPUTED_VALUE"""),17.75)</f>
        <v>17.75</v>
      </c>
      <c r="AQ11" s="120" t="str">
        <f aca="false">IFERROR(__xludf.dummyfunction("""COMPUTED_VALUE"""),"Сахарочек")</f>
        <v>Сахарочек</v>
      </c>
      <c r="AR11" s="78" t="n">
        <f aca="false">IFERROR(__xludf.dummyfunction("""COMPUTED_VALUE"""),25.25)</f>
        <v>25.25</v>
      </c>
      <c r="AS11" s="78" t="n">
        <f aca="false">IFERROR(__xludf.dummyfunction("""COMPUTED_VALUE"""),17.75)</f>
        <v>17.75</v>
      </c>
      <c r="AT11" s="120" t="str">
        <f aca="false">IFERROR(__xludf.dummyfunction("""COMPUTED_VALUE"""),"Tardis")</f>
        <v>Tardis</v>
      </c>
      <c r="AU11" s="78" t="n">
        <f aca="false">IFERROR(__xludf.dummyfunction("""COMPUTED_VALUE"""),20.25)</f>
        <v>20.25</v>
      </c>
      <c r="AV11" s="78" t="n">
        <f aca="false">IFERROR(__xludf.dummyfunction("""COMPUTED_VALUE"""),15.25)</f>
        <v>15.25</v>
      </c>
      <c r="AX11" s="206" t="str">
        <f aca="false">Y5</f>
        <v>Бастурма</v>
      </c>
      <c r="AY11" s="78" t="n">
        <f aca="false">Z5</f>
        <v>27.75</v>
      </c>
      <c r="AZ11" s="207" t="n">
        <v>9</v>
      </c>
      <c r="BA11" s="36" t="n">
        <f aca="false">AA$4</f>
        <v>22.5</v>
      </c>
    </row>
    <row r="12" customFormat="false" ht="15.75" hidden="false" customHeight="false" outlineLevel="0" collapsed="false">
      <c r="A12" s="120" t="str">
        <f aca="false">IFERROR(__xludf.dummyfunction("""COMPUTED_VALUE"""),"Мона")</f>
        <v>Мона</v>
      </c>
      <c r="B12" s="78" t="n">
        <f aca="false">IFERROR(__xludf.dummyfunction("""COMPUTED_VALUE"""),13.25)</f>
        <v>13.25</v>
      </c>
      <c r="C12" s="78" t="n">
        <f aca="false">IFERROR(__xludf.dummyfunction("""COMPUTED_VALUE"""),13.25)</f>
        <v>13.25</v>
      </c>
      <c r="D12" s="120" t="str">
        <f aca="false">IFERROR(__xludf.dummyfunction("""COMPUTED_VALUE"""),"Bogrolla")</f>
        <v>Bogrolla</v>
      </c>
      <c r="E12" s="78" t="n">
        <f aca="false">IFERROR(__xludf.dummyfunction("""COMPUTED_VALUE"""),15.5)</f>
        <v>15.5</v>
      </c>
      <c r="F12" s="78" t="n">
        <f aca="false">IFERROR(__xludf.dummyfunction("""COMPUTED_VALUE"""),15.5)</f>
        <v>15.5</v>
      </c>
      <c r="G12" s="120" t="str">
        <f aca="false">IFERROR(__xludf.dummyfunction("""COMPUTED_VALUE"""),"Оскар")</f>
        <v>Оскар</v>
      </c>
      <c r="H12" s="78" t="n">
        <f aca="false">IFERROR(__xludf.dummyfunction("""COMPUTED_VALUE"""),14.75)</f>
        <v>14.75</v>
      </c>
      <c r="I12" s="78" t="n">
        <f aca="false">IFERROR(__xludf.dummyfunction("""COMPUTED_VALUE"""),12.25)</f>
        <v>12.25</v>
      </c>
      <c r="J12" s="120" t="str">
        <f aca="false">IFERROR(__xludf.dummyfunction("""COMPUTED_VALUE"""),"Король Лев")</f>
        <v>Король Лев</v>
      </c>
      <c r="K12" s="78" t="n">
        <f aca="false">IFERROR(__xludf.dummyfunction("""COMPUTED_VALUE"""),20)</f>
        <v>20</v>
      </c>
      <c r="L12" s="78" t="n">
        <f aca="false">IFERROR(__xludf.dummyfunction("""COMPUTED_VALUE"""),15)</f>
        <v>15</v>
      </c>
      <c r="M12" s="120" t="str">
        <f aca="false">IFERROR(__xludf.dummyfunction("""COMPUTED_VALUE"""),"Дантес")</f>
        <v>Дантес</v>
      </c>
      <c r="N12" s="78" t="n">
        <f aca="false">IFERROR(__xludf.dummyfunction("""COMPUTED_VALUE"""),21.75)</f>
        <v>21.75</v>
      </c>
      <c r="O12" s="78" t="n">
        <f aca="false">IFERROR(__xludf.dummyfunction("""COMPUTED_VALUE"""),16.75)</f>
        <v>16.75</v>
      </c>
      <c r="P12" s="120" t="str">
        <f aca="false">IFERROR(__xludf.dummyfunction("""COMPUTED_VALUE"""),"Король Лев")</f>
        <v>Король Лев</v>
      </c>
      <c r="Q12" s="78" t="n">
        <f aca="false">IFERROR(__xludf.dummyfunction("""COMPUTED_VALUE"""),17)</f>
        <v>17</v>
      </c>
      <c r="R12" s="78" t="n">
        <f aca="false">IFERROR(__xludf.dummyfunction("""COMPUTED_VALUE"""),17)</f>
        <v>17</v>
      </c>
      <c r="S12" s="120" t="str">
        <f aca="false">IFERROR(__xludf.dummyfunction("""COMPUTED_VALUE"""),"Америка")</f>
        <v>Америка</v>
      </c>
      <c r="T12" s="78" t="n">
        <f aca="false">IFERROR(__xludf.dummyfunction("""COMPUTED_VALUE"""),19)</f>
        <v>19</v>
      </c>
      <c r="U12" s="78" t="n">
        <f aca="false">IFERROR(__xludf.dummyfunction("""COMPUTED_VALUE"""),14)</f>
        <v>14</v>
      </c>
      <c r="V12" s="120" t="str">
        <f aca="false">IFERROR(__xludf.dummyfunction("""COMPUTED_VALUE"""),"Cherry pick")</f>
        <v>Cherry pick</v>
      </c>
      <c r="W12" s="78" t="n">
        <f aca="false">IFERROR(__xludf.dummyfunction("""COMPUTED_VALUE"""),21)</f>
        <v>21</v>
      </c>
      <c r="X12" s="78" t="n">
        <f aca="false">IFERROR(__xludf.dummyfunction("""COMPUTED_VALUE"""),16)</f>
        <v>16</v>
      </c>
      <c r="Y12" s="120" t="str">
        <f aca="false">IFERROR(__xludf.dummyfunction("""COMPUTED_VALUE"""),"Нелли")</f>
        <v>Нелли</v>
      </c>
      <c r="Z12" s="78" t="n">
        <f aca="false">IFERROR(__xludf.dummyfunction("""COMPUTED_VALUE"""),14.25)</f>
        <v>14.25</v>
      </c>
      <c r="AA12" s="78" t="n">
        <f aca="false">IFERROR(__xludf.dummyfunction("""COMPUTED_VALUE"""),14.25)</f>
        <v>14.25</v>
      </c>
      <c r="AB12" s="120" t="str">
        <f aca="false">IFERROR(__xludf.dummyfunction("""COMPUTED_VALUE"""),"Домовой")</f>
        <v>Домовой</v>
      </c>
      <c r="AC12" s="78" t="n">
        <f aca="false">IFERROR(__xludf.dummyfunction("""COMPUTED_VALUE"""),21.5)</f>
        <v>21.5</v>
      </c>
      <c r="AD12" s="78" t="n">
        <f aca="false">IFERROR(__xludf.dummyfunction("""COMPUTED_VALUE"""),16.5)</f>
        <v>16.5</v>
      </c>
      <c r="AE12" s="120" t="str">
        <f aca="false">IFERROR(__xludf.dummyfunction("""COMPUTED_VALUE"""),"Мона")</f>
        <v>Мона</v>
      </c>
      <c r="AF12" s="78" t="n">
        <f aca="false">IFERROR(__xludf.dummyfunction("""COMPUTED_VALUE"""),21)</f>
        <v>21</v>
      </c>
      <c r="AG12" s="78" t="n">
        <f aca="false">IFERROR(__xludf.dummyfunction("""COMPUTED_VALUE"""),13.5)</f>
        <v>13.5</v>
      </c>
      <c r="AH12" s="120" t="str">
        <f aca="false">IFERROR(__xludf.dummyfunction("""COMPUTED_VALUE"""),"Sr")</f>
        <v>Sr</v>
      </c>
      <c r="AI12" s="78" t="n">
        <f aca="false">IFERROR(__xludf.dummyfunction("""COMPUTED_VALUE"""),21.25)</f>
        <v>21.25</v>
      </c>
      <c r="AJ12" s="78" t="n">
        <f aca="false">IFERROR(__xludf.dummyfunction("""COMPUTED_VALUE"""),16.25)</f>
        <v>16.25</v>
      </c>
      <c r="AK12" s="120" t="str">
        <f aca="false">IFERROR(__xludf.dummyfunction("""COMPUTED_VALUE"""),"Castor Troy ")</f>
        <v>Castor Troy </v>
      </c>
      <c r="AL12" s="78" t="n">
        <f aca="false">IFERROR(__xludf.dummyfunction("""COMPUTED_VALUE"""),12.5)</f>
        <v>12.5</v>
      </c>
      <c r="AM12" s="78" t="n">
        <f aca="false">IFERROR(__xludf.dummyfunction("""COMPUTED_VALUE"""),12.5)</f>
        <v>12.5</v>
      </c>
      <c r="AN12" s="120" t="str">
        <f aca="false">IFERROR(__xludf.dummyfunction("""COMPUTED_VALUE"""),"Сахарочек")</f>
        <v>Сахарочек</v>
      </c>
      <c r="AO12" s="78" t="n">
        <f aca="false">IFERROR(__xludf.dummyfunction("""COMPUTED_VALUE"""),21.75)</f>
        <v>21.75</v>
      </c>
      <c r="AP12" s="78" t="n">
        <f aca="false">IFERROR(__xludf.dummyfunction("""COMPUTED_VALUE"""),16.75)</f>
        <v>16.75</v>
      </c>
      <c r="AQ12" s="120" t="str">
        <f aca="false">IFERROR(__xludf.dummyfunction("""COMPUTED_VALUE"""),"БМ")</f>
        <v>БМ</v>
      </c>
      <c r="AR12" s="78" t="n">
        <f aca="false">IFERROR(__xludf.dummyfunction("""COMPUTED_VALUE"""),21)</f>
        <v>21</v>
      </c>
      <c r="AS12" s="78" t="n">
        <f aca="false">IFERROR(__xludf.dummyfunction("""COMPUTED_VALUE"""),16)</f>
        <v>16</v>
      </c>
      <c r="AT12" s="120" t="str">
        <f aca="false">IFERROR(__xludf.dummyfunction("""COMPUTED_VALUE"""),"Хрум")</f>
        <v>Хрум</v>
      </c>
      <c r="AU12" s="78" t="n">
        <f aca="false">IFERROR(__xludf.dummyfunction("""COMPUTED_VALUE"""),20)</f>
        <v>20</v>
      </c>
      <c r="AV12" s="78" t="n">
        <f aca="false">IFERROR(__xludf.dummyfunction("""COMPUTED_VALUE"""),15)</f>
        <v>15</v>
      </c>
      <c r="AX12" s="206" t="str">
        <f aca="false">AB4</f>
        <v>Букля</v>
      </c>
      <c r="AY12" s="78" t="n">
        <f aca="false">AC4</f>
        <v>31</v>
      </c>
      <c r="AZ12" s="205" t="n">
        <v>10</v>
      </c>
      <c r="BA12" s="36" t="n">
        <f aca="false">AA$5</f>
        <v>17.75</v>
      </c>
    </row>
    <row r="13" customFormat="false" ht="15.75" hidden="false" customHeight="false" outlineLevel="0" collapsed="false">
      <c r="AX13" s="206" t="str">
        <f aca="false">AE4</f>
        <v>Махинатор</v>
      </c>
      <c r="AY13" s="78" t="n">
        <f aca="false">AF4</f>
        <v>37.25</v>
      </c>
      <c r="AZ13" s="207" t="n">
        <v>11</v>
      </c>
      <c r="BA13" s="36" t="n">
        <f aca="false">AG$4</f>
        <v>24.75</v>
      </c>
    </row>
    <row r="14" customFormat="false" ht="15.75" hidden="false" customHeight="false" outlineLevel="0" collapsed="false">
      <c r="AX14" s="206" t="str">
        <f aca="false">AH4</f>
        <v>Мона</v>
      </c>
      <c r="AY14" s="78" t="n">
        <f aca="false">AI4</f>
        <v>30.5</v>
      </c>
      <c r="AZ14" s="207" t="n">
        <v>12</v>
      </c>
      <c r="BA14" s="36" t="n">
        <f aca="false">AJ$4</f>
        <v>20.5</v>
      </c>
    </row>
    <row r="15" customFormat="false" ht="15.75" hidden="false" customHeight="false" outlineLevel="0" collapsed="false">
      <c r="A15" s="161" t="s">
        <v>95</v>
      </c>
      <c r="B15" s="160" t="s">
        <v>3</v>
      </c>
      <c r="C15" s="208"/>
      <c r="AX15" s="206" t="str">
        <f aca="false">AK4</f>
        <v>Алкарис</v>
      </c>
      <c r="AY15" s="78" t="n">
        <f aca="false">AL4</f>
        <v>30.5</v>
      </c>
      <c r="AZ15" s="205" t="n">
        <v>13</v>
      </c>
      <c r="BA15" s="36" t="n">
        <f aca="false">AM$4</f>
        <v>20.5</v>
      </c>
    </row>
    <row r="16" customFormat="false" ht="15.75" hidden="false" customHeight="false" outlineLevel="0" collapsed="false">
      <c r="A16" s="204" t="str">
        <f aca="false">A3</f>
        <v>Coach</v>
      </c>
      <c r="B16" s="78" t="n">
        <f aca="false">B3</f>
        <v>42.25</v>
      </c>
      <c r="C16" s="207" t="n">
        <v>1</v>
      </c>
      <c r="AX16" s="206" t="str">
        <f aca="false">AN4</f>
        <v>Infinity </v>
      </c>
      <c r="AY16" s="78" t="n">
        <f aca="false">AO4</f>
        <v>31.25</v>
      </c>
      <c r="AZ16" s="207" t="n">
        <v>14</v>
      </c>
      <c r="BA16" s="36" t="n">
        <f aca="false">AP$4</f>
        <v>21.25</v>
      </c>
    </row>
    <row r="17" customFormat="false" ht="15.75" hidden="false" customHeight="false" outlineLevel="0" collapsed="false">
      <c r="A17" s="204" t="str">
        <f aca="false">D3</f>
        <v>Дракарис</v>
      </c>
      <c r="B17" s="78" t="n">
        <f aca="false">E3</f>
        <v>34.75</v>
      </c>
      <c r="C17" s="207" t="n">
        <v>2</v>
      </c>
      <c r="AX17" s="206" t="str">
        <f aca="false">AQ4</f>
        <v>Продюсер</v>
      </c>
      <c r="AY17" s="78" t="n">
        <f aca="false">AR4</f>
        <v>30</v>
      </c>
      <c r="AZ17" s="207" t="n">
        <v>15</v>
      </c>
      <c r="BA17" s="36" t="n">
        <f aca="false">AS$4</f>
        <v>22.5</v>
      </c>
    </row>
    <row r="18" customFormat="false" ht="15.75" hidden="false" customHeight="false" outlineLevel="0" collapsed="false">
      <c r="A18" s="204" t="str">
        <f aca="false">G3</f>
        <v>Админ</v>
      </c>
      <c r="B18" s="78" t="n">
        <f aca="false">H3</f>
        <v>34.5</v>
      </c>
      <c r="C18" s="207" t="n">
        <v>3</v>
      </c>
      <c r="AX18" s="209" t="str">
        <f aca="false">AT4</f>
        <v>Рыжая</v>
      </c>
      <c r="AY18" s="78" t="n">
        <f aca="false">AU4</f>
        <v>31.75</v>
      </c>
      <c r="AZ18" s="210" t="n">
        <v>16</v>
      </c>
      <c r="BA18" s="36" t="n">
        <f aca="false">AV$4</f>
        <v>19.25</v>
      </c>
    </row>
    <row r="19" customFormat="false" ht="15.75" hidden="false" customHeight="false" outlineLevel="0" collapsed="false">
      <c r="A19" s="204" t="str">
        <f aca="false">J3</f>
        <v>Cristo</v>
      </c>
      <c r="B19" s="78" t="n">
        <f aca="false">K3</f>
        <v>37</v>
      </c>
      <c r="C19" s="207" t="n">
        <v>4</v>
      </c>
    </row>
    <row r="20" customFormat="false" ht="15.75" hidden="false" customHeight="false" outlineLevel="0" collapsed="false">
      <c r="A20" s="204" t="str">
        <f aca="false">M3</f>
        <v>NME</v>
      </c>
      <c r="B20" s="78" t="n">
        <f aca="false">N3</f>
        <v>33</v>
      </c>
      <c r="C20" s="207" t="n">
        <v>5</v>
      </c>
    </row>
    <row r="21" customFormat="false" ht="15.75" hidden="false" customHeight="false" outlineLevel="0" collapsed="false">
      <c r="A21" s="204" t="str">
        <f aca="false">P3</f>
        <v>Still Rise </v>
      </c>
      <c r="B21" s="78" t="n">
        <f aca="false">Q3</f>
        <v>33.25</v>
      </c>
      <c r="C21" s="207" t="n">
        <v>6</v>
      </c>
    </row>
    <row r="22" customFormat="false" ht="15.75" hidden="false" customHeight="false" outlineLevel="0" collapsed="false">
      <c r="A22" s="204" t="str">
        <f aca="false">S3</f>
        <v>Чешир</v>
      </c>
      <c r="B22" s="78" t="n">
        <f aca="false">T3</f>
        <v>35.5</v>
      </c>
      <c r="C22" s="207" t="n">
        <v>7</v>
      </c>
    </row>
    <row r="23" customFormat="false" ht="15.75" hidden="false" customHeight="false" outlineLevel="0" collapsed="false">
      <c r="A23" s="204" t="str">
        <f aca="false">V3</f>
        <v>Зверюга</v>
      </c>
      <c r="B23" s="78" t="n">
        <f aca="false">W3</f>
        <v>38.25</v>
      </c>
      <c r="C23" s="207" t="n">
        <v>8</v>
      </c>
    </row>
    <row r="24" customFormat="false" ht="15.75" hidden="false" customHeight="false" outlineLevel="0" collapsed="false">
      <c r="A24" s="204" t="str">
        <f aca="false">Y3</f>
        <v>Наполеон</v>
      </c>
      <c r="B24" s="78" t="n">
        <f aca="false">Z3</f>
        <v>36.75</v>
      </c>
      <c r="C24" s="207" t="n">
        <v>9</v>
      </c>
    </row>
    <row r="25" customFormat="false" ht="15.75" hidden="false" customHeight="false" outlineLevel="0" collapsed="false">
      <c r="A25" s="204" t="str">
        <f aca="false">AB3</f>
        <v>Армен 24</v>
      </c>
      <c r="B25" s="78" t="n">
        <f aca="false">AC3</f>
        <v>32</v>
      </c>
      <c r="C25" s="207" t="n">
        <v>10</v>
      </c>
    </row>
    <row r="26" customFormat="false" ht="15.75" hidden="false" customHeight="false" outlineLevel="0" collapsed="false">
      <c r="A26" s="206" t="str">
        <f aca="false">AE4</f>
        <v>Махинатор</v>
      </c>
      <c r="B26" s="78" t="n">
        <f aca="false">AF4</f>
        <v>37.25</v>
      </c>
      <c r="C26" s="207" t="n">
        <v>11</v>
      </c>
    </row>
    <row r="27" customFormat="false" ht="15.75" hidden="false" customHeight="false" outlineLevel="0" collapsed="false">
      <c r="A27" s="206" t="str">
        <f aca="false">AH4</f>
        <v>Мона</v>
      </c>
      <c r="B27" s="78" t="n">
        <f aca="false">AI4</f>
        <v>30.5</v>
      </c>
      <c r="C27" s="207" t="n">
        <v>12</v>
      </c>
    </row>
    <row r="28" customFormat="false" ht="15.75" hidden="false" customHeight="false" outlineLevel="0" collapsed="false">
      <c r="A28" s="204" t="str">
        <f aca="false">AK3</f>
        <v>Арс</v>
      </c>
      <c r="B28" s="78" t="n">
        <f aca="false">AL3</f>
        <v>30.5</v>
      </c>
      <c r="C28" s="207" t="n">
        <v>13</v>
      </c>
    </row>
    <row r="29" customFormat="false" ht="15.75" hidden="false" customHeight="false" outlineLevel="0" collapsed="false">
      <c r="A29" s="204" t="str">
        <f aca="false">AN3</f>
        <v>Curly</v>
      </c>
      <c r="B29" s="78" t="n">
        <f aca="false">AO3</f>
        <v>32</v>
      </c>
      <c r="C29" s="207" t="n">
        <v>14</v>
      </c>
    </row>
    <row r="30" customFormat="false" ht="15.75" hidden="false" customHeight="false" outlineLevel="0" collapsed="false">
      <c r="A30" s="211" t="str">
        <f aca="false">AQ3</f>
        <v>UFO</v>
      </c>
      <c r="B30" s="78" t="n">
        <f aca="false">AR3</f>
        <v>32</v>
      </c>
      <c r="C30" s="207" t="n">
        <v>15</v>
      </c>
    </row>
    <row r="31" customFormat="false" ht="15.75" hidden="false" customHeight="false" outlineLevel="0" collapsed="false">
      <c r="A31" s="78" t="str">
        <f aca="false">AT3</f>
        <v>Луна</v>
      </c>
      <c r="B31" s="212" t="n">
        <f aca="false">AU3</f>
        <v>33.75</v>
      </c>
      <c r="C31" s="213" t="n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6.88"/>
    <col collapsed="false" customWidth="true" hidden="false" outlineLevel="0" max="3" min="3" style="0" width="8.63"/>
    <col collapsed="false" customWidth="true" hidden="false" outlineLevel="0" max="4" min="4" style="0" width="8"/>
    <col collapsed="false" customWidth="true" hidden="false" outlineLevel="0" max="5" min="5" style="0" width="4.38"/>
    <col collapsed="false" customWidth="true" hidden="false" outlineLevel="0" max="6" min="6" style="0" width="7.88"/>
    <col collapsed="false" customWidth="true" hidden="false" outlineLevel="0" max="7" min="7" style="0" width="10.63"/>
    <col collapsed="false" customWidth="true" hidden="false" outlineLevel="0" max="8" min="8" style="0" width="11.5"/>
    <col collapsed="false" customWidth="true" hidden="false" outlineLevel="0" max="9" min="9" style="0" width="11.38"/>
    <col collapsed="false" customWidth="true" hidden="false" outlineLevel="0" max="10" min="10" style="0" width="10.75"/>
    <col collapsed="false" customWidth="true" hidden="false" outlineLevel="0" max="11" min="11" style="0" width="8"/>
    <col collapsed="false" customWidth="true" hidden="false" outlineLevel="0" max="13" min="13" style="0" width="7.38"/>
    <col collapsed="false" customWidth="true" hidden="false" outlineLevel="0" max="14" min="14" style="0" width="12.25"/>
    <col collapsed="false" customWidth="true" hidden="false" outlineLevel="0" max="15" min="15" style="0" width="8.25"/>
    <col collapsed="false" customWidth="true" hidden="false" outlineLevel="0" max="16" min="16" style="0" width="12.5"/>
    <col collapsed="false" customWidth="true" hidden="false" outlineLevel="0" max="17" min="17" style="0" width="8.5"/>
    <col collapsed="false" customWidth="true" hidden="false" outlineLevel="0" max="18" min="18" style="0" width="12.75"/>
    <col collapsed="false" customWidth="true" hidden="false" outlineLevel="0" max="19" min="19" style="0" width="10.13"/>
    <col collapsed="false" customWidth="true" hidden="false" outlineLevel="0" max="20" min="20" style="0" width="12.25"/>
    <col collapsed="false" customWidth="true" hidden="false" outlineLevel="0" max="21" min="21" style="0" width="11.75"/>
    <col collapsed="false" customWidth="true" hidden="false" outlineLevel="0" max="22" min="22" style="0" width="8.88"/>
    <col collapsed="false" customWidth="true" hidden="false" outlineLevel="0" max="23" min="23" style="0" width="8.38"/>
    <col collapsed="false" customWidth="true" hidden="false" outlineLevel="0" max="24" min="24" style="0" width="8.63"/>
    <col collapsed="false" customWidth="true" hidden="false" outlineLevel="0" max="25" min="25" style="0" width="9.75"/>
    <col collapsed="false" customWidth="true" hidden="false" outlineLevel="0" max="26" min="26" style="0" width="7.75"/>
    <col collapsed="false" customWidth="true" hidden="false" outlineLevel="0" max="27" min="27" style="0" width="8.63"/>
    <col collapsed="false" customWidth="true" hidden="false" outlineLevel="0" max="28" min="28" style="0" width="8.75"/>
    <col collapsed="false" customWidth="true" hidden="false" outlineLevel="0" max="29" min="29" style="0" width="8.88"/>
    <col collapsed="false" customWidth="true" hidden="false" outlineLevel="0" max="30" min="30" style="0" width="9.38"/>
    <col collapsed="false" customWidth="true" hidden="false" outlineLevel="0" max="31" min="31" style="0" width="9.88"/>
    <col collapsed="false" customWidth="true" hidden="false" outlineLevel="0" max="32" min="32" style="0" width="8.75"/>
    <col collapsed="false" customWidth="true" hidden="false" outlineLevel="0" max="33" min="33" style="0" width="10.25"/>
    <col collapsed="false" customWidth="true" hidden="false" outlineLevel="0" max="34" min="34" style="0" width="8.63"/>
    <col collapsed="false" customWidth="true" hidden="false" outlineLevel="0" max="35" min="35" style="0" width="11.25"/>
  </cols>
  <sheetData>
    <row r="1" customFormat="false" ht="15.75" hidden="false" customHeight="true" outlineLevel="0" collapsed="false">
      <c r="A1" s="95"/>
      <c r="B1" s="95"/>
      <c r="C1" s="96"/>
      <c r="D1" s="96"/>
      <c r="E1" s="96"/>
      <c r="F1" s="96"/>
      <c r="G1" s="96"/>
      <c r="H1" s="96"/>
      <c r="I1" s="97" t="s">
        <v>90</v>
      </c>
      <c r="J1" s="97"/>
      <c r="K1" s="97"/>
      <c r="L1" s="97"/>
      <c r="M1" s="97"/>
      <c r="N1" s="97"/>
      <c r="O1" s="97"/>
      <c r="P1" s="97"/>
      <c r="Q1" s="97"/>
      <c r="R1" s="97"/>
      <c r="S1" s="98" t="s">
        <v>91</v>
      </c>
      <c r="T1" s="98"/>
      <c r="U1" s="98"/>
      <c r="V1" s="98"/>
      <c r="W1" s="98"/>
      <c r="X1" s="98"/>
      <c r="Y1" s="98"/>
      <c r="Z1" s="99" t="s">
        <v>92</v>
      </c>
      <c r="AA1" s="99"/>
      <c r="AB1" s="99"/>
      <c r="AC1" s="99"/>
      <c r="AD1" s="99"/>
      <c r="AE1" s="100" t="s">
        <v>93</v>
      </c>
      <c r="AF1" s="100"/>
      <c r="AG1" s="100"/>
      <c r="AH1" s="100"/>
      <c r="AI1" s="100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customFormat="false" ht="15.75" hidden="false" customHeight="false" outlineLevel="0" collapsed="false">
      <c r="A2" s="101"/>
      <c r="B2" s="101"/>
      <c r="C2" s="96"/>
      <c r="D2" s="96"/>
      <c r="E2" s="96"/>
      <c r="F2" s="96"/>
      <c r="G2" s="96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  <c r="T2" s="98"/>
      <c r="U2" s="98"/>
      <c r="V2" s="98"/>
      <c r="W2" s="98"/>
      <c r="X2" s="98"/>
      <c r="Y2" s="98"/>
      <c r="Z2" s="99"/>
      <c r="AA2" s="99"/>
      <c r="AB2" s="99"/>
      <c r="AC2" s="99"/>
      <c r="AD2" s="99"/>
      <c r="AE2" s="100"/>
      <c r="AF2" s="100"/>
      <c r="AG2" s="100"/>
      <c r="AH2" s="100"/>
      <c r="AI2" s="100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customFormat="false" ht="15.75" hidden="false" customHeight="false" outlineLevel="0" collapsed="false">
      <c r="A3" s="101"/>
      <c r="B3" s="101"/>
      <c r="C3" s="96"/>
      <c r="D3" s="96"/>
      <c r="E3" s="96"/>
      <c r="F3" s="96"/>
      <c r="G3" s="96"/>
      <c r="H3" s="96"/>
      <c r="I3" s="97"/>
      <c r="J3" s="97"/>
      <c r="K3" s="97"/>
      <c r="L3" s="97"/>
      <c r="M3" s="97"/>
      <c r="N3" s="97"/>
      <c r="O3" s="97"/>
      <c r="P3" s="97"/>
      <c r="Q3" s="97"/>
      <c r="R3" s="97"/>
      <c r="S3" s="98"/>
      <c r="T3" s="98"/>
      <c r="U3" s="98"/>
      <c r="V3" s="98"/>
      <c r="W3" s="98"/>
      <c r="X3" s="98"/>
      <c r="Y3" s="98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customFormat="false" ht="15.75" hidden="false" customHeight="false" outlineLevel="0" collapsed="false">
      <c r="A4" s="214" t="s">
        <v>95</v>
      </c>
      <c r="B4" s="104" t="s">
        <v>96</v>
      </c>
      <c r="C4" s="105" t="s">
        <v>97</v>
      </c>
      <c r="D4" s="105" t="s">
        <v>98</v>
      </c>
      <c r="E4" s="105" t="s">
        <v>29</v>
      </c>
      <c r="F4" s="105" t="s">
        <v>99</v>
      </c>
      <c r="G4" s="106" t="s">
        <v>100</v>
      </c>
      <c r="H4" s="107" t="s">
        <v>101</v>
      </c>
      <c r="I4" s="108" t="s">
        <v>102</v>
      </c>
      <c r="J4" s="109" t="s">
        <v>103</v>
      </c>
      <c r="K4" s="110" t="s">
        <v>104</v>
      </c>
      <c r="L4" s="110" t="s">
        <v>105</v>
      </c>
      <c r="M4" s="111" t="s">
        <v>106</v>
      </c>
      <c r="N4" s="111" t="s">
        <v>107</v>
      </c>
      <c r="O4" s="109" t="s">
        <v>108</v>
      </c>
      <c r="P4" s="109" t="s">
        <v>109</v>
      </c>
      <c r="Q4" s="112" t="s">
        <v>110</v>
      </c>
      <c r="R4" s="112" t="s">
        <v>111</v>
      </c>
      <c r="S4" s="113" t="s">
        <v>112</v>
      </c>
      <c r="T4" s="113" t="s">
        <v>113</v>
      </c>
      <c r="U4" s="113" t="s">
        <v>114</v>
      </c>
      <c r="V4" s="110" t="s">
        <v>115</v>
      </c>
      <c r="W4" s="111" t="s">
        <v>116</v>
      </c>
      <c r="X4" s="109" t="s">
        <v>117</v>
      </c>
      <c r="Y4" s="112" t="s">
        <v>118</v>
      </c>
      <c r="Z4" s="113" t="s">
        <v>119</v>
      </c>
      <c r="AA4" s="114" t="s">
        <v>120</v>
      </c>
      <c r="AB4" s="115" t="s">
        <v>121</v>
      </c>
      <c r="AC4" s="116" t="s">
        <v>122</v>
      </c>
      <c r="AD4" s="117" t="s">
        <v>123</v>
      </c>
      <c r="AE4" s="113" t="s">
        <v>124</v>
      </c>
      <c r="AF4" s="114" t="s">
        <v>125</v>
      </c>
      <c r="AG4" s="111" t="s">
        <v>126</v>
      </c>
      <c r="AH4" s="116" t="s">
        <v>127</v>
      </c>
      <c r="AI4" s="118" t="s">
        <v>128</v>
      </c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</row>
    <row r="5" customFormat="false" ht="15.75" hidden="false" customHeight="false" outlineLevel="0" collapsed="false">
      <c r="A5" s="215" t="s">
        <v>69</v>
      </c>
      <c r="B5" s="120" t="n">
        <f aca="false">SUM(I5:J5)</f>
        <v>9</v>
      </c>
      <c r="C5" s="4" t="str">
        <f aca="false">IF(COUNTIFS('Все игры'!A$3:A877,A5,'Все игры'!F$3:F877,"=1")=0, "", COUNTIFS('Все игры'!A$3:A877,A5,'Все игры'!F$3:F877,"=1"))</f>
        <v/>
      </c>
      <c r="D5" s="76" t="str">
        <f aca="false">IF(COUNTIFS('Все игры'!A$3:A877,A5,'Все игры'!F$3:F877,"=0,50")=0, "", COUNTIFS('Все игры'!A$3:A877,A5,'Все игры'!F$3:F877,"=0,50"))</f>
        <v/>
      </c>
      <c r="E5" s="76" t="str">
        <f aca="false">IF(COUNTIFS('Все игры'!A$3:A877,A5,'Все игры'!E$3:E877,"ПУ")=0, "", COUNTIFS('Все игры'!A$3:A877,A5,'Все игры'!E$3:E877,"ПУ"))</f>
        <v/>
      </c>
      <c r="F5" s="121" t="n">
        <f aca="false">IFERROR(E5/I5,0)</f>
        <v>0</v>
      </c>
      <c r="G5" s="76" t="str">
        <f aca="false">IF(COUNTIFS('Все игры'!A$3:A877,A5,'Все игры'!E$3:E877,"У/Победа")=0, "",COUNTIFS('Все игры'!A$3:A877,A5,'Все игры'!E$3:E877,"У/Победа") )</f>
        <v/>
      </c>
      <c r="H5" s="76" t="str">
        <f aca="false">IF(COUNTIFS('Все игры'!A$3:A877,A5,'Все игры'!E$3:E877,"У/Проигрыш")=0, "",COUNTIFS('Все игры'!A$3:A877,A5,'Все игры'!E$3:E877,"У/Проигрыш") )</f>
        <v/>
      </c>
      <c r="I5" s="120" t="n">
        <f aca="false">M5+N5+Q5+R5</f>
        <v>9</v>
      </c>
      <c r="J5" s="120" t="n">
        <f aca="false">K5+L5+O5+P5</f>
        <v>0</v>
      </c>
      <c r="K5" s="120" t="n">
        <f aca="false">COUNTIFS('Все игры'!A$3:A877,A5,'Все игры'!C$3:C877,"&gt;0",'Все игры'!B$3:B877,"Мафия")</f>
        <v>0</v>
      </c>
      <c r="L5" s="120" t="n">
        <f aca="false">IFERROR(__xludf.dummyfunction("COUNTBLANK(FILTER('Все игры'!A$3:C877,'Все игры'!A$3:A877=A5,'Все игры'!C$3:C877 &lt; 1,'Все игры'!B$3:B877=""Мафия""))"),0)</f>
        <v>0</v>
      </c>
      <c r="M5" s="120" t="n">
        <f aca="false">COUNTIFS('Все игры'!A$3:A877,A5,'Все игры'!C$3:C877,"&gt;0",'Все игры'!B$3:B877,"Шериф")</f>
        <v>0</v>
      </c>
      <c r="N5" s="120" t="n">
        <f aca="false">IFERROR(__xludf.dummyfunction("COUNTBLANK(FILTER('Все игры'!A$3:C877,'Все игры'!A$3:A877=A5,'Все игры'!C$3:C877 &lt; 1,'Все игры'!B$3:B877=""Шериф""))"),2)</f>
        <v>2</v>
      </c>
      <c r="O5" s="120" t="n">
        <f aca="false">COUNTIFS('Все игры'!A$3:A877,A5,'Все игры'!C$3:C877,"&gt;0",'Все игры'!B$3:B877,"Дон")</f>
        <v>0</v>
      </c>
      <c r="P5" s="122" t="n">
        <f aca="false">IFERROR(__xludf.dummyfunction("COUNTBLANK(FILTER('Все игры'!A$3:C877,'Все игры'!A$3:A877=A5,'Все игры'!C$3:C877 &lt; 1,'Все игры'!B$3:B877=""Дон""))"),0)</f>
        <v>0</v>
      </c>
      <c r="Q5" s="120" t="n">
        <f aca="false">COUNTIFS('Все игры'!A$3:A877,A5,'Все игры'!C$3:C877,"&gt;0",'Все игры'!B$3:B877,"Мирный")</f>
        <v>0</v>
      </c>
      <c r="R5" s="120" t="n">
        <f aca="false">IFERROR(__xludf.dummyfunction("COUNTBLANK(FILTER('Все игры'!A$3:C877,'Все игры'!A$3:A877=A5,'Все игры'!C$3:C877 &lt; 1,'Все игры'!B$3:B877=""Мирный""))"),7)</f>
        <v>7</v>
      </c>
      <c r="S5" s="123" t="n">
        <f aca="false">IFERROR((K5+M5+O5+Q5)/(I5+J5), )</f>
        <v>0</v>
      </c>
      <c r="T5" s="123" t="n">
        <f aca="false">IFERROR((M5+Q5)/I5, )</f>
        <v>0</v>
      </c>
      <c r="U5" s="123" t="n">
        <f aca="false">IFERROR((K5+O5)/J5, )</f>
        <v>0</v>
      </c>
      <c r="V5" s="123" t="n">
        <f aca="false">IFERROR(K5/(K5+L5), )</f>
        <v>0</v>
      </c>
      <c r="W5" s="123" t="n">
        <f aca="false">IFERROR(M5/(M5+N5), )</f>
        <v>0</v>
      </c>
      <c r="X5" s="123" t="n">
        <f aca="false">IFERROR(O5/(O5+P5), )</f>
        <v>0</v>
      </c>
      <c r="Y5" s="123" t="n">
        <f aca="false">IFERROR(Q5/(Q5+R5), )</f>
        <v>0</v>
      </c>
      <c r="Z5" s="124" t="n">
        <f aca="false">SUMIFS('Все игры'!D$3:D877,'Все игры'!A$3:A877,A5)</f>
        <v>0</v>
      </c>
      <c r="AA5" s="124" t="n">
        <f aca="false">SUMIFS('Все игры'!D$3:D877,'Все игры'!A$3:A877,A5,'Все игры'!B$3:B877,"Мафия")</f>
        <v>0</v>
      </c>
      <c r="AB5" s="124" t="n">
        <f aca="false">SUMIFS('Все игры'!D$3:D877,'Все игры'!A$3:A877,A5,'Все игры'!B$3:B877,"Шериф")</f>
        <v>0</v>
      </c>
      <c r="AC5" s="124" t="n">
        <f aca="false">SUMIFS('Все игры'!D$3:D877,'Все игры'!A$3:A877,A5,'Все игры'!B$3:B877,"Дон")</f>
        <v>0</v>
      </c>
      <c r="AD5" s="124" t="n">
        <f aca="false">SUMIFS('Все игры'!D$3:D877,'Все игры'!A$3:A877,A5,'Все игры'!B$3:B877,"Мирный")</f>
        <v>0</v>
      </c>
      <c r="AE5" s="124" t="n">
        <f aca="false">IFERROR(Z5/B5,0)</f>
        <v>0</v>
      </c>
      <c r="AF5" s="124" t="n">
        <f aca="false">IFERROR(AA5/(K5+L5),0)</f>
        <v>0</v>
      </c>
      <c r="AG5" s="124" t="n">
        <f aca="false">IFERROR(AB5/(M5+N5),0)</f>
        <v>0</v>
      </c>
      <c r="AH5" s="124" t="n">
        <f aca="false">IFERROR(AC5/(O5+P5),0)</f>
        <v>0</v>
      </c>
      <c r="AI5" s="124" t="n">
        <f aca="false">IFERROR(AD5/(Q5+R5),0)</f>
        <v>0</v>
      </c>
    </row>
    <row r="6" customFormat="false" ht="15.75" hidden="false" customHeight="false" outlineLevel="0" collapsed="false">
      <c r="A6" s="215" t="s">
        <v>149</v>
      </c>
      <c r="B6" s="120" t="n">
        <f aca="false">SUM(I6:J6)</f>
        <v>3</v>
      </c>
      <c r="C6" s="4" t="str">
        <f aca="false">IF(COUNTIFS('Все игры'!A$3:A877,A6,'Все игры'!F$3:F877,"=1")=0, "", COUNTIFS('Все игры'!A$3:A877,A6,'Все игры'!F$3:F877,"=1"))</f>
        <v/>
      </c>
      <c r="D6" s="76" t="str">
        <f aca="false">IF(COUNTIFS('Все игры'!A$3:A877,A6,'Все игры'!F$3:F877,"=0,50")=0, "", COUNTIFS('Все игры'!A$3:A877,A6,'Все игры'!F$3:F877,"=0,50"))</f>
        <v/>
      </c>
      <c r="E6" s="76" t="str">
        <f aca="false">IF(COUNTIFS('Все игры'!A$3:A877,A6,'Все игры'!E$3:E877,"ПУ")=0, "", COUNTIFS('Все игры'!A$3:A877,A6,'Все игры'!E$3:E877,"ПУ"))</f>
        <v/>
      </c>
      <c r="F6" s="121" t="n">
        <f aca="false">IFERROR(E6/I6,0)</f>
        <v>0</v>
      </c>
      <c r="G6" s="76" t="str">
        <f aca="false">IF(COUNTIFS('Все игры'!A$3:A877,A6,'Все игры'!E$3:E877,"У/Победа")=0, "",COUNTIFS('Все игры'!A$3:A877,A6,'Все игры'!E$3:E877,"У/Победа") )</f>
        <v/>
      </c>
      <c r="H6" s="76" t="str">
        <f aca="false">IF(COUNTIFS('Все игры'!A$3:A877,A6,'Все игры'!E$3:E877,"У/Проигрыш")=0, "",COUNTIFS('Все игры'!A$3:A877,A6,'Все игры'!E$3:E877,"У/Проигрыш") )</f>
        <v/>
      </c>
      <c r="I6" s="120" t="n">
        <f aca="false">M6+N6+Q6+R6</f>
        <v>3</v>
      </c>
      <c r="J6" s="120" t="n">
        <f aca="false">K6+L6+O6+P6</f>
        <v>0</v>
      </c>
      <c r="K6" s="120" t="n">
        <f aca="false">COUNTIFS('Все игры'!A$3:A877,A6,'Все игры'!C$3:C877,"&gt;0",'Все игры'!B$3:B877,"Мафия")</f>
        <v>0</v>
      </c>
      <c r="L6" s="120" t="n">
        <f aca="false">IFERROR(__xludf.dummyfunction("COUNTBLANK(FILTER('Все игры'!A$3:C877,'Все игры'!A$3:A877=A6,'Все игры'!C$3:C877 &lt; 1,'Все игры'!B$3:B877=""Мафия""))"),0)</f>
        <v>0</v>
      </c>
      <c r="M6" s="120" t="n">
        <f aca="false">COUNTIFS('Все игры'!A$3:A877,A6,'Все игры'!C$3:C877,"&gt;0",'Все игры'!B$3:B877,"Шериф")</f>
        <v>0</v>
      </c>
      <c r="N6" s="120" t="n">
        <f aca="false">IFERROR(__xludf.dummyfunction("COUNTBLANK(FILTER('Все игры'!A$3:C877,'Все игры'!A$3:A877=A6,'Все игры'!C$3:C877 &lt; 1,'Все игры'!B$3:B877=""Шериф""))"),0)</f>
        <v>0</v>
      </c>
      <c r="O6" s="120" t="n">
        <f aca="false">COUNTIFS('Все игры'!A$3:A877,A6,'Все игры'!C$3:C877,"&gt;0",'Все игры'!B$3:B877,"Дон")</f>
        <v>0</v>
      </c>
      <c r="P6" s="122" t="n">
        <f aca="false">IFERROR(__xludf.dummyfunction("COUNTBLANK(FILTER('Все игры'!A$3:C877,'Все игры'!A$3:A877=A6,'Все игры'!C$3:C877 &lt; 1,'Все игры'!B$3:B877=""Дон""))"),0)</f>
        <v>0</v>
      </c>
      <c r="Q6" s="120" t="n">
        <f aca="false">COUNTIFS('Все игры'!A$3:A877,A6,'Все игры'!C$3:C877,"&gt;0",'Все игры'!B$3:B877,"Мирный")</f>
        <v>0</v>
      </c>
      <c r="R6" s="120" t="n">
        <f aca="false">IFERROR(__xludf.dummyfunction("COUNTBLANK(FILTER('Все игры'!A$3:C877,'Все игры'!A$3:A877=A6,'Все игры'!C$3:C877 &lt; 1,'Все игры'!B$3:B877=""Мирный""))"),3)</f>
        <v>3</v>
      </c>
      <c r="S6" s="123" t="n">
        <f aca="false">IFERROR((K6+M6+O6+Q6)/(I6+J6), )</f>
        <v>0</v>
      </c>
      <c r="T6" s="123" t="n">
        <f aca="false">IFERROR((M6+Q6)/I6, )</f>
        <v>0</v>
      </c>
      <c r="U6" s="123" t="n">
        <f aca="false">IFERROR((K6+O6)/J6, )</f>
        <v>0</v>
      </c>
      <c r="V6" s="123" t="n">
        <f aca="false">IFERROR(K6/(K6+L6), )</f>
        <v>0</v>
      </c>
      <c r="W6" s="123" t="n">
        <f aca="false">IFERROR(M6/(M6+N6), )</f>
        <v>0</v>
      </c>
      <c r="X6" s="123" t="n">
        <f aca="false">IFERROR(O6/(O6+P6), )</f>
        <v>0</v>
      </c>
      <c r="Y6" s="123" t="n">
        <f aca="false">IFERROR(Q6/(Q6+R6), )</f>
        <v>0</v>
      </c>
      <c r="Z6" s="124" t="n">
        <f aca="false">SUMIFS('Все игры'!D$3:D877,'Все игры'!A$3:A877,A6)</f>
        <v>0</v>
      </c>
      <c r="AA6" s="124" t="n">
        <f aca="false">SUMIFS('Все игры'!D$3:D877,'Все игры'!A$3:A877,A6,'Все игры'!B$3:B877,"Мафия")</f>
        <v>0</v>
      </c>
      <c r="AB6" s="124" t="n">
        <f aca="false">SUMIFS('Все игры'!D$3:D877,'Все игры'!A$3:A877,A6,'Все игры'!B$3:B877,"Шериф")</f>
        <v>0</v>
      </c>
      <c r="AC6" s="124" t="n">
        <f aca="false">SUMIFS('Все игры'!D$3:D877,'Все игры'!A$3:A877,A6,'Все игры'!B$3:B877,"Дон")</f>
        <v>0</v>
      </c>
      <c r="AD6" s="124" t="n">
        <f aca="false">SUMIFS('Все игры'!D$3:D877,'Все игры'!A$3:A877,A6,'Все игры'!B$3:B877,"Мирный")</f>
        <v>0</v>
      </c>
      <c r="AE6" s="124" t="n">
        <f aca="false">IFERROR(Z6/B6,0)</f>
        <v>0</v>
      </c>
      <c r="AF6" s="124" t="n">
        <f aca="false">IFERROR(AA6/(K6+L6),0)</f>
        <v>0</v>
      </c>
      <c r="AG6" s="124" t="n">
        <f aca="false">IFERROR(AB6/(M6+N6),0)</f>
        <v>0</v>
      </c>
      <c r="AH6" s="124" t="n">
        <f aca="false">IFERROR(AC6/(O6+P6),0)</f>
        <v>0</v>
      </c>
      <c r="AI6" s="124" t="n">
        <f aca="false">IFERROR(AD6/(Q6+R6),0)</f>
        <v>0</v>
      </c>
    </row>
    <row r="7" customFormat="false" ht="15.75" hidden="false" customHeight="false" outlineLevel="0" collapsed="false">
      <c r="A7" s="215" t="s">
        <v>166</v>
      </c>
      <c r="B7" s="120" t="n">
        <f aca="false">SUM(I7:J7)</f>
        <v>9</v>
      </c>
      <c r="C7" s="4" t="str">
        <f aca="false">IF(COUNTIFS('Все игры'!A$3:A877,A7,'Все игры'!F$3:F877,"=1")=0, "", COUNTIFS('Все игры'!A$3:A877,A7,'Все игры'!F$3:F877,"=1"))</f>
        <v/>
      </c>
      <c r="D7" s="76" t="str">
        <f aca="false">IF(COUNTIFS('Все игры'!A$3:A877,A7,'Все игры'!F$3:F877,"=0,50")=0, "", COUNTIFS('Все игры'!A$3:A877,A7,'Все игры'!F$3:F877,"=0,50"))</f>
        <v/>
      </c>
      <c r="E7" s="76" t="str">
        <f aca="false">IF(COUNTIFS('Все игры'!A$3:A877,A7,'Все игры'!E$3:E877,"ПУ")=0, "", COUNTIFS('Все игры'!A$3:A877,A7,'Все игры'!E$3:E877,"ПУ"))</f>
        <v/>
      </c>
      <c r="F7" s="121" t="n">
        <f aca="false">IFERROR(E7/I7,0)</f>
        <v>0</v>
      </c>
      <c r="G7" s="76" t="str">
        <f aca="false">IF(COUNTIFS('Все игры'!A$3:A877,A7,'Все игры'!E$3:E877,"У/Победа")=0, "",COUNTIFS('Все игры'!A$3:A877,A7,'Все игры'!E$3:E877,"У/Победа") )</f>
        <v/>
      </c>
      <c r="H7" s="76" t="str">
        <f aca="false">IF(COUNTIFS('Все игры'!A$3:A877,A7,'Все игры'!E$3:E877,"У/Проигрыш")=0, "",COUNTIFS('Все игры'!A$3:A877,A7,'Все игры'!E$3:E877,"У/Проигрыш") )</f>
        <v/>
      </c>
      <c r="I7" s="120" t="n">
        <f aca="false">M7+N7+Q7+R7</f>
        <v>6</v>
      </c>
      <c r="J7" s="120" t="n">
        <f aca="false">K7+L7+O7+P7</f>
        <v>3</v>
      </c>
      <c r="K7" s="120" t="n">
        <f aca="false">COUNTIFS('Все игры'!A$3:A877,A7,'Все игры'!C$3:C877,"&gt;0",'Все игры'!B$3:B877,"Мафия")</f>
        <v>0</v>
      </c>
      <c r="L7" s="120" t="n">
        <f aca="false">IFERROR(__xludf.dummyfunction("COUNTBLANK(FILTER('Все игры'!A$3:C877,'Все игры'!A$3:A877=A7,'Все игры'!C$3:C877 &lt; 1,'Все игры'!B$3:B877=""Мафия""))"),2)</f>
        <v>2</v>
      </c>
      <c r="M7" s="120" t="n">
        <f aca="false">COUNTIFS('Все игры'!A$3:A877,A7,'Все игры'!C$3:C877,"&gt;0",'Все игры'!B$3:B877,"Шериф")</f>
        <v>0</v>
      </c>
      <c r="N7" s="120" t="n">
        <f aca="false">IFERROR(__xludf.dummyfunction("COUNTBLANK(FILTER('Все игры'!A$3:C877,'Все игры'!A$3:A877=A7,'Все игры'!C$3:C877 &lt; 1,'Все игры'!B$3:B877=""Шериф""))"),2)</f>
        <v>2</v>
      </c>
      <c r="O7" s="120" t="n">
        <f aca="false">COUNTIFS('Все игры'!A$3:A877,A7,'Все игры'!C$3:C877,"&gt;0",'Все игры'!B$3:B877,"Дон")</f>
        <v>0</v>
      </c>
      <c r="P7" s="122" t="n">
        <f aca="false">IFERROR(__xludf.dummyfunction("COUNTBLANK(FILTER('Все игры'!A$3:C877,'Все игры'!A$3:A877=A7,'Все игры'!C$3:C877 &lt; 1,'Все игры'!B$3:B877=""Дон""))"),1)</f>
        <v>1</v>
      </c>
      <c r="Q7" s="120" t="n">
        <f aca="false">COUNTIFS('Все игры'!A$3:A877,A7,'Все игры'!C$3:C877,"&gt;0",'Все игры'!B$3:B877,"Мирный")</f>
        <v>0</v>
      </c>
      <c r="R7" s="120" t="n">
        <f aca="false">IFERROR(__xludf.dummyfunction("COUNTBLANK(FILTER('Все игры'!A$3:C877,'Все игры'!A$3:A877=A7,'Все игры'!C$3:C877 &lt; 1,'Все игры'!B$3:B877=""Мирный""))"),4)</f>
        <v>4</v>
      </c>
      <c r="S7" s="123" t="n">
        <f aca="false">IFERROR((K7+M7+O7+Q7)/(I7+J7), )</f>
        <v>0</v>
      </c>
      <c r="T7" s="123" t="n">
        <f aca="false">IFERROR((M7+Q7)/I7, )</f>
        <v>0</v>
      </c>
      <c r="U7" s="123" t="n">
        <f aca="false">IFERROR((K7+O7)/J7, )</f>
        <v>0</v>
      </c>
      <c r="V7" s="123" t="n">
        <f aca="false">IFERROR(K7/(K7+L7), )</f>
        <v>0</v>
      </c>
      <c r="W7" s="123" t="n">
        <f aca="false">IFERROR(M7/(M7+N7), )</f>
        <v>0</v>
      </c>
      <c r="X7" s="123" t="n">
        <f aca="false">IFERROR(O7/(O7+P7), )</f>
        <v>0</v>
      </c>
      <c r="Y7" s="123" t="n">
        <f aca="false">IFERROR(Q7/(Q7+R7), )</f>
        <v>0</v>
      </c>
      <c r="Z7" s="124" t="n">
        <f aca="false">SUMIFS('Все игры'!D$3:D877,'Все игры'!A$3:A877,A7)</f>
        <v>0</v>
      </c>
      <c r="AA7" s="124" t="n">
        <f aca="false">SUMIFS('Все игры'!D$3:D877,'Все игры'!A$3:A877,A7,'Все игры'!B$3:B877,"Мафия")</f>
        <v>0</v>
      </c>
      <c r="AB7" s="124" t="n">
        <f aca="false">SUMIFS('Все игры'!D$3:D877,'Все игры'!A$3:A877,A7,'Все игры'!B$3:B877,"Шериф")</f>
        <v>0</v>
      </c>
      <c r="AC7" s="124" t="n">
        <f aca="false">SUMIFS('Все игры'!D$3:D877,'Все игры'!A$3:A877,A7,'Все игры'!B$3:B877,"Дон")</f>
        <v>0</v>
      </c>
      <c r="AD7" s="124" t="n">
        <f aca="false">SUMIFS('Все игры'!D$3:D877,'Все игры'!A$3:A877,A7,'Все игры'!B$3:B877,"Мирный")</f>
        <v>0</v>
      </c>
      <c r="AE7" s="124" t="n">
        <f aca="false">IFERROR(Z7/B7,0)</f>
        <v>0</v>
      </c>
      <c r="AF7" s="124" t="n">
        <f aca="false">IFERROR(AA7/(K7+L7),0)</f>
        <v>0</v>
      </c>
      <c r="AG7" s="124" t="n">
        <f aca="false">IFERROR(AB7/(M7+N7),0)</f>
        <v>0</v>
      </c>
      <c r="AH7" s="124" t="n">
        <f aca="false">IFERROR(AC7/(O7+P7),0)</f>
        <v>0</v>
      </c>
      <c r="AI7" s="124" t="n">
        <f aca="false">IFERROR(AD7/(Q7+R7),0)</f>
        <v>0</v>
      </c>
    </row>
    <row r="8" customFormat="false" ht="15.75" hidden="false" customHeight="false" outlineLevel="0" collapsed="false">
      <c r="A8" s="215" t="s">
        <v>40</v>
      </c>
      <c r="B8" s="120" t="n">
        <f aca="false">SUM(I8:J8)</f>
        <v>8</v>
      </c>
      <c r="C8" s="4" t="str">
        <f aca="false">IF(COUNTIFS('Все игры'!A$3:A877,A8,'Все игры'!F$3:F877,"=1")=0, "", COUNTIFS('Все игры'!A$3:A877,A8,'Все игры'!F$3:F877,"=1"))</f>
        <v/>
      </c>
      <c r="D8" s="76" t="str">
        <f aca="false">IF(COUNTIFS('Все игры'!A$3:A877,A8,'Все игры'!F$3:F877,"=0,50")=0, "", COUNTIFS('Все игры'!A$3:A877,A8,'Все игры'!F$3:F877,"=0,50"))</f>
        <v/>
      </c>
      <c r="E8" s="76" t="str">
        <f aca="false">IF(COUNTIFS('Все игры'!A$3:A877,A8,'Все игры'!E$3:E877,"ПУ")=0, "", COUNTIFS('Все игры'!A$3:A877,A8,'Все игры'!E$3:E877,"ПУ"))</f>
        <v/>
      </c>
      <c r="F8" s="121" t="n">
        <f aca="false">IFERROR(E8/I8,0)</f>
        <v>0</v>
      </c>
      <c r="G8" s="76" t="str">
        <f aca="false">IF(COUNTIFS('Все игры'!A$3:A877,A8,'Все игры'!E$3:E877,"У/Победа")=0, "",COUNTIFS('Все игры'!A$3:A877,A8,'Все игры'!E$3:E877,"У/Победа") )</f>
        <v/>
      </c>
      <c r="H8" s="76" t="str">
        <f aca="false">IF(COUNTIFS('Все игры'!A$3:A877,A8,'Все игры'!E$3:E877,"У/Проигрыш")=0, "",COUNTIFS('Все игры'!A$3:A877,A8,'Все игры'!E$3:E877,"У/Проигрыш") )</f>
        <v/>
      </c>
      <c r="I8" s="120" t="n">
        <f aca="false">M8+N8+Q8+R8</f>
        <v>6</v>
      </c>
      <c r="J8" s="120" t="n">
        <f aca="false">K8+L8+O8+P8</f>
        <v>2</v>
      </c>
      <c r="K8" s="120" t="n">
        <f aca="false">COUNTIFS('Все игры'!A$3:A877,A8,'Все игры'!C$3:C877,"&gt;0",'Все игры'!B$3:B877,"Мафия")</f>
        <v>0</v>
      </c>
      <c r="L8" s="120" t="n">
        <f aca="false">IFERROR(__xludf.dummyfunction("COUNTBLANK(FILTER('Все игры'!A$3:C877,'Все игры'!A$3:A877=A8,'Все игры'!C$3:C877 &lt; 1,'Все игры'!B$3:B877=""Мафия""))"),2)</f>
        <v>2</v>
      </c>
      <c r="M8" s="120" t="n">
        <f aca="false">COUNTIFS('Все игры'!A$3:A877,A8,'Все игры'!C$3:C877,"&gt;0",'Все игры'!B$3:B877,"Шериф")</f>
        <v>0</v>
      </c>
      <c r="N8" s="120" t="n">
        <f aca="false">IFERROR(__xludf.dummyfunction("COUNTBLANK(FILTER('Все игры'!A$3:C877,'Все игры'!A$3:A877=A8,'Все игры'!C$3:C877 &lt; 1,'Все игры'!B$3:B877=""Шериф""))"),1)</f>
        <v>1</v>
      </c>
      <c r="O8" s="120" t="n">
        <f aca="false">COUNTIFS('Все игры'!A$3:A877,A8,'Все игры'!C$3:C877,"&gt;0",'Все игры'!B$3:B877,"Дон")</f>
        <v>0</v>
      </c>
      <c r="P8" s="122" t="n">
        <f aca="false">IFERROR(__xludf.dummyfunction("COUNTBLANK(FILTER('Все игры'!A$3:C877,'Все игры'!A$3:A877=A8,'Все игры'!C$3:C877 &lt; 1,'Все игры'!B$3:B877=""Дон""))"),0)</f>
        <v>0</v>
      </c>
      <c r="Q8" s="120" t="n">
        <f aca="false">COUNTIFS('Все игры'!A$3:A877,A8,'Все игры'!C$3:C877,"&gt;0",'Все игры'!B$3:B877,"Мирный")</f>
        <v>0</v>
      </c>
      <c r="R8" s="120" t="n">
        <f aca="false">IFERROR(__xludf.dummyfunction("COUNTBLANK(FILTER('Все игры'!A$3:C877,'Все игры'!A$3:A877=A8,'Все игры'!C$3:C877 &lt; 1,'Все игры'!B$3:B877=""Мирный""))"),5)</f>
        <v>5</v>
      </c>
      <c r="S8" s="123" t="n">
        <f aca="false">IFERROR((K8+M8+O8+Q8)/(I8+J8), )</f>
        <v>0</v>
      </c>
      <c r="T8" s="123" t="n">
        <f aca="false">IFERROR((M8+Q8)/I8, )</f>
        <v>0</v>
      </c>
      <c r="U8" s="123" t="n">
        <f aca="false">IFERROR((K8+O8)/J8, )</f>
        <v>0</v>
      </c>
      <c r="V8" s="123" t="n">
        <f aca="false">IFERROR(K8/(K8+L8), )</f>
        <v>0</v>
      </c>
      <c r="W8" s="123" t="n">
        <f aca="false">IFERROR(M8/(M8+N8), )</f>
        <v>0</v>
      </c>
      <c r="X8" s="123" t="n">
        <f aca="false">IFERROR(O8/(O8+P8), )</f>
        <v>0</v>
      </c>
      <c r="Y8" s="123" t="n">
        <f aca="false">IFERROR(Q8/(Q8+R8), )</f>
        <v>0</v>
      </c>
      <c r="Z8" s="124" t="n">
        <f aca="false">SUMIFS('Все игры'!D$3:D877,'Все игры'!A$3:A877,A8)</f>
        <v>0</v>
      </c>
      <c r="AA8" s="124" t="n">
        <f aca="false">SUMIFS('Все игры'!D$3:D877,'Все игры'!A$3:A877,A8,'Все игры'!B$3:B877,"Мафия")</f>
        <v>0</v>
      </c>
      <c r="AB8" s="124" t="n">
        <f aca="false">SUMIFS('Все игры'!D$3:D877,'Все игры'!A$3:A877,A8,'Все игры'!B$3:B877,"Шериф")</f>
        <v>0</v>
      </c>
      <c r="AC8" s="124" t="n">
        <f aca="false">SUMIFS('Все игры'!D$3:D877,'Все игры'!A$3:A877,A8,'Все игры'!B$3:B877,"Дон")</f>
        <v>0</v>
      </c>
      <c r="AD8" s="124" t="n">
        <f aca="false">SUMIFS('Все игры'!D$3:D877,'Все игры'!A$3:A877,A8,'Все игры'!B$3:B877,"Мирный")</f>
        <v>0</v>
      </c>
      <c r="AE8" s="124" t="n">
        <f aca="false">IFERROR(Z8/B8,0)</f>
        <v>0</v>
      </c>
      <c r="AF8" s="124" t="n">
        <f aca="false">IFERROR(AA8/(K8+L8),0)</f>
        <v>0</v>
      </c>
      <c r="AG8" s="124" t="n">
        <f aca="false">IFERROR(AB8/(M8+N8),0)</f>
        <v>0</v>
      </c>
      <c r="AH8" s="124" t="n">
        <f aca="false">IFERROR(AC8/(O8+P8),0)</f>
        <v>0</v>
      </c>
      <c r="AI8" s="124" t="n">
        <f aca="false">IFERROR(AD8/(Q8+R8),0)</f>
        <v>0</v>
      </c>
    </row>
    <row r="9" customFormat="false" ht="15.75" hidden="false" customHeight="false" outlineLevel="0" collapsed="false">
      <c r="A9" s="215" t="s">
        <v>158</v>
      </c>
      <c r="B9" s="120" t="n">
        <f aca="false">SUM(I9:J9)</f>
        <v>4</v>
      </c>
      <c r="C9" s="4" t="str">
        <f aca="false">IF(COUNTIFS('Все игры'!A$3:A877,A9,'Все игры'!F$3:F877,"=1")=0, "", COUNTIFS('Все игры'!A$3:A877,A9,'Все игры'!F$3:F877,"=1"))</f>
        <v/>
      </c>
      <c r="D9" s="76" t="str">
        <f aca="false">IF(COUNTIFS('Все игры'!A$3:A877,A9,'Все игры'!F$3:F877,"=0,50")=0, "", COUNTIFS('Все игры'!A$3:A877,A9,'Все игры'!F$3:F877,"=0,50"))</f>
        <v/>
      </c>
      <c r="E9" s="76" t="str">
        <f aca="false">IF(COUNTIFS('Все игры'!A$3:A877,A9,'Все игры'!E$3:E877,"ПУ")=0, "", COUNTIFS('Все игры'!A$3:A877,A9,'Все игры'!E$3:E877,"ПУ"))</f>
        <v/>
      </c>
      <c r="F9" s="121" t="n">
        <f aca="false">IFERROR(E9/I9,0)</f>
        <v>0</v>
      </c>
      <c r="G9" s="76" t="str">
        <f aca="false">IF(COUNTIFS('Все игры'!A$3:A877,A9,'Все игры'!E$3:E877,"У/Победа")=0, "",COUNTIFS('Все игры'!A$3:A877,A9,'Все игры'!E$3:E877,"У/Победа") )</f>
        <v/>
      </c>
      <c r="H9" s="76" t="str">
        <f aca="false">IF(COUNTIFS('Все игры'!A$3:A877,A9,'Все игры'!E$3:E877,"У/Проигрыш")=0, "",COUNTIFS('Все игры'!A$3:A877,A9,'Все игры'!E$3:E877,"У/Проигрыш") )</f>
        <v/>
      </c>
      <c r="I9" s="120" t="n">
        <f aca="false">M9+N9+Q9+R9</f>
        <v>4</v>
      </c>
      <c r="J9" s="120" t="n">
        <f aca="false">K9+L9+O9+P9</f>
        <v>0</v>
      </c>
      <c r="K9" s="120" t="n">
        <f aca="false">COUNTIFS('Все игры'!A$3:A877,A9,'Все игры'!C$3:C877,"&gt;0",'Все игры'!B$3:B877,"Мафия")</f>
        <v>0</v>
      </c>
      <c r="L9" s="120" t="n">
        <f aca="false">IFERROR(__xludf.dummyfunction("COUNTBLANK(FILTER('Все игры'!A$3:C877,'Все игры'!A$3:A877=A9,'Все игры'!C$3:C877 &lt; 1,'Все игры'!B$3:B877=""Мафия""))"),0)</f>
        <v>0</v>
      </c>
      <c r="M9" s="120" t="n">
        <f aca="false">COUNTIFS('Все игры'!A$3:A877,A9,'Все игры'!C$3:C877,"&gt;0",'Все игры'!B$3:B877,"Шериф")</f>
        <v>0</v>
      </c>
      <c r="N9" s="120" t="n">
        <f aca="false">IFERROR(__xludf.dummyfunction("COUNTBLANK(FILTER('Все игры'!A$3:C877,'Все игры'!A$3:A877=A9,'Все игры'!C$3:C877 &lt; 1,'Все игры'!B$3:B877=""Шериф""))"),0)</f>
        <v>0</v>
      </c>
      <c r="O9" s="120" t="n">
        <f aca="false">COUNTIFS('Все игры'!A$3:A877,A9,'Все игры'!C$3:C877,"&gt;0",'Все игры'!B$3:B877,"Дон")</f>
        <v>0</v>
      </c>
      <c r="P9" s="122" t="n">
        <f aca="false">IFERROR(__xludf.dummyfunction("COUNTBLANK(FILTER('Все игры'!A$3:C877,'Все игры'!A$3:A877=A9,'Все игры'!C$3:C877 &lt; 1,'Все игры'!B$3:B877=""Дон""))"),0)</f>
        <v>0</v>
      </c>
      <c r="Q9" s="120" t="n">
        <f aca="false">COUNTIFS('Все игры'!A$3:A877,A9,'Все игры'!C$3:C877,"&gt;0",'Все игры'!B$3:B877,"Мирный")</f>
        <v>0</v>
      </c>
      <c r="R9" s="120" t="n">
        <f aca="false">IFERROR(__xludf.dummyfunction("COUNTBLANK(FILTER('Все игры'!A$3:C877,'Все игры'!A$3:A877=A9,'Все игры'!C$3:C877 &lt; 1,'Все игры'!B$3:B877=""Мирный""))"),4)</f>
        <v>4</v>
      </c>
      <c r="S9" s="123" t="n">
        <f aca="false">IFERROR((K9+M9+O9+Q9)/(I9+J9), )</f>
        <v>0</v>
      </c>
      <c r="T9" s="123" t="n">
        <f aca="false">IFERROR((M9+Q9)/I9, )</f>
        <v>0</v>
      </c>
      <c r="U9" s="123" t="n">
        <f aca="false">IFERROR((K9+O9)/J9, )</f>
        <v>0</v>
      </c>
      <c r="V9" s="123" t="n">
        <f aca="false">IFERROR(K9/(K9+L9), )</f>
        <v>0</v>
      </c>
      <c r="W9" s="123" t="n">
        <f aca="false">IFERROR(M9/(M9+N9), )</f>
        <v>0</v>
      </c>
      <c r="X9" s="123" t="n">
        <f aca="false">IFERROR(O9/(O9+P9), )</f>
        <v>0</v>
      </c>
      <c r="Y9" s="123" t="n">
        <f aca="false">IFERROR(Q9/(Q9+R9), )</f>
        <v>0</v>
      </c>
      <c r="Z9" s="124" t="n">
        <f aca="false">SUMIFS('Все игры'!D$3:D877,'Все игры'!A$3:A877,A9)</f>
        <v>0</v>
      </c>
      <c r="AA9" s="124" t="n">
        <f aca="false">SUMIFS('Все игры'!D$3:D877,'Все игры'!A$3:A877,A9,'Все игры'!B$3:B877,"Мафия")</f>
        <v>0</v>
      </c>
      <c r="AB9" s="124" t="n">
        <f aca="false">SUMIFS('Все игры'!D$3:D877,'Все игры'!A$3:A877,A9,'Все игры'!B$3:B877,"Шериф")</f>
        <v>0</v>
      </c>
      <c r="AC9" s="124" t="n">
        <f aca="false">SUMIFS('Все игры'!D$3:D877,'Все игры'!A$3:A877,A9,'Все игры'!B$3:B877,"Дон")</f>
        <v>0</v>
      </c>
      <c r="AD9" s="124" t="n">
        <f aca="false">SUMIFS('Все игры'!D$3:D877,'Все игры'!A$3:A877,A9,'Все игры'!B$3:B877,"Мирный")</f>
        <v>0</v>
      </c>
      <c r="AE9" s="124" t="n">
        <f aca="false">IFERROR(Z9/B9,0)</f>
        <v>0</v>
      </c>
      <c r="AF9" s="124" t="n">
        <f aca="false">IFERROR(AA9/(K9+L9),0)</f>
        <v>0</v>
      </c>
      <c r="AG9" s="124" t="n">
        <f aca="false">IFERROR(AB9/(M9+N9),0)</f>
        <v>0</v>
      </c>
      <c r="AH9" s="124" t="n">
        <f aca="false">IFERROR(AC9/(O9+P9),0)</f>
        <v>0</v>
      </c>
      <c r="AI9" s="124" t="n">
        <f aca="false">IFERROR(AD9/(Q9+R9),0)</f>
        <v>0</v>
      </c>
    </row>
    <row r="10" customFormat="false" ht="15.75" hidden="false" customHeight="false" outlineLevel="0" collapsed="false">
      <c r="A10" s="215" t="s">
        <v>161</v>
      </c>
      <c r="B10" s="120" t="n">
        <f aca="false">SUM(I10:J10)</f>
        <v>9</v>
      </c>
      <c r="C10" s="4" t="str">
        <f aca="false">IF(COUNTIFS('Все игры'!A$3:A877,A10,'Все игры'!F$3:F877,"=1")=0, "", COUNTIFS('Все игры'!A$3:A877,A10,'Все игры'!F$3:F877,"=1"))</f>
        <v/>
      </c>
      <c r="D10" s="76" t="str">
        <f aca="false">IF(COUNTIFS('Все игры'!A$3:A877,A10,'Все игры'!F$3:F877,"=0,50")=0, "", COUNTIFS('Все игры'!A$3:A877,A10,'Все игры'!F$3:F877,"=0,50"))</f>
        <v/>
      </c>
      <c r="E10" s="76" t="str">
        <f aca="false">IF(COUNTIFS('Все игры'!A$3:A877,A10,'Все игры'!E$3:E877,"ПУ")=0, "", COUNTIFS('Все игры'!A$3:A877,A10,'Все игры'!E$3:E877,"ПУ"))</f>
        <v/>
      </c>
      <c r="F10" s="121" t="n">
        <f aca="false">IFERROR(E10/I10,0)</f>
        <v>0</v>
      </c>
      <c r="G10" s="76" t="str">
        <f aca="false">IF(COUNTIFS('Все игры'!A$3:A877,A10,'Все игры'!E$3:E877,"У/Победа")=0, "",COUNTIFS('Все игры'!A$3:A877,A10,'Все игры'!E$3:E877,"У/Победа") )</f>
        <v/>
      </c>
      <c r="H10" s="76" t="str">
        <f aca="false">IF(COUNTIFS('Все игры'!A$3:A877,A10,'Все игры'!E$3:E877,"У/Проигрыш")=0, "",COUNTIFS('Все игры'!A$3:A877,A10,'Все игры'!E$3:E877,"У/Проигрыш") )</f>
        <v/>
      </c>
      <c r="I10" s="120" t="n">
        <f aca="false">M10+N10+Q10+R10</f>
        <v>9</v>
      </c>
      <c r="J10" s="120" t="n">
        <f aca="false">K10+L10+O10+P10</f>
        <v>0</v>
      </c>
      <c r="K10" s="120" t="n">
        <f aca="false">COUNTIFS('Все игры'!A$3:A877,A10,'Все игры'!C$3:C877,"&gt;0",'Все игры'!B$3:B877,"Мафия")</f>
        <v>0</v>
      </c>
      <c r="L10" s="120" t="n">
        <f aca="false">IFERROR(__xludf.dummyfunction("COUNTBLANK(FILTER('Все игры'!A$3:C877,'Все игры'!A$3:A877=A10,'Все игры'!C$3:C877 &lt; 1,'Все игры'!B$3:B877=""Мафия""))"),0)</f>
        <v>0</v>
      </c>
      <c r="M10" s="120" t="n">
        <f aca="false">COUNTIFS('Все игры'!A$3:A877,A10,'Все игры'!C$3:C877,"&gt;0",'Все игры'!B$3:B877,"Шериф")</f>
        <v>0</v>
      </c>
      <c r="N10" s="120" t="n">
        <f aca="false">IFERROR(__xludf.dummyfunction("COUNTBLANK(FILTER('Все игры'!A$3:C877,'Все игры'!A$3:A877=A10,'Все игры'!C$3:C877 &lt; 1,'Все игры'!B$3:B877=""Шериф""))"),1)</f>
        <v>1</v>
      </c>
      <c r="O10" s="120" t="n">
        <f aca="false">COUNTIFS('Все игры'!A$3:A877,A10,'Все игры'!C$3:C877,"&gt;0",'Все игры'!B$3:B877,"Дон")</f>
        <v>0</v>
      </c>
      <c r="P10" s="122" t="n">
        <f aca="false">IFERROR(__xludf.dummyfunction("COUNTBLANK(FILTER('Все игры'!A$3:C877,'Все игры'!A$3:A877=A10,'Все игры'!C$3:C877 &lt; 1,'Все игры'!B$3:B877=""Дон""))"),0)</f>
        <v>0</v>
      </c>
      <c r="Q10" s="120" t="n">
        <f aca="false">COUNTIFS('Все игры'!A$3:A877,A10,'Все игры'!C$3:C877,"&gt;0",'Все игры'!B$3:B877,"Мирный")</f>
        <v>0</v>
      </c>
      <c r="R10" s="120" t="n">
        <f aca="false">IFERROR(__xludf.dummyfunction("COUNTBLANK(FILTER('Все игры'!A$3:C877,'Все игры'!A$3:A877=A10,'Все игры'!C$3:C877 &lt; 1,'Все игры'!B$3:B877=""Мирный""))"),8)</f>
        <v>8</v>
      </c>
      <c r="S10" s="123" t="n">
        <f aca="false">IFERROR((K10+M10+O10+Q10)/(I10+J10), )</f>
        <v>0</v>
      </c>
      <c r="T10" s="123" t="n">
        <f aca="false">IFERROR((M10+Q10)/I10, )</f>
        <v>0</v>
      </c>
      <c r="U10" s="123" t="n">
        <f aca="false">IFERROR((K10+O10)/J10, )</f>
        <v>0</v>
      </c>
      <c r="V10" s="123" t="n">
        <f aca="false">IFERROR(K10/(K10+L10), )</f>
        <v>0</v>
      </c>
      <c r="W10" s="123" t="n">
        <f aca="false">IFERROR(M10/(M10+N10), )</f>
        <v>0</v>
      </c>
      <c r="X10" s="123" t="n">
        <f aca="false">IFERROR(O10/(O10+P10), )</f>
        <v>0</v>
      </c>
      <c r="Y10" s="123" t="n">
        <f aca="false">IFERROR(Q10/(Q10+R10), )</f>
        <v>0</v>
      </c>
      <c r="Z10" s="124" t="n">
        <f aca="false">SUMIFS('Все игры'!D$3:D877,'Все игры'!A$3:A877,A10)</f>
        <v>0</v>
      </c>
      <c r="AA10" s="124" t="n">
        <f aca="false">SUMIFS('Все игры'!D$3:D877,'Все игры'!A$3:A877,A10,'Все игры'!B$3:B877,"Мафия")</f>
        <v>0</v>
      </c>
      <c r="AB10" s="124" t="n">
        <f aca="false">SUMIFS('Все игры'!D$3:D877,'Все игры'!A$3:A877,A10,'Все игры'!B$3:B877,"Шериф")</f>
        <v>0</v>
      </c>
      <c r="AC10" s="124" t="n">
        <f aca="false">SUMIFS('Все игры'!D$3:D877,'Все игры'!A$3:A877,A10,'Все игры'!B$3:B877,"Дон")</f>
        <v>0</v>
      </c>
      <c r="AD10" s="124" t="n">
        <f aca="false">SUMIFS('Все игры'!D$3:D877,'Все игры'!A$3:A877,A10,'Все игры'!B$3:B877,"Мирный")</f>
        <v>0</v>
      </c>
      <c r="AE10" s="124" t="n">
        <f aca="false">IFERROR(Z10/B10,0)</f>
        <v>0</v>
      </c>
      <c r="AF10" s="124" t="n">
        <f aca="false">IFERROR(AA10/(K10+L10),0)</f>
        <v>0</v>
      </c>
      <c r="AG10" s="124" t="n">
        <f aca="false">IFERROR(AB10/(M10+N10),0)</f>
        <v>0</v>
      </c>
      <c r="AH10" s="124" t="n">
        <f aca="false">IFERROR(AC10/(O10+P10),0)</f>
        <v>0</v>
      </c>
      <c r="AI10" s="124" t="n">
        <f aca="false">IFERROR(AD10/(Q10+R10),0)</f>
        <v>0</v>
      </c>
    </row>
    <row r="11" customFormat="false" ht="15.75" hidden="false" customHeight="false" outlineLevel="0" collapsed="false">
      <c r="A11" s="215" t="s">
        <v>68</v>
      </c>
      <c r="B11" s="120" t="n">
        <f aca="false">SUM(I11:J11)</f>
        <v>14</v>
      </c>
      <c r="C11" s="4" t="str">
        <f aca="false">IF(COUNTIFS('Все игры'!A$3:A877,A11,'Все игры'!F$3:F877,"=1")=0, "", COUNTIFS('Все игры'!A$3:A877,A11,'Все игры'!F$3:F877,"=1"))</f>
        <v/>
      </c>
      <c r="D11" s="76" t="str">
        <f aca="false">IF(COUNTIFS('Все игры'!A$3:A877,A11,'Все игры'!F$3:F877,"=0,50")=0, "", COUNTIFS('Все игры'!A$3:A877,A11,'Все игры'!F$3:F877,"=0,50"))</f>
        <v/>
      </c>
      <c r="E11" s="76" t="str">
        <f aca="false">IF(COUNTIFS('Все игры'!A$3:A877,A11,'Все игры'!E$3:E877,"ПУ")=0, "", COUNTIFS('Все игры'!A$3:A877,A11,'Все игры'!E$3:E877,"ПУ"))</f>
        <v/>
      </c>
      <c r="F11" s="121" t="n">
        <f aca="false">IFERROR(E11/I11,0)</f>
        <v>0</v>
      </c>
      <c r="G11" s="76" t="str">
        <f aca="false">IF(COUNTIFS('Все игры'!A$3:A877,A11,'Все игры'!E$3:E877,"У/Победа")=0, "",COUNTIFS('Все игры'!A$3:A877,A11,'Все игры'!E$3:E877,"У/Победа") )</f>
        <v/>
      </c>
      <c r="H11" s="76" t="str">
        <f aca="false">IF(COUNTIFS('Все игры'!A$3:A877,A11,'Все игры'!E$3:E877,"У/Проигрыш")=0, "",COUNTIFS('Все игры'!A$3:A877,A11,'Все игры'!E$3:E877,"У/Проигрыш") )</f>
        <v/>
      </c>
      <c r="I11" s="120" t="n">
        <f aca="false">M11+N11+Q11+R11</f>
        <v>9</v>
      </c>
      <c r="J11" s="120" t="n">
        <f aca="false">K11+L11+O11+P11</f>
        <v>5</v>
      </c>
      <c r="K11" s="120" t="n">
        <f aca="false">COUNTIFS('Все игры'!A$3:A877,A11,'Все игры'!C$3:C877,"&gt;0",'Все игры'!B$3:B877,"Мафия")</f>
        <v>0</v>
      </c>
      <c r="L11" s="120" t="n">
        <f aca="false">IFERROR(__xludf.dummyfunction("COUNTBLANK(FILTER('Все игры'!A$3:C877,'Все игры'!A$3:A877=A11,'Все игры'!C$3:C877 &lt; 1,'Все игры'!B$3:B877=""Мафия""))"),4)</f>
        <v>4</v>
      </c>
      <c r="M11" s="120" t="n">
        <f aca="false">COUNTIFS('Все игры'!A$3:A877,A11,'Все игры'!C$3:C877,"&gt;0",'Все игры'!B$3:B877,"Шериф")</f>
        <v>0</v>
      </c>
      <c r="N11" s="120" t="n">
        <f aca="false">IFERROR(__xludf.dummyfunction("COUNTBLANK(FILTER('Все игры'!A$3:C877,'Все игры'!A$3:A877=A11,'Все игры'!C$3:C877 &lt; 1,'Все игры'!B$3:B877=""Шериф""))"),2)</f>
        <v>2</v>
      </c>
      <c r="O11" s="120" t="n">
        <f aca="false">COUNTIFS('Все игры'!A$3:A877,A11,'Все игры'!C$3:C877,"&gt;0",'Все игры'!B$3:B877,"Дон")</f>
        <v>0</v>
      </c>
      <c r="P11" s="122" t="n">
        <f aca="false">IFERROR(__xludf.dummyfunction("COUNTBLANK(FILTER('Все игры'!A$3:C877,'Все игры'!A$3:A877=A11,'Все игры'!C$3:C877 &lt; 1,'Все игры'!B$3:B877=""Дон""))"),1)</f>
        <v>1</v>
      </c>
      <c r="Q11" s="120" t="n">
        <f aca="false">COUNTIFS('Все игры'!A$3:A877,A11,'Все игры'!C$3:C877,"&gt;0",'Все игры'!B$3:B877,"Мирный")</f>
        <v>0</v>
      </c>
      <c r="R11" s="120" t="n">
        <f aca="false">IFERROR(__xludf.dummyfunction("COUNTBLANK(FILTER('Все игры'!A$3:C877,'Все игры'!A$3:A877=A11,'Все игры'!C$3:C877 &lt; 1,'Все игры'!B$3:B877=""Мирный""))"),7)</f>
        <v>7</v>
      </c>
      <c r="S11" s="123" t="n">
        <f aca="false">IFERROR((K11+M11+O11+Q11)/(I11+J11), )</f>
        <v>0</v>
      </c>
      <c r="T11" s="123" t="n">
        <f aca="false">IFERROR((M11+Q11)/I11, )</f>
        <v>0</v>
      </c>
      <c r="U11" s="123" t="n">
        <f aca="false">IFERROR((K11+O11)/J11, )</f>
        <v>0</v>
      </c>
      <c r="V11" s="123" t="n">
        <f aca="false">IFERROR(K11/(K11+L11), )</f>
        <v>0</v>
      </c>
      <c r="W11" s="123" t="n">
        <f aca="false">IFERROR(M11/(M11+N11), )</f>
        <v>0</v>
      </c>
      <c r="X11" s="123" t="n">
        <f aca="false">IFERROR(O11/(O11+P11), )</f>
        <v>0</v>
      </c>
      <c r="Y11" s="123" t="n">
        <f aca="false">IFERROR(Q11/(Q11+R11), )</f>
        <v>0</v>
      </c>
      <c r="Z11" s="124" t="n">
        <f aca="false">SUMIFS('Все игры'!D$3:D877,'Все игры'!A$3:A877,A11)</f>
        <v>0</v>
      </c>
      <c r="AA11" s="124" t="n">
        <f aca="false">SUMIFS('Все игры'!D$3:D877,'Все игры'!A$3:A877,A11,'Все игры'!B$3:B877,"Мафия")</f>
        <v>0</v>
      </c>
      <c r="AB11" s="124" t="n">
        <f aca="false">SUMIFS('Все игры'!D$3:D877,'Все игры'!A$3:A877,A11,'Все игры'!B$3:B877,"Шериф")</f>
        <v>0</v>
      </c>
      <c r="AC11" s="124" t="n">
        <f aca="false">SUMIFS('Все игры'!D$3:D877,'Все игры'!A$3:A877,A11,'Все игры'!B$3:B877,"Дон")</f>
        <v>0</v>
      </c>
      <c r="AD11" s="124" t="n">
        <f aca="false">SUMIFS('Все игры'!D$3:D877,'Все игры'!A$3:A877,A11,'Все игры'!B$3:B877,"Мирный")</f>
        <v>0</v>
      </c>
      <c r="AE11" s="124" t="n">
        <f aca="false">IFERROR(Z11/B11,0)</f>
        <v>0</v>
      </c>
      <c r="AF11" s="124" t="n">
        <f aca="false">IFERROR(AA11/(K11+L11),0)</f>
        <v>0</v>
      </c>
      <c r="AG11" s="124" t="n">
        <f aca="false">IFERROR(AB11/(M11+N11),0)</f>
        <v>0</v>
      </c>
      <c r="AH11" s="124" t="n">
        <f aca="false">IFERROR(AC11/(O11+P11),0)</f>
        <v>0</v>
      </c>
      <c r="AI11" s="124" t="n">
        <f aca="false">IFERROR(AD11/(Q11+R11),0)</f>
        <v>0</v>
      </c>
    </row>
    <row r="12" customFormat="false" ht="15.75" hidden="false" customHeight="false" outlineLevel="0" collapsed="false">
      <c r="A12" s="215" t="s">
        <v>41</v>
      </c>
      <c r="B12" s="120" t="n">
        <f aca="false">SUM(I12:J12)</f>
        <v>26</v>
      </c>
      <c r="C12" s="4" t="str">
        <f aca="false">IF(COUNTIFS('Все игры'!A$3:A877,A12,'Все игры'!F$3:F877,"=1")=0, "", COUNTIFS('Все игры'!A$3:A877,A12,'Все игры'!F$3:F877,"=1"))</f>
        <v/>
      </c>
      <c r="D12" s="76" t="str">
        <f aca="false">IF(COUNTIFS('Все игры'!A$3:A877,A12,'Все игры'!F$3:F877,"=0,50")=0, "", COUNTIFS('Все игры'!A$3:A877,A12,'Все игры'!F$3:F877,"=0,50"))</f>
        <v/>
      </c>
      <c r="E12" s="76" t="str">
        <f aca="false">IF(COUNTIFS('Все игры'!A$3:A877,A12,'Все игры'!E$3:E877,"ПУ")=0, "", COUNTIFS('Все игры'!A$3:A877,A12,'Все игры'!E$3:E877,"ПУ"))</f>
        <v/>
      </c>
      <c r="F12" s="121" t="n">
        <f aca="false">IFERROR(E12/I12,0)</f>
        <v>0</v>
      </c>
      <c r="G12" s="76" t="str">
        <f aca="false">IF(COUNTIFS('Все игры'!A$3:A877,A12,'Все игры'!E$3:E877,"У/Победа")=0, "",COUNTIFS('Все игры'!A$3:A877,A12,'Все игры'!E$3:E877,"У/Победа") )</f>
        <v/>
      </c>
      <c r="H12" s="76" t="str">
        <f aca="false">IF(COUNTIFS('Все игры'!A$3:A877,A12,'Все игры'!E$3:E877,"У/Проигрыш")=0, "",COUNTIFS('Все игры'!A$3:A877,A12,'Все игры'!E$3:E877,"У/Проигрыш") )</f>
        <v/>
      </c>
      <c r="I12" s="120" t="n">
        <f aca="false">M12+N12+Q12+R12</f>
        <v>21</v>
      </c>
      <c r="J12" s="120" t="n">
        <f aca="false">K12+L12+O12+P12</f>
        <v>5</v>
      </c>
      <c r="K12" s="120" t="n">
        <f aca="false">COUNTIFS('Все игры'!A$3:A877,A12,'Все игры'!C$3:C877,"&gt;0",'Все игры'!B$3:B877,"Мафия")</f>
        <v>0</v>
      </c>
      <c r="L12" s="120" t="n">
        <f aca="false">IFERROR(__xludf.dummyfunction("COUNTBLANK(FILTER('Все игры'!A$3:C877,'Все игры'!A$3:A877=A12,'Все игры'!C$3:C877 &lt; 1,'Все игры'!B$3:B877=""Мафия""))"),3)</f>
        <v>3</v>
      </c>
      <c r="M12" s="120" t="n">
        <f aca="false">COUNTIFS('Все игры'!A$3:A877,A12,'Все игры'!C$3:C877,"&gt;0",'Все игры'!B$3:B877,"Шериф")</f>
        <v>0</v>
      </c>
      <c r="N12" s="120" t="n">
        <f aca="false">IFERROR(__xludf.dummyfunction("COUNTBLANK(FILTER('Все игры'!A$3:C877,'Все игры'!A$3:A877=A12,'Все игры'!C$3:C877 &lt; 1,'Все игры'!B$3:B877=""Шериф""))"),2)</f>
        <v>2</v>
      </c>
      <c r="O12" s="120" t="n">
        <f aca="false">COUNTIFS('Все игры'!A$3:A877,A12,'Все игры'!C$3:C877,"&gt;0",'Все игры'!B$3:B877,"Дон")</f>
        <v>0</v>
      </c>
      <c r="P12" s="122" t="n">
        <f aca="false">IFERROR(__xludf.dummyfunction("COUNTBLANK(FILTER('Все игры'!A$3:C877,'Все игры'!A$3:A877=A12,'Все игры'!C$3:C877 &lt; 1,'Все игры'!B$3:B877=""Дон""))"),2)</f>
        <v>2</v>
      </c>
      <c r="Q12" s="120" t="n">
        <f aca="false">COUNTIFS('Все игры'!A$3:A877,A12,'Все игры'!C$3:C877,"&gt;0",'Все игры'!B$3:B877,"Мирный")</f>
        <v>0</v>
      </c>
      <c r="R12" s="120" t="n">
        <f aca="false">IFERROR(__xludf.dummyfunction("COUNTBLANK(FILTER('Все игры'!A$3:C877,'Все игры'!A$3:A877=A12,'Все игры'!C$3:C877 &lt; 1,'Все игры'!B$3:B877=""Мирный""))"),19)</f>
        <v>19</v>
      </c>
      <c r="S12" s="123" t="n">
        <f aca="false">IFERROR((K12+M12+O12+Q12)/(I12+J12), )</f>
        <v>0</v>
      </c>
      <c r="T12" s="123" t="n">
        <f aca="false">IFERROR((M12+Q12)/I12, )</f>
        <v>0</v>
      </c>
      <c r="U12" s="123" t="n">
        <f aca="false">IFERROR((K12+O12)/J12, )</f>
        <v>0</v>
      </c>
      <c r="V12" s="123" t="n">
        <f aca="false">IFERROR(K12/(K12+L12), )</f>
        <v>0</v>
      </c>
      <c r="W12" s="123" t="n">
        <f aca="false">IFERROR(M12/(M12+N12), )</f>
        <v>0</v>
      </c>
      <c r="X12" s="123" t="n">
        <f aca="false">IFERROR(O12/(O12+P12), )</f>
        <v>0</v>
      </c>
      <c r="Y12" s="123" t="n">
        <f aca="false">IFERROR(Q12/(Q12+R12), )</f>
        <v>0</v>
      </c>
      <c r="Z12" s="124" t="n">
        <f aca="false">SUMIFS('Все игры'!D$3:D877,'Все игры'!A$3:A877,A12)</f>
        <v>0</v>
      </c>
      <c r="AA12" s="124" t="n">
        <f aca="false">SUMIFS('Все игры'!D$3:D877,'Все игры'!A$3:A877,A12,'Все игры'!B$3:B877,"Мафия")</f>
        <v>0</v>
      </c>
      <c r="AB12" s="124" t="n">
        <f aca="false">SUMIFS('Все игры'!D$3:D877,'Все игры'!A$3:A877,A12,'Все игры'!B$3:B877,"Шериф")</f>
        <v>0</v>
      </c>
      <c r="AC12" s="124" t="n">
        <f aca="false">SUMIFS('Все игры'!D$3:D877,'Все игры'!A$3:A877,A12,'Все игры'!B$3:B877,"Дон")</f>
        <v>0</v>
      </c>
      <c r="AD12" s="124" t="n">
        <f aca="false">SUMIFS('Все игры'!D$3:D877,'Все игры'!A$3:A877,A12,'Все игры'!B$3:B877,"Мирный")</f>
        <v>0</v>
      </c>
      <c r="AE12" s="124" t="n">
        <f aca="false">IFERROR(Z12/B12,0)</f>
        <v>0</v>
      </c>
      <c r="AF12" s="124" t="n">
        <f aca="false">IFERROR(AA12/(K12+L12),0)</f>
        <v>0</v>
      </c>
      <c r="AG12" s="124" t="n">
        <f aca="false">IFERROR(AB12/(M12+N12),0)</f>
        <v>0</v>
      </c>
      <c r="AH12" s="124" t="n">
        <f aca="false">IFERROR(AC12/(O12+P12),0)</f>
        <v>0</v>
      </c>
      <c r="AI12" s="124" t="n">
        <f aca="false">IFERROR(AD12/(Q12+R12),0)</f>
        <v>0</v>
      </c>
    </row>
    <row r="13" customFormat="false" ht="15.75" hidden="false" customHeight="false" outlineLevel="0" collapsed="false">
      <c r="A13" s="215" t="s">
        <v>164</v>
      </c>
      <c r="B13" s="120" t="n">
        <f aca="false">SUM(I13:J13)</f>
        <v>10</v>
      </c>
      <c r="C13" s="4" t="str">
        <f aca="false">IF(COUNTIFS('Все игры'!A$3:A877,A13,'Все игры'!F$3:F877,"=1")=0, "", COUNTIFS('Все игры'!A$3:A877,A13,'Все игры'!F$3:F877,"=1"))</f>
        <v/>
      </c>
      <c r="D13" s="76" t="str">
        <f aca="false">IF(COUNTIFS('Все игры'!A$3:A877,A13,'Все игры'!F$3:F877,"=0,50")=0, "", COUNTIFS('Все игры'!A$3:A877,A13,'Все игры'!F$3:F877,"=0,50"))</f>
        <v/>
      </c>
      <c r="E13" s="76" t="str">
        <f aca="false">IF(COUNTIFS('Все игры'!A$3:A877,A13,'Все игры'!E$3:E877,"ПУ")=0, "", COUNTIFS('Все игры'!A$3:A877,A13,'Все игры'!E$3:E877,"ПУ"))</f>
        <v/>
      </c>
      <c r="F13" s="121" t="n">
        <f aca="false">IFERROR(E13/I13,0)</f>
        <v>0</v>
      </c>
      <c r="G13" s="76" t="str">
        <f aca="false">IF(COUNTIFS('Все игры'!A$3:A877,A13,'Все игры'!E$3:E877,"У/Победа")=0, "",COUNTIFS('Все игры'!A$3:A877,A13,'Все игры'!E$3:E877,"У/Победа") )</f>
        <v/>
      </c>
      <c r="H13" s="76" t="str">
        <f aca="false">IF(COUNTIFS('Все игры'!A$3:A877,A13,'Все игры'!E$3:E877,"У/Проигрыш")=0, "",COUNTIFS('Все игры'!A$3:A877,A13,'Все игры'!E$3:E877,"У/Проигрыш") )</f>
        <v/>
      </c>
      <c r="I13" s="120" t="n">
        <f aca="false">M13+N13+Q13+R13</f>
        <v>7</v>
      </c>
      <c r="J13" s="120" t="n">
        <f aca="false">K13+L13+O13+P13</f>
        <v>3</v>
      </c>
      <c r="K13" s="120" t="n">
        <f aca="false">COUNTIFS('Все игры'!A$3:A877,A13,'Все игры'!C$3:C877,"&gt;0",'Все игры'!B$3:B877,"Мафия")</f>
        <v>0</v>
      </c>
      <c r="L13" s="120" t="n">
        <f aca="false">IFERROR(__xludf.dummyfunction("COUNTBLANK(FILTER('Все игры'!A$3:C877,'Все игры'!A$3:A877=A13,'Все игры'!C$3:C877 &lt; 1,'Все игры'!B$3:B877=""Мафия""))"),2)</f>
        <v>2</v>
      </c>
      <c r="M13" s="120" t="n">
        <f aca="false">COUNTIFS('Все игры'!A$3:A877,A13,'Все игры'!C$3:C877,"&gt;0",'Все игры'!B$3:B877,"Шериф")</f>
        <v>0</v>
      </c>
      <c r="N13" s="120" t="n">
        <f aca="false">IFERROR(__xludf.dummyfunction("COUNTBLANK(FILTER('Все игры'!A$3:C877,'Все игры'!A$3:A877=A13,'Все игры'!C$3:C877 &lt; 1,'Все игры'!B$3:B877=""Шериф""))"),0)</f>
        <v>0</v>
      </c>
      <c r="O13" s="120" t="n">
        <f aca="false">COUNTIFS('Все игры'!A$3:A877,A13,'Все игры'!C$3:C877,"&gt;0",'Все игры'!B$3:B877,"Дон")</f>
        <v>0</v>
      </c>
      <c r="P13" s="122" t="n">
        <f aca="false">IFERROR(__xludf.dummyfunction("COUNTBLANK(FILTER('Все игры'!A$3:C877,'Все игры'!A$3:A877=A13,'Все игры'!C$3:C877 &lt; 1,'Все игры'!B$3:B877=""Дон""))"),1)</f>
        <v>1</v>
      </c>
      <c r="Q13" s="120" t="n">
        <f aca="false">COUNTIFS('Все игры'!A$3:A877,A13,'Все игры'!C$3:C877,"&gt;0",'Все игры'!B$3:B877,"Мирный")</f>
        <v>0</v>
      </c>
      <c r="R13" s="120" t="n">
        <f aca="false">IFERROR(__xludf.dummyfunction("COUNTBLANK(FILTER('Все игры'!A$3:C877,'Все игры'!A$3:A877=A13,'Все игры'!C$3:C877 &lt; 1,'Все игры'!B$3:B877=""Мирный""))"),7)</f>
        <v>7</v>
      </c>
      <c r="S13" s="123" t="n">
        <f aca="false">IFERROR((K13+M13+O13+Q13)/(I13+J13), )</f>
        <v>0</v>
      </c>
      <c r="T13" s="123" t="n">
        <f aca="false">IFERROR((M13+Q13)/I13, )</f>
        <v>0</v>
      </c>
      <c r="U13" s="123" t="n">
        <f aca="false">IFERROR((K13+O13)/J13, )</f>
        <v>0</v>
      </c>
      <c r="V13" s="123" t="n">
        <f aca="false">IFERROR(K13/(K13+L13), )</f>
        <v>0</v>
      </c>
      <c r="W13" s="123" t="n">
        <f aca="false">IFERROR(M13/(M13+N13), )</f>
        <v>0</v>
      </c>
      <c r="X13" s="123" t="n">
        <f aca="false">IFERROR(O13/(O13+P13), )</f>
        <v>0</v>
      </c>
      <c r="Y13" s="123" t="n">
        <f aca="false">IFERROR(Q13/(Q13+R13), )</f>
        <v>0</v>
      </c>
      <c r="Z13" s="124" t="n">
        <f aca="false">SUMIFS('Все игры'!D$3:D877,'Все игры'!A$3:A877,A13)</f>
        <v>0</v>
      </c>
      <c r="AA13" s="124" t="n">
        <f aca="false">SUMIFS('Все игры'!D$3:D877,'Все игры'!A$3:A877,A13,'Все игры'!B$3:B877,"Мафия")</f>
        <v>0</v>
      </c>
      <c r="AB13" s="124" t="n">
        <f aca="false">SUMIFS('Все игры'!D$3:D877,'Все игры'!A$3:A877,A13,'Все игры'!B$3:B877,"Шериф")</f>
        <v>0</v>
      </c>
      <c r="AC13" s="124" t="n">
        <f aca="false">SUMIFS('Все игры'!D$3:D877,'Все игры'!A$3:A877,A13,'Все игры'!B$3:B877,"Дон")</f>
        <v>0</v>
      </c>
      <c r="AD13" s="124" t="n">
        <f aca="false">SUMIFS('Все игры'!D$3:D877,'Все игры'!A$3:A877,A13,'Все игры'!B$3:B877,"Мирный")</f>
        <v>0</v>
      </c>
      <c r="AE13" s="124" t="n">
        <f aca="false">IFERROR(Z13/B13,0)</f>
        <v>0</v>
      </c>
      <c r="AF13" s="124" t="n">
        <f aca="false">IFERROR(AA13/(K13+L13),0)</f>
        <v>0</v>
      </c>
      <c r="AG13" s="124" t="n">
        <f aca="false">IFERROR(AB13/(M13+N13),0)</f>
        <v>0</v>
      </c>
      <c r="AH13" s="124" t="n">
        <f aca="false">IFERROR(AC13/(O13+P13),0)</f>
        <v>0</v>
      </c>
      <c r="AI13" s="124" t="n">
        <f aca="false">IFERROR(AD13/(Q13+R13),0)</f>
        <v>0</v>
      </c>
    </row>
    <row r="14" customFormat="false" ht="15.75" hidden="false" customHeight="false" outlineLevel="0" collapsed="false">
      <c r="A14" s="215" t="s">
        <v>165</v>
      </c>
      <c r="B14" s="120" t="n">
        <f aca="false">SUM(I14:J14)</f>
        <v>16</v>
      </c>
      <c r="C14" s="4" t="str">
        <f aca="false">IF(COUNTIFS('Все игры'!A$3:A877,A14,'Все игры'!F$3:F877,"=1")=0, "", COUNTIFS('Все игры'!A$3:A877,A14,'Все игры'!F$3:F877,"=1"))</f>
        <v/>
      </c>
      <c r="D14" s="76" t="str">
        <f aca="false">IF(COUNTIFS('Все игры'!A$3:A877,A14,'Все игры'!F$3:F877,"=0,50")=0, "", COUNTIFS('Все игры'!A$3:A877,A14,'Все игры'!F$3:F877,"=0,50"))</f>
        <v/>
      </c>
      <c r="E14" s="76" t="str">
        <f aca="false">IF(COUNTIFS('Все игры'!A$3:A877,A14,'Все игры'!E$3:E877,"ПУ")=0, "", COUNTIFS('Все игры'!A$3:A877,A14,'Все игры'!E$3:E877,"ПУ"))</f>
        <v/>
      </c>
      <c r="F14" s="121" t="n">
        <f aca="false">IFERROR(E14/I14,0)</f>
        <v>0</v>
      </c>
      <c r="G14" s="76" t="str">
        <f aca="false">IF(COUNTIFS('Все игры'!A$3:A877,A14,'Все игры'!E$3:E877,"У/Победа")=0, "",COUNTIFS('Все игры'!A$3:A877,A14,'Все игры'!E$3:E877,"У/Победа") )</f>
        <v/>
      </c>
      <c r="H14" s="76" t="str">
        <f aca="false">IF(COUNTIFS('Все игры'!A$3:A877,A14,'Все игры'!E$3:E877,"У/Проигрыш")=0, "",COUNTIFS('Все игры'!A$3:A877,A14,'Все игры'!E$3:E877,"У/Проигрыш") )</f>
        <v/>
      </c>
      <c r="I14" s="120" t="n">
        <f aca="false">M14+N14+Q14+R14</f>
        <v>11</v>
      </c>
      <c r="J14" s="120" t="n">
        <f aca="false">K14+L14+O14+P14</f>
        <v>5</v>
      </c>
      <c r="K14" s="120" t="n">
        <f aca="false">COUNTIFS('Все игры'!A$3:A877,A14,'Все игры'!C$3:C877,"&gt;0",'Все игры'!B$3:B877,"Мафия")</f>
        <v>0</v>
      </c>
      <c r="L14" s="120" t="n">
        <f aca="false">IFERROR(__xludf.dummyfunction("COUNTBLANK(FILTER('Все игры'!A$3:C877,'Все игры'!A$3:A877=A14,'Все игры'!C$3:C877 &lt; 1,'Все игры'!B$3:B877=""Мафия""))"),5)</f>
        <v>5</v>
      </c>
      <c r="M14" s="120" t="n">
        <f aca="false">COUNTIFS('Все игры'!A$3:A877,A14,'Все игры'!C$3:C877,"&gt;0",'Все игры'!B$3:B877,"Шериф")</f>
        <v>0</v>
      </c>
      <c r="N14" s="120" t="n">
        <f aca="false">IFERROR(__xludf.dummyfunction("COUNTBLANK(FILTER('Все игры'!A$3:C877,'Все игры'!A$3:A877=A14,'Все игры'!C$3:C877 &lt; 1,'Все игры'!B$3:B877=""Шериф""))"),1)</f>
        <v>1</v>
      </c>
      <c r="O14" s="120" t="n">
        <f aca="false">COUNTIFS('Все игры'!A$3:A877,A14,'Все игры'!C$3:C877,"&gt;0",'Все игры'!B$3:B877,"Дон")</f>
        <v>0</v>
      </c>
      <c r="P14" s="122" t="n">
        <f aca="false">IFERROR(__xludf.dummyfunction("COUNTBLANK(FILTER('Все игры'!A$3:C877,'Все игры'!A$3:A877=A14,'Все игры'!C$3:C877 &lt; 1,'Все игры'!B$3:B877=""Дон""))"),0)</f>
        <v>0</v>
      </c>
      <c r="Q14" s="120" t="n">
        <f aca="false">COUNTIFS('Все игры'!A$3:A877,A14,'Все игры'!C$3:C877,"&gt;0",'Все игры'!B$3:B877,"Мирный")</f>
        <v>0</v>
      </c>
      <c r="R14" s="120" t="n">
        <f aca="false">IFERROR(__xludf.dummyfunction("COUNTBLANK(FILTER('Все игры'!A$3:C877,'Все игры'!A$3:A877=A14,'Все игры'!C$3:C877 &lt; 1,'Все игры'!B$3:B877=""Мирный""))"),10)</f>
        <v>10</v>
      </c>
      <c r="S14" s="123" t="n">
        <f aca="false">IFERROR((K14+M14+O14+Q14)/(I14+J14), )</f>
        <v>0</v>
      </c>
      <c r="T14" s="123" t="n">
        <f aca="false">IFERROR((M14+Q14)/I14, )</f>
        <v>0</v>
      </c>
      <c r="U14" s="123" t="n">
        <f aca="false">IFERROR((K14+O14)/J14, )</f>
        <v>0</v>
      </c>
      <c r="V14" s="123" t="n">
        <f aca="false">IFERROR(K14/(K14+L14), )</f>
        <v>0</v>
      </c>
      <c r="W14" s="123" t="n">
        <f aca="false">IFERROR(M14/(M14+N14), )</f>
        <v>0</v>
      </c>
      <c r="X14" s="123" t="n">
        <f aca="false">IFERROR(O14/(O14+P14), )</f>
        <v>0</v>
      </c>
      <c r="Y14" s="123" t="n">
        <f aca="false">IFERROR(Q14/(Q14+R14), )</f>
        <v>0</v>
      </c>
      <c r="Z14" s="124" t="n">
        <f aca="false">SUMIFS('Все игры'!D$3:D877,'Все игры'!A$3:A877,A14)</f>
        <v>0</v>
      </c>
      <c r="AA14" s="124" t="n">
        <f aca="false">SUMIFS('Все игры'!D$3:D877,'Все игры'!A$3:A877,A14,'Все игры'!B$3:B877,"Мафия")</f>
        <v>0</v>
      </c>
      <c r="AB14" s="124" t="n">
        <f aca="false">SUMIFS('Все игры'!D$3:D877,'Все игры'!A$3:A877,A14,'Все игры'!B$3:B877,"Шериф")</f>
        <v>0</v>
      </c>
      <c r="AC14" s="124" t="n">
        <f aca="false">SUMIFS('Все игры'!D$3:D877,'Все игры'!A$3:A877,A14,'Все игры'!B$3:B877,"Дон")</f>
        <v>0</v>
      </c>
      <c r="AD14" s="124" t="n">
        <f aca="false">SUMIFS('Все игры'!D$3:D877,'Все игры'!A$3:A877,A14,'Все игры'!B$3:B877,"Мирный")</f>
        <v>0</v>
      </c>
      <c r="AE14" s="124" t="n">
        <f aca="false">IFERROR(Z14/B14,0)</f>
        <v>0</v>
      </c>
      <c r="AF14" s="124" t="n">
        <f aca="false">IFERROR(AA14/(K14+L14),0)</f>
        <v>0</v>
      </c>
      <c r="AG14" s="124" t="n">
        <f aca="false">IFERROR(AB14/(M14+N14),0)</f>
        <v>0</v>
      </c>
      <c r="AH14" s="124" t="n">
        <f aca="false">IFERROR(AC14/(O14+P14),0)</f>
        <v>0</v>
      </c>
      <c r="AI14" s="124" t="n">
        <f aca="false">IFERROR(AD14/(Q14+R14),0)</f>
        <v>0</v>
      </c>
    </row>
    <row r="15" customFormat="false" ht="15.75" hidden="false" customHeight="false" outlineLevel="0" collapsed="false">
      <c r="A15" s="215" t="s">
        <v>27</v>
      </c>
      <c r="B15" s="120" t="n">
        <f aca="false">SUM(I15:J15)</f>
        <v>8</v>
      </c>
      <c r="C15" s="4" t="str">
        <f aca="false">IF(COUNTIFS('Все игры'!A$3:A877,A15,'Все игры'!F$3:F877,"=1")=0, "", COUNTIFS('Все игры'!A$3:A877,A15,'Все игры'!F$3:F877,"=1"))</f>
        <v/>
      </c>
      <c r="D15" s="76" t="str">
        <f aca="false">IF(COUNTIFS('Все игры'!A$3:A877,A15,'Все игры'!F$3:F877,"=0,50")=0, "", COUNTIFS('Все игры'!A$3:A877,A15,'Все игры'!F$3:F877,"=0,50"))</f>
        <v/>
      </c>
      <c r="E15" s="76" t="str">
        <f aca="false">IF(COUNTIFS('Все игры'!A$3:A877,A15,'Все игры'!E$3:E877,"ПУ")=0, "", COUNTIFS('Все игры'!A$3:A877,A15,'Все игры'!E$3:E877,"ПУ"))</f>
        <v/>
      </c>
      <c r="F15" s="121" t="n">
        <f aca="false">IFERROR(E15/I15,0)</f>
        <v>0</v>
      </c>
      <c r="G15" s="76" t="str">
        <f aca="false">IF(COUNTIFS('Все игры'!A$3:A877,A15,'Все игры'!E$3:E877,"У/Победа")=0, "",COUNTIFS('Все игры'!A$3:A877,A15,'Все игры'!E$3:E877,"У/Победа") )</f>
        <v/>
      </c>
      <c r="H15" s="76" t="str">
        <f aca="false">IF(COUNTIFS('Все игры'!A$3:A877,A15,'Все игры'!E$3:E877,"У/Проигрыш")=0, "",COUNTIFS('Все игры'!A$3:A877,A15,'Все игры'!E$3:E877,"У/Проигрыш") )</f>
        <v/>
      </c>
      <c r="I15" s="120" t="n">
        <f aca="false">M15+N15+Q15+R15</f>
        <v>7</v>
      </c>
      <c r="J15" s="120" t="n">
        <f aca="false">K15+L15+O15+P15</f>
        <v>1</v>
      </c>
      <c r="K15" s="120" t="n">
        <f aca="false">COUNTIFS('Все игры'!A$3:A877,A15,'Все игры'!C$3:C877,"&gt;0",'Все игры'!B$3:B877,"Мафия")</f>
        <v>0</v>
      </c>
      <c r="L15" s="120" t="n">
        <f aca="false">IFERROR(__xludf.dummyfunction("COUNTBLANK(FILTER('Все игры'!A$3:C877,'Все игры'!A$3:A877=A15,'Все игры'!C$3:C877 &lt; 1,'Все игры'!B$3:B877=""Мафия""))"),0)</f>
        <v>0</v>
      </c>
      <c r="M15" s="120" t="n">
        <f aca="false">COUNTIFS('Все игры'!A$3:A877,A15,'Все игры'!C$3:C877,"&gt;0",'Все игры'!B$3:B877,"Шериф")</f>
        <v>0</v>
      </c>
      <c r="N15" s="120" t="n">
        <f aca="false">IFERROR(__xludf.dummyfunction("COUNTBLANK(FILTER('Все игры'!A$3:C877,'Все игры'!A$3:A877=A15,'Все игры'!C$3:C877 &lt; 1,'Все игры'!B$3:B877=""Шериф""))"),1)</f>
        <v>1</v>
      </c>
      <c r="O15" s="120" t="n">
        <f aca="false">COUNTIFS('Все игры'!A$3:A877,A15,'Все игры'!C$3:C877,"&gt;0",'Все игры'!B$3:B877,"Дон")</f>
        <v>0</v>
      </c>
      <c r="P15" s="122" t="n">
        <f aca="false">IFERROR(__xludf.dummyfunction("COUNTBLANK(FILTER('Все игры'!A$3:C877,'Все игры'!A$3:A877=A15,'Все игры'!C$3:C877 &lt; 1,'Все игры'!B$3:B877=""Дон""))"),1)</f>
        <v>1</v>
      </c>
      <c r="Q15" s="120" t="n">
        <f aca="false">COUNTIFS('Все игры'!A$3:A877,A15,'Все игры'!C$3:C877,"&gt;0",'Все игры'!B$3:B877,"Мирный")</f>
        <v>0</v>
      </c>
      <c r="R15" s="120" t="n">
        <f aca="false">IFERROR(__xludf.dummyfunction("COUNTBLANK(FILTER('Все игры'!A$3:C877,'Все игры'!A$3:A877=A15,'Все игры'!C$3:C877 &lt; 1,'Все игры'!B$3:B877=""Мирный""))"),6)</f>
        <v>6</v>
      </c>
      <c r="S15" s="123" t="n">
        <f aca="false">IFERROR((K15+M15+O15+Q15)/(I15+J15), )</f>
        <v>0</v>
      </c>
      <c r="T15" s="123" t="n">
        <f aca="false">IFERROR((M15+Q15)/I15, )</f>
        <v>0</v>
      </c>
      <c r="U15" s="123" t="n">
        <f aca="false">IFERROR((K15+O15)/J15, )</f>
        <v>0</v>
      </c>
      <c r="V15" s="123" t="n">
        <f aca="false">IFERROR(K15/(K15+L15), )</f>
        <v>0</v>
      </c>
      <c r="W15" s="123" t="n">
        <f aca="false">IFERROR(M15/(M15+N15), )</f>
        <v>0</v>
      </c>
      <c r="X15" s="123" t="n">
        <f aca="false">IFERROR(O15/(O15+P15), )</f>
        <v>0</v>
      </c>
      <c r="Y15" s="123" t="n">
        <f aca="false">IFERROR(Q15/(Q15+R15), )</f>
        <v>0</v>
      </c>
      <c r="Z15" s="124" t="n">
        <f aca="false">SUMIFS('Все игры'!D$3:D877,'Все игры'!A$3:A877,A15)</f>
        <v>0</v>
      </c>
      <c r="AA15" s="124" t="n">
        <f aca="false">SUMIFS('Все игры'!D$3:D877,'Все игры'!A$3:A877,A15,'Все игры'!B$3:B877,"Мафия")</f>
        <v>0</v>
      </c>
      <c r="AB15" s="124" t="n">
        <f aca="false">SUMIFS('Все игры'!D$3:D877,'Все игры'!A$3:A877,A15,'Все игры'!B$3:B877,"Шериф")</f>
        <v>0</v>
      </c>
      <c r="AC15" s="124" t="n">
        <f aca="false">SUMIFS('Все игры'!D$3:D877,'Все игры'!A$3:A877,A15,'Все игры'!B$3:B877,"Дон")</f>
        <v>0</v>
      </c>
      <c r="AD15" s="124" t="n">
        <f aca="false">SUMIFS('Все игры'!D$3:D877,'Все игры'!A$3:A877,A15,'Все игры'!B$3:B877,"Мирный")</f>
        <v>0</v>
      </c>
      <c r="AE15" s="124" t="n">
        <f aca="false">IFERROR(Z15/B15,0)</f>
        <v>0</v>
      </c>
      <c r="AF15" s="124" t="n">
        <f aca="false">IFERROR(AA15/(K15+L15),0)</f>
        <v>0</v>
      </c>
      <c r="AG15" s="124" t="n">
        <f aca="false">IFERROR(AB15/(M15+N15),0)</f>
        <v>0</v>
      </c>
      <c r="AH15" s="124" t="n">
        <f aca="false">IFERROR(AC15/(O15+P15),0)</f>
        <v>0</v>
      </c>
      <c r="AI15" s="124" t="n">
        <f aca="false">IFERROR(AD15/(Q15+R15),0)</f>
        <v>0</v>
      </c>
    </row>
    <row r="16" customFormat="false" ht="15.75" hidden="false" customHeight="false" outlineLevel="0" collapsed="false">
      <c r="A16" s="215" t="s">
        <v>147</v>
      </c>
      <c r="B16" s="120" t="n">
        <f aca="false">SUM(I16:J16)</f>
        <v>5</v>
      </c>
      <c r="C16" s="4" t="str">
        <f aca="false">IF(COUNTIFS('Все игры'!A$3:A877,A16,'Все игры'!F$3:F877,"=1")=0, "", COUNTIFS('Все игры'!A$3:A877,A16,'Все игры'!F$3:F877,"=1"))</f>
        <v/>
      </c>
      <c r="D16" s="76" t="str">
        <f aca="false">IF(COUNTIFS('Все игры'!A$3:A877,A16,'Все игры'!F$3:F877,"=0,50")=0, "", COUNTIFS('Все игры'!A$3:A877,A16,'Все игры'!F$3:F877,"=0,50"))</f>
        <v/>
      </c>
      <c r="E16" s="76" t="str">
        <f aca="false">IF(COUNTIFS('Все игры'!A$3:A877,A16,'Все игры'!E$3:E877,"ПУ")=0, "", COUNTIFS('Все игры'!A$3:A877,A16,'Все игры'!E$3:E877,"ПУ"))</f>
        <v/>
      </c>
      <c r="F16" s="121" t="n">
        <f aca="false">IFERROR(E16/I16,0)</f>
        <v>0</v>
      </c>
      <c r="G16" s="76" t="str">
        <f aca="false">IF(COUNTIFS('Все игры'!A$3:A877,A16,'Все игры'!E$3:E877,"У/Победа")=0, "",COUNTIFS('Все игры'!A$3:A877,A16,'Все игры'!E$3:E877,"У/Победа") )</f>
        <v/>
      </c>
      <c r="H16" s="76" t="str">
        <f aca="false">IF(COUNTIFS('Все игры'!A$3:A877,A16,'Все игры'!E$3:E877,"У/Проигрыш")=0, "",COUNTIFS('Все игры'!A$3:A877,A16,'Все игры'!E$3:E877,"У/Проигрыш") )</f>
        <v/>
      </c>
      <c r="I16" s="120" t="n">
        <f aca="false">M16+N16+Q16+R16</f>
        <v>3</v>
      </c>
      <c r="J16" s="120" t="n">
        <f aca="false">K16+L16+O16+P16</f>
        <v>2</v>
      </c>
      <c r="K16" s="120" t="n">
        <f aca="false">COUNTIFS('Все игры'!A$3:A877,A16,'Все игры'!C$3:C877,"&gt;0",'Все игры'!B$3:B877,"Мафия")</f>
        <v>0</v>
      </c>
      <c r="L16" s="120" t="n">
        <f aca="false">IFERROR(__xludf.dummyfunction("COUNTBLANK(FILTER('Все игры'!A$3:C877,'Все игры'!A$3:A877=A16,'Все игры'!C$3:C877 &lt; 1,'Все игры'!B$3:B877=""Мафия""))"),1)</f>
        <v>1</v>
      </c>
      <c r="M16" s="120" t="n">
        <f aca="false">COUNTIFS('Все игры'!A$3:A877,A16,'Все игры'!C$3:C877,"&gt;0",'Все игры'!B$3:B877,"Шериф")</f>
        <v>0</v>
      </c>
      <c r="N16" s="120" t="n">
        <f aca="false">IFERROR(__xludf.dummyfunction("COUNTBLANK(FILTER('Все игры'!A$3:C877,'Все игры'!A$3:A877=A16,'Все игры'!C$3:C877 &lt; 1,'Все игры'!B$3:B877=""Шериф""))"),0)</f>
        <v>0</v>
      </c>
      <c r="O16" s="120" t="n">
        <f aca="false">COUNTIFS('Все игры'!A$3:A877,A16,'Все игры'!C$3:C877,"&gt;0",'Все игры'!B$3:B877,"Дон")</f>
        <v>0</v>
      </c>
      <c r="P16" s="122" t="n">
        <f aca="false">IFERROR(__xludf.dummyfunction("COUNTBLANK(FILTER('Все игры'!A$3:C877,'Все игры'!A$3:A877=A16,'Все игры'!C$3:C877 &lt; 1,'Все игры'!B$3:B877=""Дон""))"),1)</f>
        <v>1</v>
      </c>
      <c r="Q16" s="120" t="n">
        <f aca="false">COUNTIFS('Все игры'!A$3:A877,A16,'Все игры'!C$3:C877,"&gt;0",'Все игры'!B$3:B877,"Мирный")</f>
        <v>0</v>
      </c>
      <c r="R16" s="120" t="n">
        <f aca="false">IFERROR(__xludf.dummyfunction("COUNTBLANK(FILTER('Все игры'!A$3:C877,'Все игры'!A$3:A877=A16,'Все игры'!C$3:C877 &lt; 1,'Все игры'!B$3:B877=""Мирный""))"),3)</f>
        <v>3</v>
      </c>
      <c r="S16" s="123" t="n">
        <f aca="false">IFERROR((K16+M16+O16+Q16)/(I16+J16), )</f>
        <v>0</v>
      </c>
      <c r="T16" s="123" t="n">
        <f aca="false">IFERROR((M16+Q16)/I16, )</f>
        <v>0</v>
      </c>
      <c r="U16" s="123" t="n">
        <f aca="false">IFERROR((K16+O16)/J16, )</f>
        <v>0</v>
      </c>
      <c r="V16" s="123" t="n">
        <f aca="false">IFERROR(K16/(K16+L16), )</f>
        <v>0</v>
      </c>
      <c r="W16" s="123" t="n">
        <f aca="false">IFERROR(M16/(M16+N16), )</f>
        <v>0</v>
      </c>
      <c r="X16" s="123" t="n">
        <f aca="false">IFERROR(O16/(O16+P16), )</f>
        <v>0</v>
      </c>
      <c r="Y16" s="123" t="n">
        <f aca="false">IFERROR(Q16/(Q16+R16), )</f>
        <v>0</v>
      </c>
      <c r="Z16" s="124" t="n">
        <f aca="false">SUMIFS('Все игры'!D$3:D877,'Все игры'!A$3:A877,A16)</f>
        <v>0</v>
      </c>
      <c r="AA16" s="124" t="n">
        <f aca="false">SUMIFS('Все игры'!D$3:D877,'Все игры'!A$3:A877,A16,'Все игры'!B$3:B877,"Мафия")</f>
        <v>0</v>
      </c>
      <c r="AB16" s="124" t="n">
        <f aca="false">SUMIFS('Все игры'!D$3:D877,'Все игры'!A$3:A877,A16,'Все игры'!B$3:B877,"Шериф")</f>
        <v>0</v>
      </c>
      <c r="AC16" s="124" t="n">
        <f aca="false">SUMIFS('Все игры'!D$3:D877,'Все игры'!A$3:A877,A16,'Все игры'!B$3:B877,"Дон")</f>
        <v>0</v>
      </c>
      <c r="AD16" s="124" t="n">
        <f aca="false">SUMIFS('Все игры'!D$3:D877,'Все игры'!A$3:A877,A16,'Все игры'!B$3:B877,"Мирный")</f>
        <v>0</v>
      </c>
      <c r="AE16" s="124" t="n">
        <f aca="false">IFERROR(Z16/B16,0)</f>
        <v>0</v>
      </c>
      <c r="AF16" s="124" t="n">
        <f aca="false">IFERROR(AA16/(K16+L16),0)</f>
        <v>0</v>
      </c>
      <c r="AG16" s="124" t="n">
        <f aca="false">IFERROR(AB16/(M16+N16),0)</f>
        <v>0</v>
      </c>
      <c r="AH16" s="124" t="n">
        <f aca="false">IFERROR(AC16/(O16+P16),0)</f>
        <v>0</v>
      </c>
      <c r="AI16" s="124" t="n">
        <f aca="false">IFERROR(AD16/(Q16+R16),0)</f>
        <v>0</v>
      </c>
    </row>
    <row r="17" customFormat="false" ht="15.75" hidden="false" customHeight="false" outlineLevel="0" collapsed="false">
      <c r="A17" s="215" t="s">
        <v>160</v>
      </c>
      <c r="B17" s="120" t="n">
        <f aca="false">SUM(I17:J17)</f>
        <v>8</v>
      </c>
      <c r="C17" s="4" t="str">
        <f aca="false">IF(COUNTIFS('Все игры'!A$3:A877,A17,'Все игры'!F$3:F877,"=1")=0, "", COUNTIFS('Все игры'!A$3:A877,A17,'Все игры'!F$3:F877,"=1"))</f>
        <v/>
      </c>
      <c r="D17" s="76" t="str">
        <f aca="false">IF(COUNTIFS('Все игры'!A$3:A877,A17,'Все игры'!F$3:F877,"=0,50")=0, "", COUNTIFS('Все игры'!A$3:A877,A17,'Все игры'!F$3:F877,"=0,50"))</f>
        <v/>
      </c>
      <c r="E17" s="76" t="str">
        <f aca="false">IF(COUNTIFS('Все игры'!A$3:A877,A17,'Все игры'!E$3:E877,"ПУ")=0, "", COUNTIFS('Все игры'!A$3:A877,A17,'Все игры'!E$3:E877,"ПУ"))</f>
        <v/>
      </c>
      <c r="F17" s="121" t="n">
        <f aca="false">IFERROR(E17/I17,0)</f>
        <v>0</v>
      </c>
      <c r="G17" s="76" t="str">
        <f aca="false">IF(COUNTIFS('Все игры'!A$3:A877,A17,'Все игры'!E$3:E877,"У/Победа")=0, "",COUNTIFS('Все игры'!A$3:A877,A17,'Все игры'!E$3:E877,"У/Победа") )</f>
        <v/>
      </c>
      <c r="H17" s="76" t="str">
        <f aca="false">IF(COUNTIFS('Все игры'!A$3:A877,A17,'Все игры'!E$3:E877,"У/Проигрыш")=0, "",COUNTIFS('Все игры'!A$3:A877,A17,'Все игры'!E$3:E877,"У/Проигрыш") )</f>
        <v/>
      </c>
      <c r="I17" s="120" t="n">
        <f aca="false">M17+N17+Q17+R17</f>
        <v>7</v>
      </c>
      <c r="J17" s="120" t="n">
        <f aca="false">K17+L17+O17+P17</f>
        <v>1</v>
      </c>
      <c r="K17" s="120" t="n">
        <f aca="false">COUNTIFS('Все игры'!A$3:A877,A17,'Все игры'!C$3:C877,"&gt;0",'Все игры'!B$3:B877,"Мафия")</f>
        <v>0</v>
      </c>
      <c r="L17" s="120" t="n">
        <f aca="false">IFERROR(__xludf.dummyfunction("COUNTBLANK(FILTER('Все игры'!A$3:C877,'Все игры'!A$3:A877=A17,'Все игры'!C$3:C877 &lt; 1,'Все игры'!B$3:B877=""Мафия""))"),1)</f>
        <v>1</v>
      </c>
      <c r="M17" s="120" t="n">
        <f aca="false">COUNTIFS('Все игры'!A$3:A877,A17,'Все игры'!C$3:C877,"&gt;0",'Все игры'!B$3:B877,"Шериф")</f>
        <v>0</v>
      </c>
      <c r="N17" s="120" t="n">
        <f aca="false">IFERROR(__xludf.dummyfunction("COUNTBLANK(FILTER('Все игры'!A$3:C877,'Все игры'!A$3:A877=A17,'Все игры'!C$3:C877 &lt; 1,'Все игры'!B$3:B877=""Шериф""))"),0)</f>
        <v>0</v>
      </c>
      <c r="O17" s="120" t="n">
        <f aca="false">COUNTIFS('Все игры'!A$3:A877,A17,'Все игры'!C$3:C877,"&gt;0",'Все игры'!B$3:B877,"Дон")</f>
        <v>0</v>
      </c>
      <c r="P17" s="122" t="n">
        <f aca="false">IFERROR(__xludf.dummyfunction("COUNTBLANK(FILTER('Все игры'!A$3:C877,'Все игры'!A$3:A877=A17,'Все игры'!C$3:C877 &lt; 1,'Все игры'!B$3:B877=""Дон""))"),0)</f>
        <v>0</v>
      </c>
      <c r="Q17" s="120" t="n">
        <f aca="false">COUNTIFS('Все игры'!A$3:A877,A17,'Все игры'!C$3:C877,"&gt;0",'Все игры'!B$3:B877,"Мирный")</f>
        <v>0</v>
      </c>
      <c r="R17" s="120" t="n">
        <f aca="false">IFERROR(__xludf.dummyfunction("COUNTBLANK(FILTER('Все игры'!A$3:C877,'Все игры'!A$3:A877=A17,'Все игры'!C$3:C877 &lt; 1,'Все игры'!B$3:B877=""Мирный""))"),7)</f>
        <v>7</v>
      </c>
      <c r="S17" s="123" t="n">
        <f aca="false">IFERROR((K17+M17+O17+Q17)/(I17+J17), )</f>
        <v>0</v>
      </c>
      <c r="T17" s="123" t="n">
        <f aca="false">IFERROR((M17+Q17)/I17, )</f>
        <v>0</v>
      </c>
      <c r="U17" s="123" t="n">
        <f aca="false">IFERROR((K17+O17)/J17, )</f>
        <v>0</v>
      </c>
      <c r="V17" s="123" t="n">
        <f aca="false">IFERROR(K17/(K17+L17), )</f>
        <v>0</v>
      </c>
      <c r="W17" s="123" t="n">
        <f aca="false">IFERROR(M17/(M17+N17), )</f>
        <v>0</v>
      </c>
      <c r="X17" s="123" t="n">
        <f aca="false">IFERROR(O17/(O17+P17), )</f>
        <v>0</v>
      </c>
      <c r="Y17" s="123" t="n">
        <f aca="false">IFERROR(Q17/(Q17+R17), )</f>
        <v>0</v>
      </c>
      <c r="Z17" s="124" t="n">
        <f aca="false">SUMIFS('Все игры'!D$3:D877,'Все игры'!A$3:A877,A17)</f>
        <v>0</v>
      </c>
      <c r="AA17" s="124" t="n">
        <f aca="false">SUMIFS('Все игры'!D$3:D877,'Все игры'!A$3:A877,A17,'Все игры'!B$3:B877,"Мафия")</f>
        <v>0</v>
      </c>
      <c r="AB17" s="124" t="n">
        <f aca="false">SUMIFS('Все игры'!D$3:D877,'Все игры'!A$3:A877,A17,'Все игры'!B$3:B877,"Шериф")</f>
        <v>0</v>
      </c>
      <c r="AC17" s="124" t="n">
        <f aca="false">SUMIFS('Все игры'!D$3:D877,'Все игры'!A$3:A877,A17,'Все игры'!B$3:B877,"Дон")</f>
        <v>0</v>
      </c>
      <c r="AD17" s="124" t="n">
        <f aca="false">SUMIFS('Все игры'!D$3:D877,'Все игры'!A$3:A877,A17,'Все игры'!B$3:B877,"Мирный")</f>
        <v>0</v>
      </c>
      <c r="AE17" s="124" t="n">
        <f aca="false">IFERROR(Z17/B17,0)</f>
        <v>0</v>
      </c>
      <c r="AF17" s="124" t="n">
        <f aca="false">IFERROR(AA17/(K17+L17),0)</f>
        <v>0</v>
      </c>
      <c r="AG17" s="124" t="n">
        <f aca="false">IFERROR(AB17/(M17+N17),0)</f>
        <v>0</v>
      </c>
      <c r="AH17" s="124" t="n">
        <f aca="false">IFERROR(AC17/(O17+P17),0)</f>
        <v>0</v>
      </c>
      <c r="AI17" s="124" t="n">
        <f aca="false">IFERROR(AD17/(Q17+R17),0)</f>
        <v>0</v>
      </c>
    </row>
    <row r="18" customFormat="false" ht="15.75" hidden="false" customHeight="false" outlineLevel="0" collapsed="false">
      <c r="A18" s="215" t="s">
        <v>146</v>
      </c>
      <c r="B18" s="120" t="n">
        <f aca="false">SUM(I18:J18)</f>
        <v>19</v>
      </c>
      <c r="C18" s="4" t="str">
        <f aca="false">IF(COUNTIFS('Все игры'!A$3:A877,A18,'Все игры'!F$3:F877,"=1")=0, "", COUNTIFS('Все игры'!A$3:A877,A18,'Все игры'!F$3:F877,"=1"))</f>
        <v/>
      </c>
      <c r="D18" s="76" t="str">
        <f aca="false">IF(COUNTIFS('Все игры'!A$3:A877,A18,'Все игры'!F$3:F877,"=0,50")=0, "", COUNTIFS('Все игры'!A$3:A877,A18,'Все игры'!F$3:F877,"=0,50"))</f>
        <v/>
      </c>
      <c r="E18" s="76" t="str">
        <f aca="false">IF(COUNTIFS('Все игры'!A$3:A877,A18,'Все игры'!E$3:E877,"ПУ")=0, "", COUNTIFS('Все игры'!A$3:A877,A18,'Все игры'!E$3:E877,"ПУ"))</f>
        <v/>
      </c>
      <c r="F18" s="121" t="n">
        <f aca="false">IFERROR(E18/I18,0)</f>
        <v>0</v>
      </c>
      <c r="G18" s="76" t="str">
        <f aca="false">IF(COUNTIFS('Все игры'!A$3:A877,A18,'Все игры'!E$3:E877,"У/Победа")=0, "",COUNTIFS('Все игры'!A$3:A877,A18,'Все игры'!E$3:E877,"У/Победа") )</f>
        <v/>
      </c>
      <c r="H18" s="76" t="str">
        <f aca="false">IF(COUNTIFS('Все игры'!A$3:A877,A18,'Все игры'!E$3:E877,"У/Проигрыш")=0, "",COUNTIFS('Все игры'!A$3:A877,A18,'Все игры'!E$3:E877,"У/Проигрыш") )</f>
        <v/>
      </c>
      <c r="I18" s="120" t="n">
        <f aca="false">M18+N18+Q18+R18</f>
        <v>15</v>
      </c>
      <c r="J18" s="120" t="n">
        <f aca="false">K18+L18+O18+P18</f>
        <v>4</v>
      </c>
      <c r="K18" s="120" t="n">
        <f aca="false">COUNTIFS('Все игры'!A$3:A877,A18,'Все игры'!C$3:C877,"&gt;0",'Все игры'!B$3:B877,"Мафия")</f>
        <v>0</v>
      </c>
      <c r="L18" s="120" t="n">
        <f aca="false">IFERROR(__xludf.dummyfunction("COUNTBLANK(FILTER('Все игры'!A$3:C877,'Все игры'!A$3:A877=A18,'Все игры'!C$3:C877 &lt; 1,'Все игры'!B$3:B877=""Мафия""))"),3)</f>
        <v>3</v>
      </c>
      <c r="M18" s="120" t="n">
        <f aca="false">COUNTIFS('Все игры'!A$3:A877,A18,'Все игры'!C$3:C877,"&gt;0",'Все игры'!B$3:B877,"Шериф")</f>
        <v>0</v>
      </c>
      <c r="N18" s="120" t="n">
        <f aca="false">IFERROR(__xludf.dummyfunction("COUNTBLANK(FILTER('Все игры'!A$3:C877,'Все игры'!A$3:A877=A18,'Все игры'!C$3:C877 &lt; 1,'Все игры'!B$3:B877=""Шериф""))"),3)</f>
        <v>3</v>
      </c>
      <c r="O18" s="120" t="n">
        <f aca="false">COUNTIFS('Все игры'!A$3:A877,A18,'Все игры'!C$3:C877,"&gt;0",'Все игры'!B$3:B877,"Дон")</f>
        <v>0</v>
      </c>
      <c r="P18" s="122" t="n">
        <f aca="false">IFERROR(__xludf.dummyfunction("COUNTBLANK(FILTER('Все игры'!A$3:C877,'Все игры'!A$3:A877=A18,'Все игры'!C$3:C877 &lt; 1,'Все игры'!B$3:B877=""Дон""))"),1)</f>
        <v>1</v>
      </c>
      <c r="Q18" s="120" t="n">
        <f aca="false">COUNTIFS('Все игры'!A$3:A877,A18,'Все игры'!C$3:C877,"&gt;0",'Все игры'!B$3:B877,"Мирный")</f>
        <v>0</v>
      </c>
      <c r="R18" s="120" t="n">
        <f aca="false">IFERROR(__xludf.dummyfunction("COUNTBLANK(FILTER('Все игры'!A$3:C877,'Все игры'!A$3:A877=A18,'Все игры'!C$3:C877 &lt; 1,'Все игры'!B$3:B877=""Мирный""))"),12)</f>
        <v>12</v>
      </c>
      <c r="S18" s="123" t="n">
        <f aca="false">IFERROR((K18+M18+O18+Q18)/(I18+J18), )</f>
        <v>0</v>
      </c>
      <c r="T18" s="123" t="n">
        <f aca="false">IFERROR((M18+Q18)/I18, )</f>
        <v>0</v>
      </c>
      <c r="U18" s="123" t="n">
        <f aca="false">IFERROR((K18+O18)/J18, )</f>
        <v>0</v>
      </c>
      <c r="V18" s="123" t="n">
        <f aca="false">IFERROR(K18/(K18+L18), )</f>
        <v>0</v>
      </c>
      <c r="W18" s="123" t="n">
        <f aca="false">IFERROR(M18/(M18+N18), )</f>
        <v>0</v>
      </c>
      <c r="X18" s="123" t="n">
        <f aca="false">IFERROR(O18/(O18+P18), )</f>
        <v>0</v>
      </c>
      <c r="Y18" s="123" t="n">
        <f aca="false">IFERROR(Q18/(Q18+R18), )</f>
        <v>0</v>
      </c>
      <c r="Z18" s="124" t="n">
        <f aca="false">SUMIFS('Все игры'!D$3:D877,'Все игры'!A$3:A877,A18)</f>
        <v>0</v>
      </c>
      <c r="AA18" s="124" t="n">
        <f aca="false">SUMIFS('Все игры'!D$3:D877,'Все игры'!A$3:A877,A18,'Все игры'!B$3:B877,"Мафия")</f>
        <v>0</v>
      </c>
      <c r="AB18" s="124" t="n">
        <f aca="false">SUMIFS('Все игры'!D$3:D877,'Все игры'!A$3:A877,A18,'Все игры'!B$3:B877,"Шериф")</f>
        <v>0</v>
      </c>
      <c r="AC18" s="124" t="n">
        <f aca="false">SUMIFS('Все игры'!D$3:D877,'Все игры'!A$3:A877,A18,'Все игры'!B$3:B877,"Дон")</f>
        <v>0</v>
      </c>
      <c r="AD18" s="124" t="n">
        <f aca="false">SUMIFS('Все игры'!D$3:D877,'Все игры'!A$3:A877,A18,'Все игры'!B$3:B877,"Мирный")</f>
        <v>0</v>
      </c>
      <c r="AE18" s="124" t="n">
        <f aca="false">IFERROR(Z18/B18,0)</f>
        <v>0</v>
      </c>
      <c r="AF18" s="124" t="n">
        <f aca="false">IFERROR(AA18/(K18+L18),0)</f>
        <v>0</v>
      </c>
      <c r="AG18" s="124" t="n">
        <f aca="false">IFERROR(AB18/(M18+N18),0)</f>
        <v>0</v>
      </c>
      <c r="AH18" s="124" t="n">
        <f aca="false">IFERROR(AC18/(O18+P18),0)</f>
        <v>0</v>
      </c>
      <c r="AI18" s="124" t="n">
        <f aca="false">IFERROR(AD18/(Q18+R18),0)</f>
        <v>0</v>
      </c>
    </row>
    <row r="19" customFormat="false" ht="15.75" hidden="false" customHeight="false" outlineLevel="0" collapsed="false">
      <c r="A19" s="215" t="s">
        <v>162</v>
      </c>
      <c r="B19" s="120" t="n">
        <f aca="false">SUM(I19:J19)</f>
        <v>7</v>
      </c>
      <c r="C19" s="4" t="str">
        <f aca="false">IF(COUNTIFS('Все игры'!A$3:A877,A19,'Все игры'!F$3:F877,"=1")=0, "", COUNTIFS('Все игры'!A$3:A877,A19,'Все игры'!F$3:F877,"=1"))</f>
        <v/>
      </c>
      <c r="D19" s="76" t="str">
        <f aca="false">IF(COUNTIFS('Все игры'!A$3:A877,A19,'Все игры'!F$3:F877,"=0,50")=0, "", COUNTIFS('Все игры'!A$3:A877,A19,'Все игры'!F$3:F877,"=0,50"))</f>
        <v/>
      </c>
      <c r="E19" s="76" t="str">
        <f aca="false">IF(COUNTIFS('Все игры'!A$3:A877,A19,'Все игры'!E$3:E877,"ПУ")=0, "", COUNTIFS('Все игры'!A$3:A877,A19,'Все игры'!E$3:E877,"ПУ"))</f>
        <v/>
      </c>
      <c r="F19" s="121" t="n">
        <f aca="false">IFERROR(E19/I19,0)</f>
        <v>0</v>
      </c>
      <c r="G19" s="76" t="str">
        <f aca="false">IF(COUNTIFS('Все игры'!A$3:A877,A19,'Все игры'!E$3:E877,"У/Победа")=0, "",COUNTIFS('Все игры'!A$3:A877,A19,'Все игры'!E$3:E877,"У/Победа") )</f>
        <v/>
      </c>
      <c r="H19" s="76" t="str">
        <f aca="false">IF(COUNTIFS('Все игры'!A$3:A877,A19,'Все игры'!E$3:E877,"У/Проигрыш")=0, "",COUNTIFS('Все игры'!A$3:A877,A19,'Все игры'!E$3:E877,"У/Проигрыш") )</f>
        <v/>
      </c>
      <c r="I19" s="120" t="n">
        <f aca="false">M19+N19+Q19+R19</f>
        <v>6</v>
      </c>
      <c r="J19" s="120" t="n">
        <f aca="false">K19+L19+O19+P19</f>
        <v>1</v>
      </c>
      <c r="K19" s="120" t="n">
        <f aca="false">COUNTIFS('Все игры'!A$3:A877,A19,'Все игры'!C$3:C877,"&gt;0",'Все игры'!B$3:B877,"Мафия")</f>
        <v>0</v>
      </c>
      <c r="L19" s="120" t="n">
        <f aca="false">IFERROR(__xludf.dummyfunction("COUNTBLANK(FILTER('Все игры'!A$3:C877,'Все игры'!A$3:A877=A19,'Все игры'!C$3:C877 &lt; 1,'Все игры'!B$3:B877=""Мафия""))"),0)</f>
        <v>0</v>
      </c>
      <c r="M19" s="120" t="n">
        <f aca="false">COUNTIFS('Все игры'!A$3:A877,A19,'Все игры'!C$3:C877,"&gt;0",'Все игры'!B$3:B877,"Шериф")</f>
        <v>0</v>
      </c>
      <c r="N19" s="120" t="n">
        <f aca="false">IFERROR(__xludf.dummyfunction("COUNTBLANK(FILTER('Все игры'!A$3:C877,'Все игры'!A$3:A877=A19,'Все игры'!C$3:C877 &lt; 1,'Все игры'!B$3:B877=""Шериф""))"),1)</f>
        <v>1</v>
      </c>
      <c r="O19" s="120" t="n">
        <f aca="false">COUNTIFS('Все игры'!A$3:A877,A19,'Все игры'!C$3:C877,"&gt;0",'Все игры'!B$3:B877,"Дон")</f>
        <v>0</v>
      </c>
      <c r="P19" s="122" t="n">
        <f aca="false">IFERROR(__xludf.dummyfunction("COUNTBLANK(FILTER('Все игры'!A$3:C877,'Все игры'!A$3:A877=A19,'Все игры'!C$3:C877 &lt; 1,'Все игры'!B$3:B877=""Дон""))"),1)</f>
        <v>1</v>
      </c>
      <c r="Q19" s="120" t="n">
        <f aca="false">COUNTIFS('Все игры'!A$3:A877,A19,'Все игры'!C$3:C877,"&gt;0",'Все игры'!B$3:B877,"Мирный")</f>
        <v>0</v>
      </c>
      <c r="R19" s="120" t="n">
        <f aca="false">IFERROR(__xludf.dummyfunction("COUNTBLANK(FILTER('Все игры'!A$3:C877,'Все игры'!A$3:A877=A19,'Все игры'!C$3:C877 &lt; 1,'Все игры'!B$3:B877=""Мирный""))"),5)</f>
        <v>5</v>
      </c>
      <c r="S19" s="123" t="n">
        <f aca="false">IFERROR((K19+M19+O19+Q19)/(I19+J19), )</f>
        <v>0</v>
      </c>
      <c r="T19" s="123" t="n">
        <f aca="false">IFERROR((M19+Q19)/I19, )</f>
        <v>0</v>
      </c>
      <c r="U19" s="123" t="n">
        <f aca="false">IFERROR((K19+O19)/J19, )</f>
        <v>0</v>
      </c>
      <c r="V19" s="123" t="n">
        <f aca="false">IFERROR(K19/(K19+L19), )</f>
        <v>0</v>
      </c>
      <c r="W19" s="123" t="n">
        <f aca="false">IFERROR(M19/(M19+N19), )</f>
        <v>0</v>
      </c>
      <c r="X19" s="123" t="n">
        <f aca="false">IFERROR(O19/(O19+P19), )</f>
        <v>0</v>
      </c>
      <c r="Y19" s="123" t="n">
        <f aca="false">IFERROR(Q19/(Q19+R19), )</f>
        <v>0</v>
      </c>
      <c r="Z19" s="124" t="n">
        <f aca="false">SUMIFS('Все игры'!D$3:D877,'Все игры'!A$3:A877,A19)</f>
        <v>0</v>
      </c>
      <c r="AA19" s="124" t="n">
        <f aca="false">SUMIFS('Все игры'!D$3:D877,'Все игры'!A$3:A877,A19,'Все игры'!B$3:B877,"Мафия")</f>
        <v>0</v>
      </c>
      <c r="AB19" s="124" t="n">
        <f aca="false">SUMIFS('Все игры'!D$3:D877,'Все игры'!A$3:A877,A19,'Все игры'!B$3:B877,"Шериф")</f>
        <v>0</v>
      </c>
      <c r="AC19" s="124" t="n">
        <f aca="false">SUMIFS('Все игры'!D$3:D877,'Все игры'!A$3:A877,A19,'Все игры'!B$3:B877,"Дон")</f>
        <v>0</v>
      </c>
      <c r="AD19" s="124" t="n">
        <f aca="false">SUMIFS('Все игры'!D$3:D877,'Все игры'!A$3:A877,A19,'Все игры'!B$3:B877,"Мирный")</f>
        <v>0</v>
      </c>
      <c r="AE19" s="124" t="n">
        <f aca="false">IFERROR(Z19/B19,0)</f>
        <v>0</v>
      </c>
      <c r="AF19" s="124" t="n">
        <f aca="false">IFERROR(AA19/(K19+L19),0)</f>
        <v>0</v>
      </c>
      <c r="AG19" s="124" t="n">
        <f aca="false">IFERROR(AB19/(M19+N19),0)</f>
        <v>0</v>
      </c>
      <c r="AH19" s="124" t="n">
        <f aca="false">IFERROR(AC19/(O19+P19),0)</f>
        <v>0</v>
      </c>
      <c r="AI19" s="124" t="n">
        <f aca="false">IFERROR(AD19/(Q19+R19),0)</f>
        <v>0</v>
      </c>
    </row>
    <row r="20" customFormat="false" ht="15.75" hidden="false" customHeight="false" outlineLevel="0" collapsed="false">
      <c r="A20" s="215" t="s">
        <v>74</v>
      </c>
      <c r="B20" s="120" t="n">
        <f aca="false">SUM(I20:J20)</f>
        <v>0</v>
      </c>
      <c r="C20" s="4" t="str">
        <f aca="false">IF(COUNTIFS('Все игры'!A$3:A877,A20,'Все игры'!F$3:F877,"=1")=0, "", COUNTIFS('Все игры'!A$3:A877,A20,'Все игры'!F$3:F877,"=1"))</f>
        <v/>
      </c>
      <c r="D20" s="76" t="str">
        <f aca="false">IF(COUNTIFS('Все игры'!A$3:A877,A20,'Все игры'!F$3:F877,"=0,50")=0, "", COUNTIFS('Все игры'!A$3:A877,A20,'Все игры'!F$3:F877,"=0,50"))</f>
        <v/>
      </c>
      <c r="E20" s="76" t="str">
        <f aca="false">IF(COUNTIFS('Все игры'!A$3:A877,A20,'Все игры'!E$3:E877,"ПУ")=0, "", COUNTIFS('Все игры'!A$3:A877,A20,'Все игры'!E$3:E877,"ПУ"))</f>
        <v/>
      </c>
      <c r="F20" s="121" t="n">
        <f aca="false">IFERROR(E20/I20,0)</f>
        <v>0</v>
      </c>
      <c r="G20" s="76" t="str">
        <f aca="false">IF(COUNTIFS('Все игры'!A$3:A877,A20,'Все игры'!E$3:E877,"У/Победа")=0, "",COUNTIFS('Все игры'!A$3:A877,A20,'Все игры'!E$3:E877,"У/Победа") )</f>
        <v/>
      </c>
      <c r="H20" s="76" t="str">
        <f aca="false">IF(COUNTIFS('Все игры'!A$3:A877,A20,'Все игры'!E$3:E877,"У/Проигрыш")=0, "",COUNTIFS('Все игры'!A$3:A877,A20,'Все игры'!E$3:E877,"У/Проигрыш") )</f>
        <v/>
      </c>
      <c r="I20" s="120" t="n">
        <f aca="false">M20+N20+Q20+R20</f>
        <v>0</v>
      </c>
      <c r="J20" s="120" t="n">
        <f aca="false">K20+L20+O20+P20</f>
        <v>0</v>
      </c>
      <c r="K20" s="120" t="n">
        <f aca="false">COUNTIFS('Все игры'!A$3:A877,A20,'Все игры'!C$3:C877,"&gt;0",'Все игры'!B$3:B877,"Мафия")</f>
        <v>0</v>
      </c>
      <c r="L20" s="120" t="n">
        <f aca="false">IFERROR(__xludf.dummyfunction("COUNTBLANK(FILTER('Все игры'!A$3:C877,'Все игры'!A$3:A877=A20,'Все игры'!C$3:C877 &lt; 1,'Все игры'!B$3:B877=""Мафия""))"),0)</f>
        <v>0</v>
      </c>
      <c r="M20" s="120" t="n">
        <f aca="false">COUNTIFS('Все игры'!A$3:A877,A20,'Все игры'!C$3:C877,"&gt;0",'Все игры'!B$3:B877,"Шериф")</f>
        <v>0</v>
      </c>
      <c r="N20" s="120" t="n">
        <f aca="false">IFERROR(__xludf.dummyfunction("COUNTBLANK(FILTER('Все игры'!A$3:C877,'Все игры'!A$3:A877=A20,'Все игры'!C$3:C877 &lt; 1,'Все игры'!B$3:B877=""Шериф""))"),0)</f>
        <v>0</v>
      </c>
      <c r="O20" s="120" t="n">
        <f aca="false">COUNTIFS('Все игры'!A$3:A877,A20,'Все игры'!C$3:C877,"&gt;0",'Все игры'!B$3:B877,"Дон")</f>
        <v>0</v>
      </c>
      <c r="P20" s="122" t="n">
        <f aca="false">IFERROR(__xludf.dummyfunction("COUNTBLANK(FILTER('Все игры'!A$3:C877,'Все игры'!A$3:A877=A20,'Все игры'!C$3:C877 &lt; 1,'Все игры'!B$3:B877=""Дон""))"),0)</f>
        <v>0</v>
      </c>
      <c r="Q20" s="120" t="n">
        <f aca="false">COUNTIFS('Все игры'!A$3:A877,A20,'Все игры'!C$3:C877,"&gt;0",'Все игры'!B$3:B877,"Мирный")</f>
        <v>0</v>
      </c>
      <c r="R20" s="120" t="n">
        <f aca="false">IFERROR(__xludf.dummyfunction("COUNTBLANK(FILTER('Все игры'!A$3:C877,'Все игры'!A$3:A877=A20,'Все игры'!C$3:C877 &lt; 1,'Все игры'!B$3:B877=""Мирный""))"),0)</f>
        <v>0</v>
      </c>
      <c r="S20" s="123" t="n">
        <f aca="false">IFERROR((K20+M20+O20+Q20)/(I20+J20), )</f>
        <v>0</v>
      </c>
      <c r="T20" s="123" t="n">
        <f aca="false">IFERROR((M20+Q20)/I20, )</f>
        <v>0</v>
      </c>
      <c r="U20" s="123" t="n">
        <f aca="false">IFERROR((K20+O20)/J20, )</f>
        <v>0</v>
      </c>
      <c r="V20" s="123" t="n">
        <f aca="false">IFERROR(K20/(K20+L20), )</f>
        <v>0</v>
      </c>
      <c r="W20" s="123" t="n">
        <f aca="false">IFERROR(M20/(M20+N20), )</f>
        <v>0</v>
      </c>
      <c r="X20" s="123" t="n">
        <f aca="false">IFERROR(O20/(O20+P20), )</f>
        <v>0</v>
      </c>
      <c r="Y20" s="123" t="n">
        <f aca="false">IFERROR(Q20/(Q20+R20), )</f>
        <v>0</v>
      </c>
      <c r="Z20" s="124" t="n">
        <f aca="false">SUMIFS('Все игры'!D$3:D877,'Все игры'!A$3:A877,A20)</f>
        <v>0</v>
      </c>
      <c r="AA20" s="124" t="n">
        <f aca="false">SUMIFS('Все игры'!D$3:D877,'Все игры'!A$3:A877,A20,'Все игры'!B$3:B877,"Мафия")</f>
        <v>0</v>
      </c>
      <c r="AB20" s="124" t="n">
        <f aca="false">SUMIFS('Все игры'!D$3:D877,'Все игры'!A$3:A877,A20,'Все игры'!B$3:B877,"Шериф")</f>
        <v>0</v>
      </c>
      <c r="AC20" s="124" t="n">
        <f aca="false">SUMIFS('Все игры'!D$3:D877,'Все игры'!A$3:A877,A20,'Все игры'!B$3:B877,"Дон")</f>
        <v>0</v>
      </c>
      <c r="AD20" s="124" t="n">
        <f aca="false">SUMIFS('Все игры'!D$3:D877,'Все игры'!A$3:A877,A20,'Все игры'!B$3:B877,"Мирный")</f>
        <v>0</v>
      </c>
      <c r="AE20" s="124" t="n">
        <f aca="false">IFERROR(Z20/B20,0)</f>
        <v>0</v>
      </c>
      <c r="AF20" s="124" t="n">
        <f aca="false">IFERROR(AA20/(K20+L20),0)</f>
        <v>0</v>
      </c>
      <c r="AG20" s="124" t="n">
        <f aca="false">IFERROR(AB20/(M20+N20),0)</f>
        <v>0</v>
      </c>
      <c r="AH20" s="124" t="n">
        <f aca="false">IFERROR(AC20/(O20+P20),0)</f>
        <v>0</v>
      </c>
      <c r="AI20" s="124" t="n">
        <f aca="false">IFERROR(AD20/(Q20+R20),0)</f>
        <v>0</v>
      </c>
    </row>
    <row r="21" customFormat="false" ht="15.75" hidden="false" customHeight="false" outlineLevel="0" collapsed="false">
      <c r="A21" s="215" t="s">
        <v>150</v>
      </c>
      <c r="B21" s="120" t="n">
        <f aca="false">SUM(I21:J21)</f>
        <v>6</v>
      </c>
      <c r="C21" s="4" t="str">
        <f aca="false">IF(COUNTIFS('Все игры'!A$3:A877,A21,'Все игры'!F$3:F877,"=1")=0, "", COUNTIFS('Все игры'!A$3:A877,A21,'Все игры'!F$3:F877,"=1"))</f>
        <v/>
      </c>
      <c r="D21" s="76" t="str">
        <f aca="false">IF(COUNTIFS('Все игры'!A$3:A877,A21,'Все игры'!F$3:F877,"=0,50")=0, "", COUNTIFS('Все игры'!A$3:A877,A21,'Все игры'!F$3:F877,"=0,50"))</f>
        <v/>
      </c>
      <c r="E21" s="76" t="str">
        <f aca="false">IF(COUNTIFS('Все игры'!A$3:A877,A21,'Все игры'!E$3:E877,"ПУ")=0, "", COUNTIFS('Все игры'!A$3:A877,A21,'Все игры'!E$3:E877,"ПУ"))</f>
        <v/>
      </c>
      <c r="F21" s="121" t="n">
        <f aca="false">IFERROR(E21/I21,0)</f>
        <v>0</v>
      </c>
      <c r="G21" s="76" t="str">
        <f aca="false">IF(COUNTIFS('Все игры'!A$3:A877,A21,'Все игры'!E$3:E877,"У/Победа")=0, "",COUNTIFS('Все игры'!A$3:A877,A21,'Все игры'!E$3:E877,"У/Победа") )</f>
        <v/>
      </c>
      <c r="H21" s="76" t="str">
        <f aca="false">IF(COUNTIFS('Все игры'!A$3:A877,A21,'Все игры'!E$3:E877,"У/Проигрыш")=0, "",COUNTIFS('Все игры'!A$3:A877,A21,'Все игры'!E$3:E877,"У/Проигрыш") )</f>
        <v/>
      </c>
      <c r="I21" s="120" t="n">
        <f aca="false">M21+N21+Q21+R21</f>
        <v>6</v>
      </c>
      <c r="J21" s="120" t="n">
        <f aca="false">K21+L21+O21+P21</f>
        <v>0</v>
      </c>
      <c r="K21" s="120" t="n">
        <f aca="false">COUNTIFS('Все игры'!A$3:A877,A21,'Все игры'!C$3:C877,"&gt;0",'Все игры'!B$3:B877,"Мафия")</f>
        <v>0</v>
      </c>
      <c r="L21" s="120" t="n">
        <f aca="false">IFERROR(__xludf.dummyfunction("COUNTBLANK(FILTER('Все игры'!A$3:C877,'Все игры'!A$3:A877=A21,'Все игры'!C$3:C877 &lt; 1,'Все игры'!B$3:B877=""Мафия""))"),0)</f>
        <v>0</v>
      </c>
      <c r="M21" s="120" t="n">
        <f aca="false">COUNTIFS('Все игры'!A$3:A877,A21,'Все игры'!C$3:C877,"&gt;0",'Все игры'!B$3:B877,"Шериф")</f>
        <v>0</v>
      </c>
      <c r="N21" s="120" t="n">
        <f aca="false">IFERROR(__xludf.dummyfunction("COUNTBLANK(FILTER('Все игры'!A$3:C877,'Все игры'!A$3:A877=A21,'Все игры'!C$3:C877 &lt; 1,'Все игры'!B$3:B877=""Шериф""))"),1)</f>
        <v>1</v>
      </c>
      <c r="O21" s="120" t="n">
        <f aca="false">COUNTIFS('Все игры'!A$3:A877,A21,'Все игры'!C$3:C877,"&gt;0",'Все игры'!B$3:B877,"Дон")</f>
        <v>0</v>
      </c>
      <c r="P21" s="122" t="n">
        <f aca="false">IFERROR(__xludf.dummyfunction("COUNTBLANK(FILTER('Все игры'!A$3:C877,'Все игры'!A$3:A877=A21,'Все игры'!C$3:C877 &lt; 1,'Все игры'!B$3:B877=""Дон""))"),0)</f>
        <v>0</v>
      </c>
      <c r="Q21" s="120" t="n">
        <f aca="false">COUNTIFS('Все игры'!A$3:A877,A21,'Все игры'!C$3:C877,"&gt;0",'Все игры'!B$3:B877,"Мирный")</f>
        <v>0</v>
      </c>
      <c r="R21" s="120" t="n">
        <f aca="false">IFERROR(__xludf.dummyfunction("COUNTBLANK(FILTER('Все игры'!A$3:C877,'Все игры'!A$3:A877=A21,'Все игры'!C$3:C877 &lt; 1,'Все игры'!B$3:B877=""Мирный""))"),5)</f>
        <v>5</v>
      </c>
      <c r="S21" s="123" t="n">
        <f aca="false">IFERROR((K21+M21+O21+Q21)/(I21+J21), )</f>
        <v>0</v>
      </c>
      <c r="T21" s="123" t="n">
        <f aca="false">IFERROR((M21+Q21)/I21, )</f>
        <v>0</v>
      </c>
      <c r="U21" s="123" t="n">
        <f aca="false">IFERROR((K21+O21)/J21, )</f>
        <v>0</v>
      </c>
      <c r="V21" s="123" t="n">
        <f aca="false">IFERROR(K21/(K21+L21), )</f>
        <v>0</v>
      </c>
      <c r="W21" s="123" t="n">
        <f aca="false">IFERROR(M21/(M21+N21), )</f>
        <v>0</v>
      </c>
      <c r="X21" s="123" t="n">
        <f aca="false">IFERROR(O21/(O21+P21), )</f>
        <v>0</v>
      </c>
      <c r="Y21" s="123" t="n">
        <f aca="false">IFERROR(Q21/(Q21+R21), )</f>
        <v>0</v>
      </c>
      <c r="Z21" s="124" t="n">
        <f aca="false">SUMIFS('Все игры'!D$3:D877,'Все игры'!A$3:A877,A21)</f>
        <v>0</v>
      </c>
      <c r="AA21" s="124" t="n">
        <f aca="false">SUMIFS('Все игры'!D$3:D877,'Все игры'!A$3:A877,A21,'Все игры'!B$3:B877,"Мафия")</f>
        <v>0</v>
      </c>
      <c r="AB21" s="124" t="n">
        <f aca="false">SUMIFS('Все игры'!D$3:D877,'Все игры'!A$3:A877,A21,'Все игры'!B$3:B877,"Шериф")</f>
        <v>0</v>
      </c>
      <c r="AC21" s="124" t="n">
        <f aca="false">SUMIFS('Все игры'!D$3:D877,'Все игры'!A$3:A877,A21,'Все игры'!B$3:B877,"Дон")</f>
        <v>0</v>
      </c>
      <c r="AD21" s="124" t="n">
        <f aca="false">SUMIFS('Все игры'!D$3:D877,'Все игры'!A$3:A877,A21,'Все игры'!B$3:B877,"Мирный")</f>
        <v>0</v>
      </c>
      <c r="AE21" s="124" t="n">
        <f aca="false">IFERROR(Z21/B21,0)</f>
        <v>0</v>
      </c>
      <c r="AF21" s="124" t="n">
        <f aca="false">IFERROR(AA21/(K21+L21),0)</f>
        <v>0</v>
      </c>
      <c r="AG21" s="124" t="n">
        <f aca="false">IFERROR(AB21/(M21+N21),0)</f>
        <v>0</v>
      </c>
      <c r="AH21" s="124" t="n">
        <f aca="false">IFERROR(AC21/(O21+P21),0)</f>
        <v>0</v>
      </c>
      <c r="AI21" s="124" t="n">
        <f aca="false">IFERROR(AD21/(Q21+R21),0)</f>
        <v>0</v>
      </c>
    </row>
    <row r="22" customFormat="false" ht="15.75" hidden="false" customHeight="false" outlineLevel="0" collapsed="false">
      <c r="A22" s="215" t="s">
        <v>159</v>
      </c>
      <c r="B22" s="120" t="n">
        <f aca="false">SUM(I22:J22)</f>
        <v>17</v>
      </c>
      <c r="C22" s="4" t="str">
        <f aca="false">IF(COUNTIFS('Все игры'!A$3:A877,A22,'Все игры'!F$3:F877,"=1")=0, "", COUNTIFS('Все игры'!A$3:A877,A22,'Все игры'!F$3:F877,"=1"))</f>
        <v/>
      </c>
      <c r="D22" s="76" t="str">
        <f aca="false">IF(COUNTIFS('Все игры'!A$3:A877,A22,'Все игры'!F$3:F877,"=0,50")=0, "", COUNTIFS('Все игры'!A$3:A877,A22,'Все игры'!F$3:F877,"=0,50"))</f>
        <v/>
      </c>
      <c r="E22" s="76" t="str">
        <f aca="false">IF(COUNTIFS('Все игры'!A$3:A877,A22,'Все игры'!E$3:E877,"ПУ")=0, "", COUNTIFS('Все игры'!A$3:A877,A22,'Все игры'!E$3:E877,"ПУ"))</f>
        <v/>
      </c>
      <c r="F22" s="121" t="n">
        <f aca="false">IFERROR(E22/I22,0)</f>
        <v>0</v>
      </c>
      <c r="G22" s="76" t="str">
        <f aca="false">IF(COUNTIFS('Все игры'!A$3:A877,A22,'Все игры'!E$3:E877,"У/Победа")=0, "",COUNTIFS('Все игры'!A$3:A877,A22,'Все игры'!E$3:E877,"У/Победа") )</f>
        <v/>
      </c>
      <c r="H22" s="76" t="str">
        <f aca="false">IF(COUNTIFS('Все игры'!A$3:A877,A22,'Все игры'!E$3:E877,"У/Проигрыш")=0, "",COUNTIFS('Все игры'!A$3:A877,A22,'Все игры'!E$3:E877,"У/Проигрыш") )</f>
        <v/>
      </c>
      <c r="I22" s="120" t="n">
        <f aca="false">M22+N22+Q22+R22</f>
        <v>13</v>
      </c>
      <c r="J22" s="120" t="n">
        <f aca="false">K22+L22+O22+P22</f>
        <v>4</v>
      </c>
      <c r="K22" s="120" t="n">
        <f aca="false">COUNTIFS('Все игры'!A$3:A877,A22,'Все игры'!C$3:C877,"&gt;0",'Все игры'!B$3:B877,"Мафия")</f>
        <v>0</v>
      </c>
      <c r="L22" s="120" t="n">
        <f aca="false">IFERROR(__xludf.dummyfunction("COUNTBLANK(FILTER('Все игры'!A$3:C877,'Все игры'!A$3:A877=A22,'Все игры'!C$3:C877 &lt; 1,'Все игры'!B$3:B877=""Мафия""))"),4)</f>
        <v>4</v>
      </c>
      <c r="M22" s="120" t="n">
        <f aca="false">COUNTIFS('Все игры'!A$3:A877,A22,'Все игры'!C$3:C877,"&gt;0",'Все игры'!B$3:B877,"Шериф")</f>
        <v>0</v>
      </c>
      <c r="N22" s="120" t="n">
        <f aca="false">IFERROR(__xludf.dummyfunction("COUNTBLANK(FILTER('Все игры'!A$3:C877,'Все игры'!A$3:A877=A22,'Все игры'!C$3:C877 &lt; 1,'Все игры'!B$3:B877=""Шериф""))"),3)</f>
        <v>3</v>
      </c>
      <c r="O22" s="120" t="n">
        <f aca="false">COUNTIFS('Все игры'!A$3:A877,A22,'Все игры'!C$3:C877,"&gt;0",'Все игры'!B$3:B877,"Дон")</f>
        <v>0</v>
      </c>
      <c r="P22" s="122" t="n">
        <f aca="false">IFERROR(__xludf.dummyfunction("COUNTBLANK(FILTER('Все игры'!A$3:C877,'Все игры'!A$3:A877=A22,'Все игры'!C$3:C877 &lt; 1,'Все игры'!B$3:B877=""Дон""))"),0)</f>
        <v>0</v>
      </c>
      <c r="Q22" s="120" t="n">
        <f aca="false">COUNTIFS('Все игры'!A$3:A877,A22,'Все игры'!C$3:C877,"&gt;0",'Все игры'!B$3:B877,"Мирный")</f>
        <v>0</v>
      </c>
      <c r="R22" s="120" t="n">
        <f aca="false">IFERROR(__xludf.dummyfunction("COUNTBLANK(FILTER('Все игры'!A$3:C877,'Все игры'!A$3:A877=A22,'Все игры'!C$3:C877 &lt; 1,'Все игры'!B$3:B877=""Мирный""))"),10)</f>
        <v>10</v>
      </c>
      <c r="S22" s="123" t="n">
        <f aca="false">IFERROR((K22+M22+O22+Q22)/(I22+J22), )</f>
        <v>0</v>
      </c>
      <c r="T22" s="123" t="n">
        <f aca="false">IFERROR((M22+Q22)/I22, )</f>
        <v>0</v>
      </c>
      <c r="U22" s="123" t="n">
        <f aca="false">IFERROR((K22+O22)/J22, )</f>
        <v>0</v>
      </c>
      <c r="V22" s="123" t="n">
        <f aca="false">IFERROR(K22/(K22+L22), )</f>
        <v>0</v>
      </c>
      <c r="W22" s="123" t="n">
        <f aca="false">IFERROR(M22/(M22+N22), )</f>
        <v>0</v>
      </c>
      <c r="X22" s="123" t="n">
        <f aca="false">IFERROR(O22/(O22+P22), )</f>
        <v>0</v>
      </c>
      <c r="Y22" s="123" t="n">
        <f aca="false">IFERROR(Q22/(Q22+R22), )</f>
        <v>0</v>
      </c>
      <c r="Z22" s="124" t="n">
        <f aca="false">SUMIFS('Все игры'!D$3:D877,'Все игры'!A$3:A877,A22)</f>
        <v>0</v>
      </c>
      <c r="AA22" s="124" t="n">
        <f aca="false">SUMIFS('Все игры'!D$3:D877,'Все игры'!A$3:A877,A22,'Все игры'!B$3:B877,"Мафия")</f>
        <v>0</v>
      </c>
      <c r="AB22" s="124" t="n">
        <f aca="false">SUMIFS('Все игры'!D$3:D877,'Все игры'!A$3:A877,A22,'Все игры'!B$3:B877,"Шериф")</f>
        <v>0</v>
      </c>
      <c r="AC22" s="124" t="n">
        <f aca="false">SUMIFS('Все игры'!D$3:D877,'Все игры'!A$3:A877,A22,'Все игры'!B$3:B877,"Дон")</f>
        <v>0</v>
      </c>
      <c r="AD22" s="124" t="n">
        <f aca="false">SUMIFS('Все игры'!D$3:D877,'Все игры'!A$3:A877,A22,'Все игры'!B$3:B877,"Мирный")</f>
        <v>0</v>
      </c>
      <c r="AE22" s="124" t="n">
        <f aca="false">IFERROR(Z22/B22,0)</f>
        <v>0</v>
      </c>
      <c r="AF22" s="124" t="n">
        <f aca="false">IFERROR(AA22/(K22+L22),0)</f>
        <v>0</v>
      </c>
      <c r="AG22" s="124" t="n">
        <f aca="false">IFERROR(AB22/(M22+N22),0)</f>
        <v>0</v>
      </c>
      <c r="AH22" s="124" t="n">
        <f aca="false">IFERROR(AC22/(O22+P22),0)</f>
        <v>0</v>
      </c>
      <c r="AI22" s="124" t="n">
        <f aca="false">IFERROR(AD22/(Q22+R22),0)</f>
        <v>0</v>
      </c>
    </row>
    <row r="23" customFormat="false" ht="15.75" hidden="false" customHeight="false" outlineLevel="0" collapsed="false">
      <c r="A23" s="215" t="s">
        <v>148</v>
      </c>
      <c r="B23" s="120" t="n">
        <f aca="false">SUM(I23:J23)</f>
        <v>14</v>
      </c>
      <c r="C23" s="4" t="str">
        <f aca="false">IF(COUNTIFS('Все игры'!A$3:A877,A23,'Все игры'!F$3:F877,"=1")=0, "", COUNTIFS('Все игры'!A$3:A877,A23,'Все игры'!F$3:F877,"=1"))</f>
        <v/>
      </c>
      <c r="D23" s="76" t="str">
        <f aca="false">IF(COUNTIFS('Все игры'!A$3:A877,A23,'Все игры'!F$3:F877,"=0,50")=0, "", COUNTIFS('Все игры'!A$3:A877,A23,'Все игры'!F$3:F877,"=0,50"))</f>
        <v/>
      </c>
      <c r="E23" s="76" t="str">
        <f aca="false">IF(COUNTIFS('Все игры'!A$3:A877,A23,'Все игры'!E$3:E877,"ПУ")=0, "", COUNTIFS('Все игры'!A$3:A877,A23,'Все игры'!E$3:E877,"ПУ"))</f>
        <v/>
      </c>
      <c r="F23" s="121" t="n">
        <f aca="false">IFERROR(E23/I23,0)</f>
        <v>0</v>
      </c>
      <c r="G23" s="76" t="str">
        <f aca="false">IF(COUNTIFS('Все игры'!A$3:A877,A23,'Все игры'!E$3:E877,"У/Победа")=0, "",COUNTIFS('Все игры'!A$3:A877,A23,'Все игры'!E$3:E877,"У/Победа") )</f>
        <v/>
      </c>
      <c r="H23" s="76" t="str">
        <f aca="false">IF(COUNTIFS('Все игры'!A$3:A877,A23,'Все игры'!E$3:E877,"У/Проигрыш")=0, "",COUNTIFS('Все игры'!A$3:A877,A23,'Все игры'!E$3:E877,"У/Проигрыш") )</f>
        <v/>
      </c>
      <c r="I23" s="120" t="n">
        <f aca="false">M23+N23+Q23+R23</f>
        <v>9</v>
      </c>
      <c r="J23" s="120" t="n">
        <f aca="false">K23+L23+O23+P23</f>
        <v>5</v>
      </c>
      <c r="K23" s="120" t="n">
        <f aca="false">COUNTIFS('Все игры'!A$3:A877,A23,'Все игры'!C$3:C877,"&gt;0",'Все игры'!B$3:B877,"Мафия")</f>
        <v>0</v>
      </c>
      <c r="L23" s="120" t="n">
        <f aca="false">IFERROR(__xludf.dummyfunction("COUNTBLANK(FILTER('Все игры'!A$3:C877,'Все игры'!A$3:A877=A23,'Все игры'!C$3:C877 &lt; 1,'Все игры'!B$3:B877=""Мафия""))"),2)</f>
        <v>2</v>
      </c>
      <c r="M23" s="120" t="n">
        <f aca="false">COUNTIFS('Все игры'!A$3:A877,A23,'Все игры'!C$3:C877,"&gt;0",'Все игры'!B$3:B877,"Шериф")</f>
        <v>0</v>
      </c>
      <c r="N23" s="120" t="n">
        <f aca="false">IFERROR(__xludf.dummyfunction("COUNTBLANK(FILTER('Все игры'!A$3:C877,'Все игры'!A$3:A877=A23,'Все игры'!C$3:C877 &lt; 1,'Все игры'!B$3:B877=""Шериф""))"),1)</f>
        <v>1</v>
      </c>
      <c r="O23" s="120" t="n">
        <f aca="false">COUNTIFS('Все игры'!A$3:A877,A23,'Все игры'!C$3:C877,"&gt;0",'Все игры'!B$3:B877,"Дон")</f>
        <v>0</v>
      </c>
      <c r="P23" s="122" t="n">
        <f aca="false">IFERROR(__xludf.dummyfunction("COUNTBLANK(FILTER('Все игры'!A$3:C877,'Все игры'!A$3:A877=A23,'Все игры'!C$3:C877 &lt; 1,'Все игры'!B$3:B877=""Дон""))"),3)</f>
        <v>3</v>
      </c>
      <c r="Q23" s="120" t="n">
        <f aca="false">COUNTIFS('Все игры'!A$3:A877,A23,'Все игры'!C$3:C877,"&gt;0",'Все игры'!B$3:B877,"Мирный")</f>
        <v>0</v>
      </c>
      <c r="R23" s="120" t="n">
        <f aca="false">IFERROR(__xludf.dummyfunction("COUNTBLANK(FILTER('Все игры'!A$3:C877,'Все игры'!A$3:A877=A23,'Все игры'!C$3:C877 &lt; 1,'Все игры'!B$3:B877=""Мирный""))"),8)</f>
        <v>8</v>
      </c>
      <c r="S23" s="123" t="n">
        <f aca="false">IFERROR((K23+M23+O23+Q23)/(I23+J23), )</f>
        <v>0</v>
      </c>
      <c r="T23" s="123" t="n">
        <f aca="false">IFERROR((M23+Q23)/I23, )</f>
        <v>0</v>
      </c>
      <c r="U23" s="123" t="n">
        <f aca="false">IFERROR((K23+O23)/J23, )</f>
        <v>0</v>
      </c>
      <c r="V23" s="123" t="n">
        <f aca="false">IFERROR(K23/(K23+L23), )</f>
        <v>0</v>
      </c>
      <c r="W23" s="123" t="n">
        <f aca="false">IFERROR(M23/(M23+N23), )</f>
        <v>0</v>
      </c>
      <c r="X23" s="123" t="n">
        <f aca="false">IFERROR(O23/(O23+P23), )</f>
        <v>0</v>
      </c>
      <c r="Y23" s="123" t="n">
        <f aca="false">IFERROR(Q23/(Q23+R23), )</f>
        <v>0</v>
      </c>
      <c r="Z23" s="124" t="n">
        <f aca="false">SUMIFS('Все игры'!D$3:D877,'Все игры'!A$3:A877,A23)</f>
        <v>0</v>
      </c>
      <c r="AA23" s="124" t="n">
        <f aca="false">SUMIFS('Все игры'!D$3:D877,'Все игры'!A$3:A877,A23,'Все игры'!B$3:B877,"Мафия")</f>
        <v>0</v>
      </c>
      <c r="AB23" s="124" t="n">
        <f aca="false">SUMIFS('Все игры'!D$3:D877,'Все игры'!A$3:A877,A23,'Все игры'!B$3:B877,"Шериф")</f>
        <v>0</v>
      </c>
      <c r="AC23" s="124" t="n">
        <f aca="false">SUMIFS('Все игры'!D$3:D877,'Все игры'!A$3:A877,A23,'Все игры'!B$3:B877,"Дон")</f>
        <v>0</v>
      </c>
      <c r="AD23" s="124" t="n">
        <f aca="false">SUMIFS('Все игры'!D$3:D877,'Все игры'!A$3:A877,A23,'Все игры'!B$3:B877,"Мирный")</f>
        <v>0</v>
      </c>
      <c r="AE23" s="124" t="n">
        <f aca="false">IFERROR(Z23/B23,0)</f>
        <v>0</v>
      </c>
      <c r="AF23" s="124" t="n">
        <f aca="false">IFERROR(AA23/(K23+L23),0)</f>
        <v>0</v>
      </c>
      <c r="AG23" s="124" t="n">
        <f aca="false">IFERROR(AB23/(M23+N23),0)</f>
        <v>0</v>
      </c>
      <c r="AH23" s="124" t="n">
        <f aca="false">IFERROR(AC23/(O23+P23),0)</f>
        <v>0</v>
      </c>
      <c r="AI23" s="124" t="n">
        <f aca="false">IFERROR(AD23/(Q23+R23),0)</f>
        <v>0</v>
      </c>
    </row>
    <row r="24" customFormat="false" ht="15.75" hidden="false" customHeight="false" outlineLevel="0" collapsed="false">
      <c r="A24" s="215" t="s">
        <v>75</v>
      </c>
      <c r="B24" s="120" t="n">
        <f aca="false">SUM(I24:J24)</f>
        <v>3</v>
      </c>
      <c r="C24" s="4" t="str">
        <f aca="false">IF(COUNTIFS('Все игры'!A$3:A877,A24,'Все игры'!F$3:F877,"=1")=0, "", COUNTIFS('Все игры'!A$3:A877,A24,'Все игры'!F$3:F877,"=1"))</f>
        <v/>
      </c>
      <c r="D24" s="76" t="str">
        <f aca="false">IF(COUNTIFS('Все игры'!A$3:A877,A24,'Все игры'!F$3:F877,"=0,50")=0, "", COUNTIFS('Все игры'!A$3:A877,A24,'Все игры'!F$3:F877,"=0,50"))</f>
        <v/>
      </c>
      <c r="E24" s="76" t="str">
        <f aca="false">IF(COUNTIFS('Все игры'!A$3:A877,A24,'Все игры'!E$3:E877,"ПУ")=0, "", COUNTIFS('Все игры'!A$3:A877,A24,'Все игры'!E$3:E877,"ПУ"))</f>
        <v/>
      </c>
      <c r="F24" s="121" t="n">
        <f aca="false">IFERROR(E24/I24,0)</f>
        <v>0</v>
      </c>
      <c r="G24" s="76" t="str">
        <f aca="false">IF(COUNTIFS('Все игры'!A$3:A877,A24,'Все игры'!E$3:E877,"У/Победа")=0, "",COUNTIFS('Все игры'!A$3:A877,A24,'Все игры'!E$3:E877,"У/Победа") )</f>
        <v/>
      </c>
      <c r="H24" s="76" t="str">
        <f aca="false">IF(COUNTIFS('Все игры'!A$3:A877,A24,'Все игры'!E$3:E877,"У/Проигрыш")=0, "",COUNTIFS('Все игры'!A$3:A877,A24,'Все игры'!E$3:E877,"У/Проигрыш") )</f>
        <v/>
      </c>
      <c r="I24" s="120" t="n">
        <f aca="false">M24+N24+Q24+R24</f>
        <v>2</v>
      </c>
      <c r="J24" s="120" t="n">
        <f aca="false">K24+L24+O24+P24</f>
        <v>1</v>
      </c>
      <c r="K24" s="120" t="n">
        <f aca="false">COUNTIFS('Все игры'!A$3:A877,A24,'Все игры'!C$3:C877,"&gt;0",'Все игры'!B$3:B877,"Мафия")</f>
        <v>0</v>
      </c>
      <c r="L24" s="120" t="n">
        <f aca="false">IFERROR(__xludf.dummyfunction("COUNTBLANK(FILTER('Все игры'!A$3:C877,'Все игры'!A$3:A877=A24,'Все игры'!C$3:C877 &lt; 1,'Все игры'!B$3:B877=""Мафия""))"),1)</f>
        <v>1</v>
      </c>
      <c r="M24" s="120" t="n">
        <f aca="false">COUNTIFS('Все игры'!A$3:A877,A24,'Все игры'!C$3:C877,"&gt;0",'Все игры'!B$3:B877,"Шериф")</f>
        <v>0</v>
      </c>
      <c r="N24" s="120" t="n">
        <f aca="false">IFERROR(__xludf.dummyfunction("COUNTBLANK(FILTER('Все игры'!A$3:C877,'Все игры'!A$3:A877=A24,'Все игры'!C$3:C877 &lt; 1,'Все игры'!B$3:B877=""Шериф""))"),0)</f>
        <v>0</v>
      </c>
      <c r="O24" s="120" t="n">
        <f aca="false">COUNTIFS('Все игры'!A$3:A877,A24,'Все игры'!C$3:C877,"&gt;0",'Все игры'!B$3:B877,"Дон")</f>
        <v>0</v>
      </c>
      <c r="P24" s="122" t="n">
        <f aca="false">IFERROR(__xludf.dummyfunction("COUNTBLANK(FILTER('Все игры'!A$3:C877,'Все игры'!A$3:A877=A24,'Все игры'!C$3:C877 &lt; 1,'Все игры'!B$3:B877=""Дон""))"),0)</f>
        <v>0</v>
      </c>
      <c r="Q24" s="120" t="n">
        <f aca="false">COUNTIFS('Все игры'!A$3:A877,A24,'Все игры'!C$3:C877,"&gt;0",'Все игры'!B$3:B877,"Мирный")</f>
        <v>0</v>
      </c>
      <c r="R24" s="120" t="n">
        <f aca="false">IFERROR(__xludf.dummyfunction("COUNTBLANK(FILTER('Все игры'!A$3:C877,'Все игры'!A$3:A877=A24,'Все игры'!C$3:C877 &lt; 1,'Все игры'!B$3:B877=""Мирный""))"),2)</f>
        <v>2</v>
      </c>
      <c r="S24" s="123" t="n">
        <f aca="false">IFERROR((K24+M24+O24+Q24)/(I24+J24), )</f>
        <v>0</v>
      </c>
      <c r="T24" s="123" t="n">
        <f aca="false">IFERROR((M24+Q24)/I24, )</f>
        <v>0</v>
      </c>
      <c r="U24" s="123" t="n">
        <f aca="false">IFERROR((K24+O24)/J24, )</f>
        <v>0</v>
      </c>
      <c r="V24" s="123" t="n">
        <f aca="false">IFERROR(K24/(K24+L24), )</f>
        <v>0</v>
      </c>
      <c r="W24" s="123" t="n">
        <f aca="false">IFERROR(M24/(M24+N24), )</f>
        <v>0</v>
      </c>
      <c r="X24" s="123" t="n">
        <f aca="false">IFERROR(O24/(O24+P24), )</f>
        <v>0</v>
      </c>
      <c r="Y24" s="123" t="n">
        <f aca="false">IFERROR(Q24/(Q24+R24), )</f>
        <v>0</v>
      </c>
      <c r="Z24" s="124" t="n">
        <f aca="false">SUMIFS('Все игры'!D$3:D877,'Все игры'!A$3:A877,A24)</f>
        <v>0</v>
      </c>
      <c r="AA24" s="124" t="n">
        <f aca="false">SUMIFS('Все игры'!D$3:D877,'Все игры'!A$3:A877,A24,'Все игры'!B$3:B877,"Мафия")</f>
        <v>0</v>
      </c>
      <c r="AB24" s="124" t="n">
        <f aca="false">SUMIFS('Все игры'!D$3:D877,'Все игры'!A$3:A877,A24,'Все игры'!B$3:B877,"Шериф")</f>
        <v>0</v>
      </c>
      <c r="AC24" s="124" t="n">
        <f aca="false">SUMIFS('Все игры'!D$3:D877,'Все игры'!A$3:A877,A24,'Все игры'!B$3:B877,"Дон")</f>
        <v>0</v>
      </c>
      <c r="AD24" s="124" t="n">
        <f aca="false">SUMIFS('Все игры'!D$3:D877,'Все игры'!A$3:A877,A24,'Все игры'!B$3:B877,"Мирный")</f>
        <v>0</v>
      </c>
      <c r="AE24" s="124" t="n">
        <f aca="false">IFERROR(Z24/B24,0)</f>
        <v>0</v>
      </c>
      <c r="AF24" s="124" t="n">
        <f aca="false">IFERROR(AA24/(K24+L24),0)</f>
        <v>0</v>
      </c>
      <c r="AG24" s="124" t="n">
        <f aca="false">IFERROR(AB24/(M24+N24),0)</f>
        <v>0</v>
      </c>
      <c r="AH24" s="124" t="n">
        <f aca="false">IFERROR(AC24/(O24+P24),0)</f>
        <v>0</v>
      </c>
      <c r="AI24" s="124" t="n">
        <f aca="false">IFERROR(AD24/(Q24+R24),0)</f>
        <v>0</v>
      </c>
    </row>
    <row r="25" customFormat="false" ht="15.75" hidden="false" customHeight="false" outlineLevel="0" collapsed="false">
      <c r="A25" s="216" t="s">
        <v>172</v>
      </c>
      <c r="B25" s="120" t="n">
        <f aca="false">SUM(I25:J25)</f>
        <v>4</v>
      </c>
      <c r="C25" s="4" t="str">
        <f aca="false">IF(COUNTIFS('Все игры'!A$3:A877,A25,'Все игры'!F$3:F877,"=1")=0, "", COUNTIFS('Все игры'!A$3:A877,A25,'Все игры'!F$3:F877,"=1"))</f>
        <v/>
      </c>
      <c r="D25" s="76" t="str">
        <f aca="false">IF(COUNTIFS('Все игры'!A$3:A877,A25,'Все игры'!F$3:F877,"=0,50")=0, "", COUNTIFS('Все игры'!A$3:A877,A25,'Все игры'!F$3:F877,"=0,50"))</f>
        <v/>
      </c>
      <c r="E25" s="76" t="str">
        <f aca="false">IF(COUNTIFS('Все игры'!A$3:A877,A25,'Все игры'!E$3:E877,"ПУ")=0, "", COUNTIFS('Все игры'!A$3:A877,A25,'Все игры'!E$3:E877,"ПУ"))</f>
        <v/>
      </c>
      <c r="F25" s="121" t="n">
        <f aca="false">IFERROR(E25/I25,0)</f>
        <v>0</v>
      </c>
      <c r="G25" s="76" t="str">
        <f aca="false">IF(COUNTIFS('Все игры'!A$3:A877,A25,'Все игры'!E$3:E877,"У/Победа")=0, "",COUNTIFS('Все игры'!A$3:A877,A25,'Все игры'!E$3:E877,"У/Победа") )</f>
        <v/>
      </c>
      <c r="H25" s="76" t="str">
        <f aca="false">IF(COUNTIFS('Все игры'!A$3:A877,A25,'Все игры'!E$3:E877,"У/Проигрыш")=0, "",COUNTIFS('Все игры'!A$3:A877,A25,'Все игры'!E$3:E877,"У/Проигрыш") )</f>
        <v/>
      </c>
      <c r="I25" s="120" t="n">
        <f aca="false">M25+N25+Q25+R25</f>
        <v>2</v>
      </c>
      <c r="J25" s="120" t="n">
        <f aca="false">K25+L25+O25+P25</f>
        <v>2</v>
      </c>
      <c r="K25" s="120" t="n">
        <f aca="false">COUNTIFS('Все игры'!A$3:A877,A25,'Все игры'!C$3:C877,"&gt;0",'Все игры'!B$3:B877,"Мафия")</f>
        <v>0</v>
      </c>
      <c r="L25" s="120" t="n">
        <f aca="false">IFERROR(__xludf.dummyfunction("COUNTBLANK(FILTER('Все игры'!A$3:C877,'Все игры'!A$3:A877=A25,'Все игры'!C$3:C877 &lt; 1,'Все игры'!B$3:B877=""Мафия""))"),2)</f>
        <v>2</v>
      </c>
      <c r="M25" s="120" t="n">
        <f aca="false">COUNTIFS('Все игры'!A$3:A877,A25,'Все игры'!C$3:C877,"&gt;0",'Все игры'!B$3:B877,"Шериф")</f>
        <v>0</v>
      </c>
      <c r="N25" s="120" t="n">
        <f aca="false">IFERROR(__xludf.dummyfunction("COUNTBLANK(FILTER('Все игры'!A$3:C877,'Все игры'!A$3:A877=A25,'Все игры'!C$3:C877 &lt; 1,'Все игры'!B$3:B877=""Шериф""))"),0)</f>
        <v>0</v>
      </c>
      <c r="O25" s="120" t="n">
        <f aca="false">COUNTIFS('Все игры'!A$3:A877,A25,'Все игры'!C$3:C877,"&gt;0",'Все игры'!B$3:B877,"Дон")</f>
        <v>0</v>
      </c>
      <c r="P25" s="122" t="n">
        <f aca="false">IFERROR(__xludf.dummyfunction("COUNTBLANK(FILTER('Все игры'!A$3:C877,'Все игры'!A$3:A877=A25,'Все игры'!C$3:C877 &lt; 1,'Все игры'!B$3:B877=""Дон""))"),0)</f>
        <v>0</v>
      </c>
      <c r="Q25" s="120" t="n">
        <f aca="false">COUNTIFS('Все игры'!A$3:A877,A25,'Все игры'!C$3:C877,"&gt;0",'Все игры'!B$3:B877,"Мирный")</f>
        <v>0</v>
      </c>
      <c r="R25" s="120" t="n">
        <f aca="false">IFERROR(__xludf.dummyfunction("COUNTBLANK(FILTER('Все игры'!A$3:C877,'Все игры'!A$3:A877=A25,'Все игры'!C$3:C877 &lt; 1,'Все игры'!B$3:B877=""Мирный""))"),2)</f>
        <v>2</v>
      </c>
      <c r="S25" s="123" t="n">
        <f aca="false">IFERROR((K25+M25+O25+Q25)/(I25+J25), )</f>
        <v>0</v>
      </c>
      <c r="T25" s="123" t="n">
        <f aca="false">IFERROR((M25+Q25)/I25, )</f>
        <v>0</v>
      </c>
      <c r="U25" s="123" t="n">
        <f aca="false">IFERROR((K25+O25)/J25, )</f>
        <v>0</v>
      </c>
      <c r="V25" s="123" t="n">
        <f aca="false">IFERROR(K25/(K25+L25), )</f>
        <v>0</v>
      </c>
      <c r="W25" s="123" t="n">
        <f aca="false">IFERROR(M25/(M25+N25), )</f>
        <v>0</v>
      </c>
      <c r="X25" s="123" t="n">
        <f aca="false">IFERROR(O25/(O25+P25), )</f>
        <v>0</v>
      </c>
      <c r="Y25" s="123" t="n">
        <f aca="false">IFERROR(Q25/(Q25+R25), )</f>
        <v>0</v>
      </c>
      <c r="Z25" s="124" t="n">
        <f aca="false">SUMIFS('Все игры'!D$3:D877,'Все игры'!A$3:A877,A25)</f>
        <v>0</v>
      </c>
      <c r="AA25" s="124" t="n">
        <f aca="false">SUMIFS('Все игры'!D$3:D877,'Все игры'!A$3:A877,A25,'Все игры'!B$3:B877,"Мафия")</f>
        <v>0</v>
      </c>
      <c r="AB25" s="124" t="n">
        <f aca="false">SUMIFS('Все игры'!D$3:D877,'Все игры'!A$3:A877,A25,'Все игры'!B$3:B877,"Шериф")</f>
        <v>0</v>
      </c>
      <c r="AC25" s="124" t="n">
        <f aca="false">SUMIFS('Все игры'!D$3:D877,'Все игры'!A$3:A877,A25,'Все игры'!B$3:B877,"Дон")</f>
        <v>0</v>
      </c>
      <c r="AD25" s="124" t="n">
        <f aca="false">SUMIFS('Все игры'!D$3:D877,'Все игры'!A$3:A877,A25,'Все игры'!B$3:B877,"Мирный")</f>
        <v>0</v>
      </c>
      <c r="AE25" s="124" t="n">
        <f aca="false">IFERROR(Z25/B25,0)</f>
        <v>0</v>
      </c>
      <c r="AF25" s="124" t="n">
        <f aca="false">IFERROR(AA25/(K25+L25),0)</f>
        <v>0</v>
      </c>
      <c r="AG25" s="124" t="n">
        <f aca="false">IFERROR(AB25/(M25+N25),0)</f>
        <v>0</v>
      </c>
      <c r="AH25" s="124" t="n">
        <f aca="false">IFERROR(AC25/(O25+P25),0)</f>
        <v>0</v>
      </c>
      <c r="AI25" s="124" t="n">
        <f aca="false">IFERROR(AD25/(Q25+R25),0)</f>
        <v>0</v>
      </c>
    </row>
    <row r="26" customFormat="false" ht="15.75" hidden="false" customHeight="false" outlineLevel="0" collapsed="false">
      <c r="A26" s="216" t="s">
        <v>76</v>
      </c>
      <c r="B26" s="120" t="n">
        <f aca="false">SUM(I26:J26)</f>
        <v>1</v>
      </c>
      <c r="C26" s="4" t="str">
        <f aca="false">IF(COUNTIFS('Все игры'!A$3:A877,A26,'Все игры'!F$3:F877,"=1")=0, "", COUNTIFS('Все игры'!A$3:A877,A26,'Все игры'!F$3:F877,"=1"))</f>
        <v/>
      </c>
      <c r="D26" s="76" t="str">
        <f aca="false">IF(COUNTIFS('Все игры'!A$3:A877,A26,'Все игры'!F$3:F877,"=0,50")=0, "", COUNTIFS('Все игры'!A$3:A877,A26,'Все игры'!F$3:F877,"=0,50"))</f>
        <v/>
      </c>
      <c r="E26" s="76" t="str">
        <f aca="false">IF(COUNTIFS('Все игры'!A$3:A877,A26,'Все игры'!E$3:E877,"ПУ")=0, "", COUNTIFS('Все игры'!A$3:A877,A26,'Все игры'!E$3:E877,"ПУ"))</f>
        <v/>
      </c>
      <c r="F26" s="121" t="n">
        <f aca="false">IFERROR(E26/I26,0)</f>
        <v>0</v>
      </c>
      <c r="G26" s="76" t="str">
        <f aca="false">IF(COUNTIFS('Все игры'!A$3:A877,A26,'Все игры'!E$3:E877,"У/Победа")=0, "",COUNTIFS('Все игры'!A$3:A877,A26,'Все игры'!E$3:E877,"У/Победа") )</f>
        <v/>
      </c>
      <c r="H26" s="76" t="str">
        <f aca="false">IF(COUNTIFS('Все игры'!A$3:A877,A26,'Все игры'!E$3:E877,"У/Проигрыш")=0, "",COUNTIFS('Все игры'!A$3:A877,A26,'Все игры'!E$3:E877,"У/Проигрыш") )</f>
        <v/>
      </c>
      <c r="I26" s="120" t="n">
        <f aca="false">M26+N26+Q26+R26</f>
        <v>1</v>
      </c>
      <c r="J26" s="120" t="n">
        <f aca="false">K26+L26+O26+P26</f>
        <v>0</v>
      </c>
      <c r="K26" s="120" t="n">
        <f aca="false">COUNTIFS('Все игры'!A$3:A877,A26,'Все игры'!C$3:C877,"&gt;0",'Все игры'!B$3:B877,"Мафия")</f>
        <v>0</v>
      </c>
      <c r="L26" s="120" t="n">
        <f aca="false">IFERROR(__xludf.dummyfunction("COUNTBLANK(FILTER('Все игры'!A$3:C877,'Все игры'!A$3:A877=A26,'Все игры'!C$3:C877 &lt; 1,'Все игры'!B$3:B877=""Мафия""))"),0)</f>
        <v>0</v>
      </c>
      <c r="M26" s="120" t="n">
        <f aca="false">COUNTIFS('Все игры'!A$3:A877,A26,'Все игры'!C$3:C877,"&gt;0",'Все игры'!B$3:B877,"Шериф")</f>
        <v>0</v>
      </c>
      <c r="N26" s="120" t="n">
        <f aca="false">IFERROR(__xludf.dummyfunction("COUNTBLANK(FILTER('Все игры'!A$3:C877,'Все игры'!A$3:A877=A26,'Все игры'!C$3:C877 &lt; 1,'Все игры'!B$3:B877=""Шериф""))"),1)</f>
        <v>1</v>
      </c>
      <c r="O26" s="120" t="n">
        <f aca="false">COUNTIFS('Все игры'!A$3:A877,A26,'Все игры'!C$3:C877,"&gt;0",'Все игры'!B$3:B877,"Дон")</f>
        <v>0</v>
      </c>
      <c r="P26" s="122" t="n">
        <f aca="false">IFERROR(__xludf.dummyfunction("COUNTBLANK(FILTER('Все игры'!A$3:C877,'Все игры'!A$3:A877=A26,'Все игры'!C$3:C877 &lt; 1,'Все игры'!B$3:B877=""Дон""))"),0)</f>
        <v>0</v>
      </c>
      <c r="Q26" s="120" t="n">
        <f aca="false">COUNTIFS('Все игры'!A$3:A877,A26,'Все игры'!C$3:C877,"&gt;0",'Все игры'!B$3:B877,"Мирный")</f>
        <v>0</v>
      </c>
      <c r="R26" s="120" t="n">
        <f aca="false">IFERROR(__xludf.dummyfunction("COUNTBLANK(FILTER('Все игры'!A$3:C877,'Все игры'!A$3:A877=A26,'Все игры'!C$3:C877 &lt; 1,'Все игры'!B$3:B877=""Мирный""))"),0)</f>
        <v>0</v>
      </c>
      <c r="S26" s="123" t="n">
        <f aca="false">IFERROR((K26+M26+O26+Q26)/(I26+J26), )</f>
        <v>0</v>
      </c>
      <c r="T26" s="123" t="n">
        <f aca="false">IFERROR((M26+Q26)/I26, )</f>
        <v>0</v>
      </c>
      <c r="U26" s="123" t="n">
        <f aca="false">IFERROR((K26+O26)/J26, )</f>
        <v>0</v>
      </c>
      <c r="V26" s="123" t="n">
        <f aca="false">IFERROR(K26/(K26+L26), )</f>
        <v>0</v>
      </c>
      <c r="W26" s="123" t="n">
        <f aca="false">IFERROR(M26/(M26+N26), )</f>
        <v>0</v>
      </c>
      <c r="X26" s="123" t="n">
        <f aca="false">IFERROR(O26/(O26+P26), )</f>
        <v>0</v>
      </c>
      <c r="Y26" s="123" t="n">
        <f aca="false">IFERROR(Q26/(Q26+R26), )</f>
        <v>0</v>
      </c>
      <c r="Z26" s="124" t="n">
        <f aca="false">SUMIFS('Все игры'!D$3:D877,'Все игры'!A$3:A877,A26)</f>
        <v>0</v>
      </c>
      <c r="AA26" s="124" t="n">
        <f aca="false">SUMIFS('Все игры'!D$3:D877,'Все игры'!A$3:A877,A26,'Все игры'!B$3:B877,"Мафия")</f>
        <v>0</v>
      </c>
      <c r="AB26" s="124" t="n">
        <f aca="false">SUMIFS('Все игры'!D$3:D877,'Все игры'!A$3:A877,A26,'Все игры'!B$3:B877,"Шериф")</f>
        <v>0</v>
      </c>
      <c r="AC26" s="124" t="n">
        <f aca="false">SUMIFS('Все игры'!D$3:D877,'Все игры'!A$3:A877,A26,'Все игры'!B$3:B877,"Дон")</f>
        <v>0</v>
      </c>
      <c r="AD26" s="124" t="n">
        <f aca="false">SUMIFS('Все игры'!D$3:D877,'Все игры'!A$3:A877,A26,'Все игры'!B$3:B877,"Мирный")</f>
        <v>0</v>
      </c>
      <c r="AE26" s="124" t="n">
        <f aca="false">IFERROR(Z26/B26,0)</f>
        <v>0</v>
      </c>
      <c r="AF26" s="124" t="n">
        <f aca="false">IFERROR(AA26/(K26+L26),0)</f>
        <v>0</v>
      </c>
      <c r="AG26" s="124" t="n">
        <f aca="false">IFERROR(AB26/(M26+N26),0)</f>
        <v>0</v>
      </c>
      <c r="AH26" s="124" t="n">
        <f aca="false">IFERROR(AC26/(O26+P26),0)</f>
        <v>0</v>
      </c>
      <c r="AI26" s="124" t="n">
        <f aca="false">IFERROR(AD26/(Q26+R26),0)</f>
        <v>0</v>
      </c>
    </row>
    <row r="27" customFormat="false" ht="15.75" hidden="false" customHeight="false" outlineLevel="0" collapsed="false">
      <c r="A27" s="216" t="s">
        <v>173</v>
      </c>
      <c r="B27" s="120" t="n">
        <f aca="false">SUM(I27:J27)</f>
        <v>18</v>
      </c>
      <c r="C27" s="4" t="str">
        <f aca="false">IF(COUNTIFS('Все игры'!A$3:A877,A27,'Все игры'!F$3:F877,"=1")=0, "", COUNTIFS('Все игры'!A$3:A877,A27,'Все игры'!F$3:F877,"=1"))</f>
        <v/>
      </c>
      <c r="D27" s="76" t="str">
        <f aca="false">IF(COUNTIFS('Все игры'!A$3:A877,A27,'Все игры'!F$3:F877,"=0,50")=0, "", COUNTIFS('Все игры'!A$3:A877,A27,'Все игры'!F$3:F877,"=0,50"))</f>
        <v/>
      </c>
      <c r="E27" s="76" t="str">
        <f aca="false">IF(COUNTIFS('Все игры'!A$3:A877,A27,'Все игры'!E$3:E877,"ПУ")=0, "", COUNTIFS('Все игры'!A$3:A877,A27,'Все игры'!E$3:E877,"ПУ"))</f>
        <v/>
      </c>
      <c r="F27" s="121" t="n">
        <f aca="false">IFERROR(E27/I27,0)</f>
        <v>0</v>
      </c>
      <c r="G27" s="76" t="str">
        <f aca="false">IF(COUNTIFS('Все игры'!A$3:A877,A27,'Все игры'!E$3:E877,"У/Победа")=0, "",COUNTIFS('Все игры'!A$3:A877,A27,'Все игры'!E$3:E877,"У/Победа") )</f>
        <v/>
      </c>
      <c r="H27" s="76" t="str">
        <f aca="false">IF(COUNTIFS('Все игры'!A$3:A877,A27,'Все игры'!E$3:E877,"У/Проигрыш")=0, "",COUNTIFS('Все игры'!A$3:A877,A27,'Все игры'!E$3:E877,"У/Проигрыш") )</f>
        <v/>
      </c>
      <c r="I27" s="120" t="n">
        <f aca="false">M27+N27+Q27+R27</f>
        <v>14</v>
      </c>
      <c r="J27" s="120" t="n">
        <f aca="false">K27+L27+O27+P27</f>
        <v>4</v>
      </c>
      <c r="K27" s="120" t="n">
        <f aca="false">COUNTIFS('Все игры'!A$3:A877,A27,'Все игры'!C$3:C877,"&gt;0",'Все игры'!B$3:B877,"Мафия")</f>
        <v>0</v>
      </c>
      <c r="L27" s="120" t="n">
        <f aca="false">IFERROR(__xludf.dummyfunction("COUNTBLANK(FILTER('Все игры'!A$3:C877,'Все игры'!A$3:A877=A27,'Все игры'!C$3:C877 &lt; 1,'Все игры'!B$3:B877=""Мафия""))"),2)</f>
        <v>2</v>
      </c>
      <c r="M27" s="120" t="n">
        <f aca="false">COUNTIFS('Все игры'!A$3:A877,A27,'Все игры'!C$3:C877,"&gt;0",'Все игры'!B$3:B877,"Шериф")</f>
        <v>0</v>
      </c>
      <c r="N27" s="120" t="n">
        <f aca="false">IFERROR(__xludf.dummyfunction("COUNTBLANK(FILTER('Все игры'!A$3:C877,'Все игры'!A$3:A877=A27,'Все игры'!C$3:C877 &lt; 1,'Все игры'!B$3:B877=""Шериф""))"),1)</f>
        <v>1</v>
      </c>
      <c r="O27" s="120" t="n">
        <f aca="false">COUNTIFS('Все игры'!A$3:A877,A27,'Все игры'!C$3:C877,"&gt;0",'Все игры'!B$3:B877,"Дон")</f>
        <v>0</v>
      </c>
      <c r="P27" s="122" t="n">
        <f aca="false">IFERROR(__xludf.dummyfunction("COUNTBLANK(FILTER('Все игры'!A$3:C877,'Все игры'!A$3:A877=A27,'Все игры'!C$3:C877 &lt; 1,'Все игры'!B$3:B877=""Дон""))"),2)</f>
        <v>2</v>
      </c>
      <c r="Q27" s="120" t="n">
        <f aca="false">COUNTIFS('Все игры'!A$3:A877,A27,'Все игры'!C$3:C877,"&gt;0",'Все игры'!B$3:B877,"Мирный")</f>
        <v>0</v>
      </c>
      <c r="R27" s="120" t="n">
        <f aca="false">IFERROR(__xludf.dummyfunction("COUNTBLANK(FILTER('Все игры'!A$3:C877,'Все игры'!A$3:A877=A27,'Все игры'!C$3:C877 &lt; 1,'Все игры'!B$3:B877=""Мирный""))"),13)</f>
        <v>13</v>
      </c>
      <c r="S27" s="123" t="n">
        <f aca="false">IFERROR((K27+M27+O27+Q27)/(I27+J27), )</f>
        <v>0</v>
      </c>
      <c r="T27" s="123" t="n">
        <f aca="false">IFERROR((M27+Q27)/I27, )</f>
        <v>0</v>
      </c>
      <c r="U27" s="123" t="n">
        <f aca="false">IFERROR((K27+O27)/J27, )</f>
        <v>0</v>
      </c>
      <c r="V27" s="123" t="n">
        <f aca="false">IFERROR(K27/(K27+L27), )</f>
        <v>0</v>
      </c>
      <c r="W27" s="123" t="n">
        <f aca="false">IFERROR(M27/(M27+N27), )</f>
        <v>0</v>
      </c>
      <c r="X27" s="123" t="n">
        <f aca="false">IFERROR(O27/(O27+P27), )</f>
        <v>0</v>
      </c>
      <c r="Y27" s="123" t="n">
        <f aca="false">IFERROR(Q27/(Q27+R27), )</f>
        <v>0</v>
      </c>
      <c r="Z27" s="124" t="n">
        <f aca="false">SUMIFS('Все игры'!D$3:D877,'Все игры'!A$3:A877,A27)</f>
        <v>0</v>
      </c>
      <c r="AA27" s="124" t="n">
        <f aca="false">SUMIFS('Все игры'!D$3:D877,'Все игры'!A$3:A877,A27,'Все игры'!B$3:B877,"Мафия")</f>
        <v>0</v>
      </c>
      <c r="AB27" s="124" t="n">
        <f aca="false">SUMIFS('Все игры'!D$3:D877,'Все игры'!A$3:A877,A27,'Все игры'!B$3:B877,"Шериф")</f>
        <v>0</v>
      </c>
      <c r="AC27" s="124" t="n">
        <f aca="false">SUMIFS('Все игры'!D$3:D877,'Все игры'!A$3:A877,A27,'Все игры'!B$3:B877,"Дон")</f>
        <v>0</v>
      </c>
      <c r="AD27" s="124" t="n">
        <f aca="false">SUMIFS('Все игры'!D$3:D877,'Все игры'!A$3:A877,A27,'Все игры'!B$3:B877,"Мирный")</f>
        <v>0</v>
      </c>
      <c r="AE27" s="124" t="n">
        <f aca="false">IFERROR(Z27/B27,0)</f>
        <v>0</v>
      </c>
      <c r="AF27" s="124" t="n">
        <f aca="false">IFERROR(AA27/(K27+L27),0)</f>
        <v>0</v>
      </c>
      <c r="AG27" s="124" t="n">
        <f aca="false">IFERROR(AB27/(M27+N27),0)</f>
        <v>0</v>
      </c>
      <c r="AH27" s="124" t="n">
        <f aca="false">IFERROR(AC27/(O27+P27),0)</f>
        <v>0</v>
      </c>
      <c r="AI27" s="124" t="n">
        <f aca="false">IFERROR(AD27/(Q27+R27),0)</f>
        <v>0</v>
      </c>
    </row>
    <row r="28" customFormat="false" ht="15.75" hidden="false" customHeight="false" outlineLevel="0" collapsed="false">
      <c r="A28" s="216" t="s">
        <v>174</v>
      </c>
      <c r="B28" s="120" t="n">
        <f aca="false">SUM(I28:J28)</f>
        <v>15</v>
      </c>
      <c r="C28" s="4" t="str">
        <f aca="false">IF(COUNTIFS('Все игры'!A$3:A877,A28,'Все игры'!F$3:F877,"=1")=0, "", COUNTIFS('Все игры'!A$3:A877,A28,'Все игры'!F$3:F877,"=1"))</f>
        <v/>
      </c>
      <c r="D28" s="76" t="str">
        <f aca="false">IF(COUNTIFS('Все игры'!A$3:A877,A28,'Все игры'!F$3:F877,"=0,50")=0, "", COUNTIFS('Все игры'!A$3:A877,A28,'Все игры'!F$3:F877,"=0,50"))</f>
        <v/>
      </c>
      <c r="E28" s="76" t="str">
        <f aca="false">IF(COUNTIFS('Все игры'!A$3:A877,A28,'Все игры'!E$3:E877,"ПУ")=0, "", COUNTIFS('Все игры'!A$3:A877,A28,'Все игры'!E$3:E877,"ПУ"))</f>
        <v/>
      </c>
      <c r="F28" s="121" t="n">
        <f aca="false">IFERROR(E28/I28,0)</f>
        <v>0</v>
      </c>
      <c r="G28" s="76" t="str">
        <f aca="false">IF(COUNTIFS('Все игры'!A$3:A877,A28,'Все игры'!E$3:E877,"У/Победа")=0, "",COUNTIFS('Все игры'!A$3:A877,A28,'Все игры'!E$3:E877,"У/Победа") )</f>
        <v/>
      </c>
      <c r="H28" s="76" t="str">
        <f aca="false">IF(COUNTIFS('Все игры'!A$3:A877,A28,'Все игры'!E$3:E877,"У/Проигрыш")=0, "",COUNTIFS('Все игры'!A$3:A877,A28,'Все игры'!E$3:E877,"У/Проигрыш") )</f>
        <v/>
      </c>
      <c r="I28" s="120" t="n">
        <f aca="false">M28+N28+Q28+R28</f>
        <v>11</v>
      </c>
      <c r="J28" s="120" t="n">
        <f aca="false">K28+L28+O28+P28</f>
        <v>4</v>
      </c>
      <c r="K28" s="120" t="n">
        <f aca="false">COUNTIFS('Все игры'!A$3:A877,A28,'Все игры'!C$3:C877,"&gt;0",'Все игры'!B$3:B877,"Мафия")</f>
        <v>0</v>
      </c>
      <c r="L28" s="120" t="n">
        <f aca="false">IFERROR(__xludf.dummyfunction("COUNTBLANK(FILTER('Все игры'!A$3:C877,'Все игры'!A$3:A877=A28,'Все игры'!C$3:C877 &lt; 1,'Все игры'!B$3:B877=""Мафия""))"),2)</f>
        <v>2</v>
      </c>
      <c r="M28" s="120" t="n">
        <f aca="false">COUNTIFS('Все игры'!A$3:A877,A28,'Все игры'!C$3:C877,"&gt;0",'Все игры'!B$3:B877,"Шериф")</f>
        <v>0</v>
      </c>
      <c r="N28" s="120" t="n">
        <f aca="false">IFERROR(__xludf.dummyfunction("COUNTBLANK(FILTER('Все игры'!A$3:C877,'Все игры'!A$3:A877=A28,'Все игры'!C$3:C877 &lt; 1,'Все игры'!B$3:B877=""Шериф""))"),3)</f>
        <v>3</v>
      </c>
      <c r="O28" s="120" t="n">
        <f aca="false">COUNTIFS('Все игры'!A$3:A877,A28,'Все игры'!C$3:C877,"&gt;0",'Все игры'!B$3:B877,"Дон")</f>
        <v>0</v>
      </c>
      <c r="P28" s="122" t="n">
        <f aca="false">IFERROR(__xludf.dummyfunction("COUNTBLANK(FILTER('Все игры'!A$3:C877,'Все игры'!A$3:A877=A28,'Все игры'!C$3:C877 &lt; 1,'Все игры'!B$3:B877=""Дон""))"),2)</f>
        <v>2</v>
      </c>
      <c r="Q28" s="120" t="n">
        <f aca="false">COUNTIFS('Все игры'!A$3:A877,A28,'Все игры'!C$3:C877,"&gt;0",'Все игры'!B$3:B877,"Мирный")</f>
        <v>0</v>
      </c>
      <c r="R28" s="120" t="n">
        <f aca="false">IFERROR(__xludf.dummyfunction("COUNTBLANK(FILTER('Все игры'!A$3:C877,'Все игры'!A$3:A877=A28,'Все игры'!C$3:C877 &lt; 1,'Все игры'!B$3:B877=""Мирный""))"),8)</f>
        <v>8</v>
      </c>
      <c r="S28" s="123" t="n">
        <f aca="false">IFERROR((K28+M28+O28+Q28)/(I28+J28), )</f>
        <v>0</v>
      </c>
      <c r="T28" s="123" t="n">
        <f aca="false">IFERROR((M28+Q28)/I28, )</f>
        <v>0</v>
      </c>
      <c r="U28" s="123" t="n">
        <f aca="false">IFERROR((K28+O28)/J28, )</f>
        <v>0</v>
      </c>
      <c r="V28" s="123" t="n">
        <f aca="false">IFERROR(K28/(K28+L28), )</f>
        <v>0</v>
      </c>
      <c r="W28" s="123" t="n">
        <f aca="false">IFERROR(M28/(M28+N28), )</f>
        <v>0</v>
      </c>
      <c r="X28" s="123" t="n">
        <f aca="false">IFERROR(O28/(O28+P28), )</f>
        <v>0</v>
      </c>
      <c r="Y28" s="123" t="n">
        <f aca="false">IFERROR(Q28/(Q28+R28), )</f>
        <v>0</v>
      </c>
      <c r="Z28" s="124" t="n">
        <f aca="false">SUMIFS('Все игры'!D$3:D877,'Все игры'!A$3:A877,A28)</f>
        <v>0</v>
      </c>
      <c r="AA28" s="124" t="n">
        <f aca="false">SUMIFS('Все игры'!D$3:D877,'Все игры'!A$3:A877,A28,'Все игры'!B$3:B877,"Мафия")</f>
        <v>0</v>
      </c>
      <c r="AB28" s="124" t="n">
        <f aca="false">SUMIFS('Все игры'!D$3:D877,'Все игры'!A$3:A877,A28,'Все игры'!B$3:B877,"Шериф")</f>
        <v>0</v>
      </c>
      <c r="AC28" s="124" t="n">
        <f aca="false">SUMIFS('Все игры'!D$3:D877,'Все игры'!A$3:A877,A28,'Все игры'!B$3:B877,"Дон")</f>
        <v>0</v>
      </c>
      <c r="AD28" s="124" t="n">
        <f aca="false">SUMIFS('Все игры'!D$3:D877,'Все игры'!A$3:A877,A28,'Все игры'!B$3:B877,"Мирный")</f>
        <v>0</v>
      </c>
      <c r="AE28" s="124" t="n">
        <f aca="false">IFERROR(Z28/B28,0)</f>
        <v>0</v>
      </c>
      <c r="AF28" s="124" t="n">
        <f aca="false">IFERROR(AA28/(K28+L28),0)</f>
        <v>0</v>
      </c>
      <c r="AG28" s="124" t="n">
        <f aca="false">IFERROR(AB28/(M28+N28),0)</f>
        <v>0</v>
      </c>
      <c r="AH28" s="124" t="n">
        <f aca="false">IFERROR(AC28/(O28+P28),0)</f>
        <v>0</v>
      </c>
      <c r="AI28" s="124" t="n">
        <f aca="false">IFERROR(AD28/(Q28+R28),0)</f>
        <v>0</v>
      </c>
    </row>
    <row r="29" customFormat="false" ht="15.75" hidden="false" customHeight="false" outlineLevel="0" collapsed="false">
      <c r="A29" s="216" t="s">
        <v>168</v>
      </c>
      <c r="B29" s="120" t="n">
        <f aca="false">SUM(I29:J29)</f>
        <v>12</v>
      </c>
      <c r="C29" s="4" t="str">
        <f aca="false">IF(COUNTIFS('Все игры'!A$3:A877,A29,'Все игры'!F$3:F877,"=1")=0, "", COUNTIFS('Все игры'!A$3:A877,A29,'Все игры'!F$3:F877,"=1"))</f>
        <v/>
      </c>
      <c r="D29" s="76" t="str">
        <f aca="false">IF(COUNTIFS('Все игры'!A$3:A877,A29,'Все игры'!F$3:F877,"=0,50")=0, "", COUNTIFS('Все игры'!A$3:A877,A29,'Все игры'!F$3:F877,"=0,50"))</f>
        <v/>
      </c>
      <c r="E29" s="76" t="str">
        <f aca="false">IF(COUNTIFS('Все игры'!A$3:A877,A29,'Все игры'!E$3:E877,"ПУ")=0, "", COUNTIFS('Все игры'!A$3:A877,A29,'Все игры'!E$3:E877,"ПУ"))</f>
        <v/>
      </c>
      <c r="F29" s="121" t="n">
        <f aca="false">IFERROR(E29/I29,0)</f>
        <v>0</v>
      </c>
      <c r="G29" s="76" t="str">
        <f aca="false">IF(COUNTIFS('Все игры'!A$3:A877,A29,'Все игры'!E$3:E877,"У/Победа")=0, "",COUNTIFS('Все игры'!A$3:A877,A29,'Все игры'!E$3:E877,"У/Победа") )</f>
        <v/>
      </c>
      <c r="H29" s="76" t="str">
        <f aca="false">IF(COUNTIFS('Все игры'!A$3:A877,A29,'Все игры'!E$3:E877,"У/Проигрыш")=0, "",COUNTIFS('Все игры'!A$3:A877,A29,'Все игры'!E$3:E877,"У/Проигрыш") )</f>
        <v/>
      </c>
      <c r="I29" s="120" t="n">
        <f aca="false">M29+N29+Q29+R29</f>
        <v>10</v>
      </c>
      <c r="J29" s="120" t="n">
        <f aca="false">K29+L29+O29+P29</f>
        <v>2</v>
      </c>
      <c r="K29" s="120" t="n">
        <f aca="false">COUNTIFS('Все игры'!A$3:A877,A29,'Все игры'!C$3:C877,"&gt;0",'Все игры'!B$3:B877,"Мафия")</f>
        <v>0</v>
      </c>
      <c r="L29" s="120" t="n">
        <f aca="false">IFERROR(__xludf.dummyfunction("COUNTBLANK(FILTER('Все игры'!A$3:C877,'Все игры'!A$3:A877=A29,'Все игры'!C$3:C877 &lt; 1,'Все игры'!B$3:B877=""Мафия""))"),2)</f>
        <v>2</v>
      </c>
      <c r="M29" s="120" t="n">
        <f aca="false">COUNTIFS('Все игры'!A$3:A877,A29,'Все игры'!C$3:C877,"&gt;0",'Все игры'!B$3:B877,"Шериф")</f>
        <v>0</v>
      </c>
      <c r="N29" s="120" t="n">
        <f aca="false">IFERROR(__xludf.dummyfunction("COUNTBLANK(FILTER('Все игры'!A$3:C877,'Все игры'!A$3:A877=A29,'Все игры'!C$3:C877 &lt; 1,'Все игры'!B$3:B877=""Шериф""))"),1)</f>
        <v>1</v>
      </c>
      <c r="O29" s="120" t="n">
        <f aca="false">COUNTIFS('Все игры'!A$3:A877,A29,'Все игры'!C$3:C877,"&gt;0",'Все игры'!B$3:B877,"Дон")</f>
        <v>0</v>
      </c>
      <c r="P29" s="122" t="n">
        <f aca="false">IFERROR(__xludf.dummyfunction("COUNTBLANK(FILTER('Все игры'!A$3:C877,'Все игры'!A$3:A877=A29,'Все игры'!C$3:C877 &lt; 1,'Все игры'!B$3:B877=""Дон""))"),0)</f>
        <v>0</v>
      </c>
      <c r="Q29" s="120" t="n">
        <f aca="false">COUNTIFS('Все игры'!A$3:A877,A29,'Все игры'!C$3:C877,"&gt;0",'Все игры'!B$3:B877,"Мирный")</f>
        <v>0</v>
      </c>
      <c r="R29" s="120" t="n">
        <f aca="false">IFERROR(__xludf.dummyfunction("COUNTBLANK(FILTER('Все игры'!A$3:C877,'Все игры'!A$3:A877=A29,'Все игры'!C$3:C877 &lt; 1,'Все игры'!B$3:B877=""Мирный""))"),9)</f>
        <v>9</v>
      </c>
      <c r="S29" s="123" t="n">
        <f aca="false">IFERROR((K29+M29+O29+Q29)/(I29+J29), )</f>
        <v>0</v>
      </c>
      <c r="T29" s="123" t="n">
        <f aca="false">IFERROR((M29+Q29)/I29, )</f>
        <v>0</v>
      </c>
      <c r="U29" s="123" t="n">
        <f aca="false">IFERROR((K29+O29)/J29, )</f>
        <v>0</v>
      </c>
      <c r="V29" s="123" t="n">
        <f aca="false">IFERROR(K29/(K29+L29), )</f>
        <v>0</v>
      </c>
      <c r="W29" s="123" t="n">
        <f aca="false">IFERROR(M29/(M29+N29), )</f>
        <v>0</v>
      </c>
      <c r="X29" s="123" t="n">
        <f aca="false">IFERROR(O29/(O29+P29), )</f>
        <v>0</v>
      </c>
      <c r="Y29" s="123" t="n">
        <f aca="false">IFERROR(Q29/(Q29+R29), )</f>
        <v>0</v>
      </c>
      <c r="Z29" s="124" t="n">
        <f aca="false">SUMIFS('Все игры'!D$3:D877,'Все игры'!A$3:A877,A29)</f>
        <v>0</v>
      </c>
      <c r="AA29" s="124" t="n">
        <f aca="false">SUMIFS('Все игры'!D$3:D877,'Все игры'!A$3:A877,A29,'Все игры'!B$3:B877,"Мафия")</f>
        <v>0</v>
      </c>
      <c r="AB29" s="124" t="n">
        <f aca="false">SUMIFS('Все игры'!D$3:D877,'Все игры'!A$3:A877,A29,'Все игры'!B$3:B877,"Шериф")</f>
        <v>0</v>
      </c>
      <c r="AC29" s="124" t="n">
        <f aca="false">SUMIFS('Все игры'!D$3:D877,'Все игры'!A$3:A877,A29,'Все игры'!B$3:B877,"Дон")</f>
        <v>0</v>
      </c>
      <c r="AD29" s="124" t="n">
        <f aca="false">SUMIFS('Все игры'!D$3:D877,'Все игры'!A$3:A877,A29,'Все игры'!B$3:B877,"Мирный")</f>
        <v>0</v>
      </c>
      <c r="AE29" s="124" t="n">
        <f aca="false">IFERROR(Z29/B29,0)</f>
        <v>0</v>
      </c>
      <c r="AF29" s="124" t="n">
        <f aca="false">IFERROR(AA29/(K29+L29),0)</f>
        <v>0</v>
      </c>
      <c r="AG29" s="124" t="n">
        <f aca="false">IFERROR(AB29/(M29+N29),0)</f>
        <v>0</v>
      </c>
      <c r="AH29" s="124" t="n">
        <f aca="false">IFERROR(AC29/(O29+P29),0)</f>
        <v>0</v>
      </c>
      <c r="AI29" s="124" t="n">
        <f aca="false">IFERROR(AD29/(Q29+R29),0)</f>
        <v>0</v>
      </c>
    </row>
    <row r="30" customFormat="false" ht="15.75" hidden="false" customHeight="false" outlineLevel="0" collapsed="false">
      <c r="A30" s="216" t="s">
        <v>170</v>
      </c>
      <c r="B30" s="120" t="n">
        <f aca="false">SUM(I30:J30)</f>
        <v>4</v>
      </c>
      <c r="C30" s="4" t="str">
        <f aca="false">IF(COUNTIFS('Все игры'!A$3:A877,A30,'Все игры'!F$3:F877,"=1")=0, "", COUNTIFS('Все игры'!A$3:A877,A30,'Все игры'!F$3:F877,"=1"))</f>
        <v/>
      </c>
      <c r="D30" s="76" t="str">
        <f aca="false">IF(COUNTIFS('Все игры'!A$3:A877,A30,'Все игры'!F$3:F877,"=0,50")=0, "", COUNTIFS('Все игры'!A$3:A877,A30,'Все игры'!F$3:F877,"=0,50"))</f>
        <v/>
      </c>
      <c r="E30" s="76" t="str">
        <f aca="false">IF(COUNTIFS('Все игры'!A$3:A877,A30,'Все игры'!E$3:E877,"ПУ")=0, "", COUNTIFS('Все игры'!A$3:A877,A30,'Все игры'!E$3:E877,"ПУ"))</f>
        <v/>
      </c>
      <c r="F30" s="121" t="n">
        <f aca="false">IFERROR(E30/I30,0)</f>
        <v>0</v>
      </c>
      <c r="G30" s="76" t="str">
        <f aca="false">IF(COUNTIFS('Все игры'!A$3:A877,A30,'Все игры'!E$3:E877,"У/Победа")=0, "",COUNTIFS('Все игры'!A$3:A877,A30,'Все игры'!E$3:E877,"У/Победа") )</f>
        <v/>
      </c>
      <c r="H30" s="76" t="str">
        <f aca="false">IF(COUNTIFS('Все игры'!A$3:A877,A30,'Все игры'!E$3:E877,"У/Проигрыш")=0, "",COUNTIFS('Все игры'!A$3:A877,A30,'Все игры'!E$3:E877,"У/Проигрыш") )</f>
        <v/>
      </c>
      <c r="I30" s="120" t="n">
        <f aca="false">M30+N30+Q30+R30</f>
        <v>3</v>
      </c>
      <c r="J30" s="120" t="n">
        <f aca="false">K30+L30+O30+P30</f>
        <v>1</v>
      </c>
      <c r="K30" s="120" t="n">
        <f aca="false">COUNTIFS('Все игры'!A$3:A877,A30,'Все игры'!C$3:C877,"&gt;0",'Все игры'!B$3:B877,"Мафия")</f>
        <v>0</v>
      </c>
      <c r="L30" s="120" t="n">
        <f aca="false">IFERROR(__xludf.dummyfunction("COUNTBLANK(FILTER('Все игры'!A$3:C877,'Все игры'!A$3:A877=A30,'Все игры'!C$3:C877 &lt; 1,'Все игры'!B$3:B877=""Мафия""))"),0)</f>
        <v>0</v>
      </c>
      <c r="M30" s="120" t="n">
        <f aca="false">COUNTIFS('Все игры'!A$3:A877,A30,'Все игры'!C$3:C877,"&gt;0",'Все игры'!B$3:B877,"Шериф")</f>
        <v>0</v>
      </c>
      <c r="N30" s="120" t="n">
        <f aca="false">IFERROR(__xludf.dummyfunction("COUNTBLANK(FILTER('Все игры'!A$3:C877,'Все игры'!A$3:A877=A30,'Все игры'!C$3:C877 &lt; 1,'Все игры'!B$3:B877=""Шериф""))"),0)</f>
        <v>0</v>
      </c>
      <c r="O30" s="120" t="n">
        <f aca="false">COUNTIFS('Все игры'!A$3:A877,A30,'Все игры'!C$3:C877,"&gt;0",'Все игры'!B$3:B877,"Дон")</f>
        <v>0</v>
      </c>
      <c r="P30" s="122" t="n">
        <f aca="false">IFERROR(__xludf.dummyfunction("COUNTBLANK(FILTER('Все игры'!A$3:C877,'Все игры'!A$3:A877=A30,'Все игры'!C$3:C877 &lt; 1,'Все игры'!B$3:B877=""Дон""))"),1)</f>
        <v>1</v>
      </c>
      <c r="Q30" s="120" t="n">
        <f aca="false">COUNTIFS('Все игры'!A$3:A877,A30,'Все игры'!C$3:C877,"&gt;0",'Все игры'!B$3:B877,"Мирный")</f>
        <v>0</v>
      </c>
      <c r="R30" s="120" t="n">
        <f aca="false">IFERROR(__xludf.dummyfunction("COUNTBLANK(FILTER('Все игры'!A$3:C877,'Все игры'!A$3:A877=A30,'Все игры'!C$3:C877 &lt; 1,'Все игры'!B$3:B877=""Мирный""))"),3)</f>
        <v>3</v>
      </c>
      <c r="S30" s="123" t="n">
        <f aca="false">IFERROR((K30+M30+O30+Q30)/(I30+J30), )</f>
        <v>0</v>
      </c>
      <c r="T30" s="123" t="n">
        <f aca="false">IFERROR((M30+Q30)/I30, )</f>
        <v>0</v>
      </c>
      <c r="U30" s="123" t="n">
        <f aca="false">IFERROR((K30+O30)/J30, )</f>
        <v>0</v>
      </c>
      <c r="V30" s="123" t="n">
        <f aca="false">IFERROR(K30/(K30+L30), )</f>
        <v>0</v>
      </c>
      <c r="W30" s="123" t="n">
        <f aca="false">IFERROR(M30/(M30+N30), )</f>
        <v>0</v>
      </c>
      <c r="X30" s="123" t="n">
        <f aca="false">IFERROR(O30/(O30+P30), )</f>
        <v>0</v>
      </c>
      <c r="Y30" s="123" t="n">
        <f aca="false">IFERROR(Q30/(Q30+R30), )</f>
        <v>0</v>
      </c>
      <c r="Z30" s="124" t="n">
        <f aca="false">SUMIFS('Все игры'!D$3:D877,'Все игры'!A$3:A877,A30)</f>
        <v>0</v>
      </c>
      <c r="AA30" s="124" t="n">
        <f aca="false">SUMIFS('Все игры'!D$3:D877,'Все игры'!A$3:A877,A30,'Все игры'!B$3:B877,"Мафия")</f>
        <v>0</v>
      </c>
      <c r="AB30" s="124" t="n">
        <f aca="false">SUMIFS('Все игры'!D$3:D877,'Все игры'!A$3:A877,A30,'Все игры'!B$3:B877,"Шериф")</f>
        <v>0</v>
      </c>
      <c r="AC30" s="124" t="n">
        <f aca="false">SUMIFS('Все игры'!D$3:D877,'Все игры'!A$3:A877,A30,'Все игры'!B$3:B877,"Дон")</f>
        <v>0</v>
      </c>
      <c r="AD30" s="124" t="n">
        <f aca="false">SUMIFS('Все игры'!D$3:D877,'Все игры'!A$3:A877,A30,'Все игры'!B$3:B877,"Мирный")</f>
        <v>0</v>
      </c>
      <c r="AE30" s="124" t="n">
        <f aca="false">IFERROR(Z30/B30,0)</f>
        <v>0</v>
      </c>
      <c r="AF30" s="124" t="n">
        <f aca="false">IFERROR(AA30/(K30+L30),0)</f>
        <v>0</v>
      </c>
      <c r="AG30" s="124" t="n">
        <f aca="false">IFERROR(AB30/(M30+N30),0)</f>
        <v>0</v>
      </c>
      <c r="AH30" s="124" t="n">
        <f aca="false">IFERROR(AC30/(O30+P30),0)</f>
        <v>0</v>
      </c>
      <c r="AI30" s="124" t="n">
        <f aca="false">IFERROR(AD30/(Q30+R30),0)</f>
        <v>0</v>
      </c>
    </row>
    <row r="31" customFormat="false" ht="15.75" hidden="false" customHeight="false" outlineLevel="0" collapsed="false">
      <c r="A31" s="216" t="s">
        <v>79</v>
      </c>
      <c r="B31" s="120" t="n">
        <f aca="false">SUM(I31:J31)</f>
        <v>7</v>
      </c>
      <c r="C31" s="4" t="str">
        <f aca="false">IF(COUNTIFS('Все игры'!A$3:A877,A31,'Все игры'!F$3:F877,"=1")=0, "", COUNTIFS('Все игры'!A$3:A877,A31,'Все игры'!F$3:F877,"=1"))</f>
        <v/>
      </c>
      <c r="D31" s="76" t="str">
        <f aca="false">IF(COUNTIFS('Все игры'!A$3:A877,A31,'Все игры'!F$3:F877,"=0,50")=0, "", COUNTIFS('Все игры'!A$3:A877,A31,'Все игры'!F$3:F877,"=0,50"))</f>
        <v/>
      </c>
      <c r="E31" s="76" t="str">
        <f aca="false">IF(COUNTIFS('Все игры'!A$3:A877,A31,'Все игры'!E$3:E877,"ПУ")=0, "", COUNTIFS('Все игры'!A$3:A877,A31,'Все игры'!E$3:E877,"ПУ"))</f>
        <v/>
      </c>
      <c r="F31" s="121" t="n">
        <f aca="false">IFERROR(E31/I31,0)</f>
        <v>0</v>
      </c>
      <c r="G31" s="76" t="str">
        <f aca="false">IF(COUNTIFS('Все игры'!A$3:A877,A31,'Все игры'!E$3:E877,"У/Победа")=0, "",COUNTIFS('Все игры'!A$3:A877,A31,'Все игры'!E$3:E877,"У/Победа") )</f>
        <v/>
      </c>
      <c r="H31" s="76" t="str">
        <f aca="false">IF(COUNTIFS('Все игры'!A$3:A877,A31,'Все игры'!E$3:E877,"У/Проигрыш")=0, "",COUNTIFS('Все игры'!A$3:A877,A31,'Все игры'!E$3:E877,"У/Проигрыш") )</f>
        <v/>
      </c>
      <c r="I31" s="120" t="n">
        <f aca="false">M31+N31+Q31+R31</f>
        <v>3</v>
      </c>
      <c r="J31" s="120" t="n">
        <f aca="false">K31+L31+O31+P31</f>
        <v>4</v>
      </c>
      <c r="K31" s="120" t="n">
        <f aca="false">COUNTIFS('Все игры'!A$3:A877,A31,'Все игры'!C$3:C877,"&gt;0",'Все игры'!B$3:B877,"Мафия")</f>
        <v>0</v>
      </c>
      <c r="L31" s="120" t="n">
        <f aca="false">IFERROR(__xludf.dummyfunction("COUNTBLANK(FILTER('Все игры'!A$3:C877,'Все игры'!A$3:A877=A31,'Все игры'!C$3:C877 &lt; 1,'Все игры'!B$3:B877=""Мафия""))"),2)</f>
        <v>2</v>
      </c>
      <c r="M31" s="120" t="n">
        <f aca="false">COUNTIFS('Все игры'!A$3:A877,A31,'Все игры'!C$3:C877,"&gt;0",'Все игры'!B$3:B877,"Шериф")</f>
        <v>0</v>
      </c>
      <c r="N31" s="120" t="n">
        <f aca="false">IFERROR(__xludf.dummyfunction("COUNTBLANK(FILTER('Все игры'!A$3:C877,'Все игры'!A$3:A877=A31,'Все игры'!C$3:C877 &lt; 1,'Все игры'!B$3:B877=""Шериф""))"),1)</f>
        <v>1</v>
      </c>
      <c r="O31" s="120" t="n">
        <f aca="false">COUNTIFS('Все игры'!A$3:A877,A31,'Все игры'!C$3:C877,"&gt;0",'Все игры'!B$3:B877,"Дон")</f>
        <v>0</v>
      </c>
      <c r="P31" s="122" t="n">
        <f aca="false">IFERROR(__xludf.dummyfunction("COUNTBLANK(FILTER('Все игры'!A$3:C877,'Все игры'!A$3:A877=A31,'Все игры'!C$3:C877 &lt; 1,'Все игры'!B$3:B877=""Дон""))"),2)</f>
        <v>2</v>
      </c>
      <c r="Q31" s="120" t="n">
        <f aca="false">COUNTIFS('Все игры'!A$3:A877,A31,'Все игры'!C$3:C877,"&gt;0",'Все игры'!B$3:B877,"Мирный")</f>
        <v>0</v>
      </c>
      <c r="R31" s="120" t="n">
        <f aca="false">IFERROR(__xludf.dummyfunction("COUNTBLANK(FILTER('Все игры'!A$3:C877,'Все игры'!A$3:A877=A31,'Все игры'!C$3:C877 &lt; 1,'Все игры'!B$3:B877=""Мирный""))"),2)</f>
        <v>2</v>
      </c>
      <c r="S31" s="123" t="n">
        <f aca="false">IFERROR((K31+M31+O31+Q31)/(I31+J31), )</f>
        <v>0</v>
      </c>
      <c r="T31" s="123" t="n">
        <f aca="false">IFERROR((M31+Q31)/I31, )</f>
        <v>0</v>
      </c>
      <c r="U31" s="123" t="n">
        <f aca="false">IFERROR((K31+O31)/J31, )</f>
        <v>0</v>
      </c>
      <c r="V31" s="123" t="n">
        <f aca="false">IFERROR(K31/(K31+L31), )</f>
        <v>0</v>
      </c>
      <c r="W31" s="123" t="n">
        <f aca="false">IFERROR(M31/(M31+N31), )</f>
        <v>0</v>
      </c>
      <c r="X31" s="123" t="n">
        <f aca="false">IFERROR(O31/(O31+P31), )</f>
        <v>0</v>
      </c>
      <c r="Y31" s="123" t="n">
        <f aca="false">IFERROR(Q31/(Q31+R31), )</f>
        <v>0</v>
      </c>
      <c r="Z31" s="124" t="n">
        <f aca="false">SUMIFS('Все игры'!D$3:D877,'Все игры'!A$3:A877,A31)</f>
        <v>0</v>
      </c>
      <c r="AA31" s="124" t="n">
        <f aca="false">SUMIFS('Все игры'!D$3:D877,'Все игры'!A$3:A877,A31,'Все игры'!B$3:B877,"Мафия")</f>
        <v>0</v>
      </c>
      <c r="AB31" s="124" t="n">
        <f aca="false">SUMIFS('Все игры'!D$3:D877,'Все игры'!A$3:A877,A31,'Все игры'!B$3:B877,"Шериф")</f>
        <v>0</v>
      </c>
      <c r="AC31" s="124" t="n">
        <f aca="false">SUMIFS('Все игры'!D$3:D877,'Все игры'!A$3:A877,A31,'Все игры'!B$3:B877,"Дон")</f>
        <v>0</v>
      </c>
      <c r="AD31" s="124" t="n">
        <f aca="false">SUMIFS('Все игры'!D$3:D877,'Все игры'!A$3:A877,A31,'Все игры'!B$3:B877,"Мирный")</f>
        <v>0</v>
      </c>
      <c r="AE31" s="124" t="n">
        <f aca="false">IFERROR(Z31/B31,0)</f>
        <v>0</v>
      </c>
      <c r="AF31" s="124" t="n">
        <f aca="false">IFERROR(AA31/(K31+L31),0)</f>
        <v>0</v>
      </c>
      <c r="AG31" s="124" t="n">
        <f aca="false">IFERROR(AB31/(M31+N31),0)</f>
        <v>0</v>
      </c>
      <c r="AH31" s="124" t="n">
        <f aca="false">IFERROR(AC31/(O31+P31),0)</f>
        <v>0</v>
      </c>
      <c r="AI31" s="124" t="n">
        <f aca="false">IFERROR(AD31/(Q31+R31),0)</f>
        <v>0</v>
      </c>
    </row>
    <row r="32" customFormat="false" ht="15.75" hidden="false" customHeight="false" outlineLevel="0" collapsed="false">
      <c r="A32" s="216" t="s">
        <v>169</v>
      </c>
      <c r="B32" s="120" t="n">
        <f aca="false">SUM(I32:J32)</f>
        <v>7</v>
      </c>
      <c r="C32" s="4" t="str">
        <f aca="false">IF(COUNTIFS('Все игры'!A$3:A877,A32,'Все игры'!F$3:F877,"=1")=0, "", COUNTIFS('Все игры'!A$3:A877,A32,'Все игры'!F$3:F877,"=1"))</f>
        <v/>
      </c>
      <c r="D32" s="76" t="str">
        <f aca="false">IF(COUNTIFS('Все игры'!A$3:A877,A32,'Все игры'!F$3:F877,"=0,50")=0, "", COUNTIFS('Все игры'!A$3:A877,A32,'Все игры'!F$3:F877,"=0,50"))</f>
        <v/>
      </c>
      <c r="E32" s="76" t="str">
        <f aca="false">IF(COUNTIFS('Все игры'!A$3:A877,A32,'Все игры'!E$3:E877,"ПУ")=0, "", COUNTIFS('Все игры'!A$3:A877,A32,'Все игры'!E$3:E877,"ПУ"))</f>
        <v/>
      </c>
      <c r="F32" s="121" t="n">
        <f aca="false">IFERROR(E32/I32,0)</f>
        <v>0</v>
      </c>
      <c r="G32" s="76" t="str">
        <f aca="false">IF(COUNTIFS('Все игры'!A$3:A877,A32,'Все игры'!E$3:E877,"У/Победа")=0, "",COUNTIFS('Все игры'!A$3:A877,A32,'Все игры'!E$3:E877,"У/Победа") )</f>
        <v/>
      </c>
      <c r="H32" s="76" t="str">
        <f aca="false">IF(COUNTIFS('Все игры'!A$3:A877,A32,'Все игры'!E$3:E877,"У/Проигрыш")=0, "",COUNTIFS('Все игры'!A$3:A877,A32,'Все игры'!E$3:E877,"У/Проигрыш") )</f>
        <v/>
      </c>
      <c r="I32" s="120" t="n">
        <f aca="false">M32+N32+Q32+R32</f>
        <v>6</v>
      </c>
      <c r="J32" s="120" t="n">
        <f aca="false">K32+L32+O32+P32</f>
        <v>1</v>
      </c>
      <c r="K32" s="120" t="n">
        <f aca="false">COUNTIFS('Все игры'!A$3:A877,A32,'Все игры'!C$3:C877,"&gt;0",'Все игры'!B$3:B877,"Мафия")</f>
        <v>0</v>
      </c>
      <c r="L32" s="120" t="n">
        <f aca="false">IFERROR(__xludf.dummyfunction("COUNTBLANK(FILTER('Все игры'!A$3:C877,'Все игры'!A$3:A877=A32,'Все игры'!C$3:C877 &lt; 1,'Все игры'!B$3:B877=""Мафия""))"),1)</f>
        <v>1</v>
      </c>
      <c r="M32" s="120" t="n">
        <f aca="false">COUNTIFS('Все игры'!A$3:A877,A32,'Все игры'!C$3:C877,"&gt;0",'Все игры'!B$3:B877,"Шериф")</f>
        <v>0</v>
      </c>
      <c r="N32" s="120" t="n">
        <f aca="false">IFERROR(__xludf.dummyfunction("COUNTBLANK(FILTER('Все игры'!A$3:C877,'Все игры'!A$3:A877=A32,'Все игры'!C$3:C877 &lt; 1,'Все игры'!B$3:B877=""Шериф""))"),1)</f>
        <v>1</v>
      </c>
      <c r="O32" s="120" t="n">
        <f aca="false">COUNTIFS('Все игры'!A$3:A877,A32,'Все игры'!C$3:C877,"&gt;0",'Все игры'!B$3:B877,"Дон")</f>
        <v>0</v>
      </c>
      <c r="P32" s="122" t="n">
        <f aca="false">IFERROR(__xludf.dummyfunction("COUNTBLANK(FILTER('Все игры'!A$3:C877,'Все игры'!A$3:A877=A32,'Все игры'!C$3:C877 &lt; 1,'Все игры'!B$3:B877=""Дон""))"),0)</f>
        <v>0</v>
      </c>
      <c r="Q32" s="120" t="n">
        <f aca="false">COUNTIFS('Все игры'!A$3:A877,A32,'Все игры'!C$3:C877,"&gt;0",'Все игры'!B$3:B877,"Мирный")</f>
        <v>0</v>
      </c>
      <c r="R32" s="120" t="n">
        <f aca="false">IFERROR(__xludf.dummyfunction("COUNTBLANK(FILTER('Все игры'!A$3:C877,'Все игры'!A$3:A877=A32,'Все игры'!C$3:C877 &lt; 1,'Все игры'!B$3:B877=""Мирный""))"),5)</f>
        <v>5</v>
      </c>
      <c r="S32" s="123" t="n">
        <f aca="false">IFERROR((K32+M32+O32+Q32)/(I32+J32), )</f>
        <v>0</v>
      </c>
      <c r="T32" s="123" t="n">
        <f aca="false">IFERROR((M32+Q32)/I32, )</f>
        <v>0</v>
      </c>
      <c r="U32" s="123" t="n">
        <f aca="false">IFERROR((K32+O32)/J32, )</f>
        <v>0</v>
      </c>
      <c r="V32" s="123" t="n">
        <f aca="false">IFERROR(K32/(K32+L32), )</f>
        <v>0</v>
      </c>
      <c r="W32" s="123" t="n">
        <f aca="false">IFERROR(M32/(M32+N32), )</f>
        <v>0</v>
      </c>
      <c r="X32" s="123" t="n">
        <f aca="false">IFERROR(O32/(O32+P32), )</f>
        <v>0</v>
      </c>
      <c r="Y32" s="123" t="n">
        <f aca="false">IFERROR(Q32/(Q32+R32), )</f>
        <v>0</v>
      </c>
      <c r="Z32" s="124" t="n">
        <f aca="false">SUMIFS('Все игры'!D$3:D877,'Все игры'!A$3:A877,A32)</f>
        <v>0</v>
      </c>
      <c r="AA32" s="124" t="n">
        <f aca="false">SUMIFS('Все игры'!D$3:D877,'Все игры'!A$3:A877,A32,'Все игры'!B$3:B877,"Мафия")</f>
        <v>0</v>
      </c>
      <c r="AB32" s="124" t="n">
        <f aca="false">SUMIFS('Все игры'!D$3:D877,'Все игры'!A$3:A877,A32,'Все игры'!B$3:B877,"Шериф")</f>
        <v>0</v>
      </c>
      <c r="AC32" s="124" t="n">
        <f aca="false">SUMIFS('Все игры'!D$3:D877,'Все игры'!A$3:A877,A32,'Все игры'!B$3:B877,"Дон")</f>
        <v>0</v>
      </c>
      <c r="AD32" s="124" t="n">
        <f aca="false">SUMIFS('Все игры'!D$3:D877,'Все игры'!A$3:A877,A32,'Все игры'!B$3:B877,"Мирный")</f>
        <v>0</v>
      </c>
      <c r="AE32" s="124" t="n">
        <f aca="false">IFERROR(Z32/B32,0)</f>
        <v>0</v>
      </c>
      <c r="AF32" s="124" t="n">
        <f aca="false">IFERROR(AA32/(K32+L32),0)</f>
        <v>0</v>
      </c>
      <c r="AG32" s="124" t="n">
        <f aca="false">IFERROR(AB32/(M32+N32),0)</f>
        <v>0</v>
      </c>
      <c r="AH32" s="124" t="n">
        <f aca="false">IFERROR(AC32/(O32+P32),0)</f>
        <v>0</v>
      </c>
      <c r="AI32" s="124" t="n">
        <f aca="false">IFERROR(AD32/(Q32+R32),0)</f>
        <v>0</v>
      </c>
    </row>
    <row r="33" customFormat="false" ht="15.75" hidden="false" customHeight="false" outlineLevel="0" collapsed="false">
      <c r="A33" s="216" t="s">
        <v>39</v>
      </c>
      <c r="B33" s="120" t="n">
        <f aca="false">SUM(I33:J33)</f>
        <v>5</v>
      </c>
      <c r="C33" s="4" t="str">
        <f aca="false">IF(COUNTIFS('Все игры'!A$3:A877,A33,'Все игры'!F$3:F877,"=1")=0, "", COUNTIFS('Все игры'!A$3:A877,A33,'Все игры'!F$3:F877,"=1"))</f>
        <v/>
      </c>
      <c r="D33" s="76" t="str">
        <f aca="false">IF(COUNTIFS('Все игры'!A$3:A877,A33,'Все игры'!F$3:F877,"=0,50")=0, "", COUNTIFS('Все игры'!A$3:A877,A33,'Все игры'!F$3:F877,"=0,50"))</f>
        <v/>
      </c>
      <c r="E33" s="76" t="str">
        <f aca="false">IF(COUNTIFS('Все игры'!A$3:A877,A33,'Все игры'!E$3:E877,"ПУ")=0, "", COUNTIFS('Все игры'!A$3:A877,A33,'Все игры'!E$3:E877,"ПУ"))</f>
        <v/>
      </c>
      <c r="F33" s="121" t="n">
        <f aca="false">IFERROR(E33/I33,0)</f>
        <v>0</v>
      </c>
      <c r="G33" s="76" t="str">
        <f aca="false">IF(COUNTIFS('Все игры'!A$3:A877,A33,'Все игры'!E$3:E877,"У/Победа")=0, "",COUNTIFS('Все игры'!A$3:A877,A33,'Все игры'!E$3:E877,"У/Победа") )</f>
        <v/>
      </c>
      <c r="H33" s="76" t="str">
        <f aca="false">IF(COUNTIFS('Все игры'!A$3:A877,A33,'Все игры'!E$3:E877,"У/Проигрыш")=0, "",COUNTIFS('Все игры'!A$3:A877,A33,'Все игры'!E$3:E877,"У/Проигрыш") )</f>
        <v/>
      </c>
      <c r="I33" s="120" t="n">
        <f aca="false">M33+N33+Q33+R33</f>
        <v>3</v>
      </c>
      <c r="J33" s="120" t="n">
        <f aca="false">K33+L33+O33+P33</f>
        <v>2</v>
      </c>
      <c r="K33" s="120" t="n">
        <f aca="false">COUNTIFS('Все игры'!A$3:A877,A33,'Все игры'!C$3:C877,"&gt;0",'Все игры'!B$3:B877,"Мафия")</f>
        <v>0</v>
      </c>
      <c r="L33" s="120" t="n">
        <f aca="false">IFERROR(__xludf.dummyfunction("COUNTBLANK(FILTER('Все игры'!A$3:C877,'Все игры'!A$3:A877=A33,'Все игры'!C$3:C877 &lt; 1,'Все игры'!B$3:B877=""Мафия""))"),2)</f>
        <v>2</v>
      </c>
      <c r="M33" s="120" t="n">
        <f aca="false">COUNTIFS('Все игры'!A$3:A877,A33,'Все игры'!C$3:C877,"&gt;0",'Все игры'!B$3:B877,"Шериф")</f>
        <v>0</v>
      </c>
      <c r="N33" s="120" t="n">
        <f aca="false">IFERROR(__xludf.dummyfunction("COUNTBLANK(FILTER('Все игры'!A$3:C877,'Все игры'!A$3:A877=A33,'Все игры'!C$3:C877 &lt; 1,'Все игры'!B$3:B877=""Шериф""))"),0)</f>
        <v>0</v>
      </c>
      <c r="O33" s="120" t="n">
        <f aca="false">COUNTIFS('Все игры'!A$3:A877,A33,'Все игры'!C$3:C877,"&gt;0",'Все игры'!B$3:B877,"Дон")</f>
        <v>0</v>
      </c>
      <c r="P33" s="122" t="n">
        <f aca="false">IFERROR(__xludf.dummyfunction("COUNTBLANK(FILTER('Все игры'!A$3:C877,'Все игры'!A$3:A877=A33,'Все игры'!C$3:C877 &lt; 1,'Все игры'!B$3:B877=""Дон""))"),0)</f>
        <v>0</v>
      </c>
      <c r="Q33" s="120" t="n">
        <f aca="false">COUNTIFS('Все игры'!A$3:A877,A33,'Все игры'!C$3:C877,"&gt;0",'Все игры'!B$3:B877,"Мирный")</f>
        <v>0</v>
      </c>
      <c r="R33" s="120" t="n">
        <f aca="false">IFERROR(__xludf.dummyfunction("COUNTBLANK(FILTER('Все игры'!A$3:C877,'Все игры'!A$3:A877=A33,'Все игры'!C$3:C877 &lt; 1,'Все игры'!B$3:B877=""Мирный""))"),3)</f>
        <v>3</v>
      </c>
      <c r="S33" s="123" t="n">
        <f aca="false">IFERROR((K33+M33+O33+Q33)/(I33+J33), )</f>
        <v>0</v>
      </c>
      <c r="T33" s="123" t="n">
        <f aca="false">IFERROR((M33+Q33)/I33, )</f>
        <v>0</v>
      </c>
      <c r="U33" s="123" t="n">
        <f aca="false">IFERROR((K33+O33)/J33, )</f>
        <v>0</v>
      </c>
      <c r="V33" s="123" t="n">
        <f aca="false">IFERROR(K33/(K33+L33), )</f>
        <v>0</v>
      </c>
      <c r="W33" s="123" t="n">
        <f aca="false">IFERROR(M33/(M33+N33), )</f>
        <v>0</v>
      </c>
      <c r="X33" s="123" t="n">
        <f aca="false">IFERROR(O33/(O33+P33), )</f>
        <v>0</v>
      </c>
      <c r="Y33" s="123" t="n">
        <f aca="false">IFERROR(Q33/(Q33+R33), )</f>
        <v>0</v>
      </c>
      <c r="Z33" s="124" t="n">
        <f aca="false">SUMIFS('Все игры'!D$3:D877,'Все игры'!A$3:A877,A33)</f>
        <v>0</v>
      </c>
      <c r="AA33" s="124" t="n">
        <f aca="false">SUMIFS('Все игры'!D$3:D877,'Все игры'!A$3:A877,A33,'Все игры'!B$3:B877,"Мафия")</f>
        <v>0</v>
      </c>
      <c r="AB33" s="124" t="n">
        <f aca="false">SUMIFS('Все игры'!D$3:D877,'Все игры'!A$3:A877,A33,'Все игры'!B$3:B877,"Шериф")</f>
        <v>0</v>
      </c>
      <c r="AC33" s="124" t="n">
        <f aca="false">SUMIFS('Все игры'!D$3:D877,'Все игры'!A$3:A877,A33,'Все игры'!B$3:B877,"Дон")</f>
        <v>0</v>
      </c>
      <c r="AD33" s="124" t="n">
        <f aca="false">SUMIFS('Все игры'!D$3:D877,'Все игры'!A$3:A877,A33,'Все игры'!B$3:B877,"Мирный")</f>
        <v>0</v>
      </c>
      <c r="AE33" s="124" t="n">
        <f aca="false">IFERROR(Z33/B33,0)</f>
        <v>0</v>
      </c>
      <c r="AF33" s="124" t="n">
        <f aca="false">IFERROR(AA33/(K33+L33),0)</f>
        <v>0</v>
      </c>
      <c r="AG33" s="124" t="n">
        <f aca="false">IFERROR(AB33/(M33+N33),0)</f>
        <v>0</v>
      </c>
      <c r="AH33" s="124" t="n">
        <f aca="false">IFERROR(AC33/(O33+P33),0)</f>
        <v>0</v>
      </c>
      <c r="AI33" s="124" t="n">
        <f aca="false">IFERROR(AD33/(Q33+R33),0)</f>
        <v>0</v>
      </c>
    </row>
    <row r="34" customFormat="false" ht="15.75" hidden="false" customHeight="false" outlineLevel="0" collapsed="false">
      <c r="A34" s="216" t="s">
        <v>171</v>
      </c>
      <c r="B34" s="120" t="n">
        <f aca="false">SUM(I34:J34)</f>
        <v>13</v>
      </c>
      <c r="C34" s="4" t="str">
        <f aca="false">IF(COUNTIFS('Все игры'!A$3:A877,A34,'Все игры'!F$3:F877,"=1")=0, "", COUNTIFS('Все игры'!A$3:A877,A34,'Все игры'!F$3:F877,"=1"))</f>
        <v/>
      </c>
      <c r="D34" s="76" t="str">
        <f aca="false">IF(COUNTIFS('Все игры'!A$3:A877,A34,'Все игры'!F$3:F877,"=0,50")=0, "", COUNTIFS('Все игры'!A$3:A877,A34,'Все игры'!F$3:F877,"=0,50"))</f>
        <v/>
      </c>
      <c r="E34" s="76" t="str">
        <f aca="false">IF(COUNTIFS('Все игры'!A$3:A877,A34,'Все игры'!E$3:E877,"ПУ")=0, "", COUNTIFS('Все игры'!A$3:A877,A34,'Все игры'!E$3:E877,"ПУ"))</f>
        <v/>
      </c>
      <c r="F34" s="121" t="n">
        <f aca="false">IFERROR(E34/I34,0)</f>
        <v>0</v>
      </c>
      <c r="G34" s="76" t="str">
        <f aca="false">IF(COUNTIFS('Все игры'!A$3:A877,A34,'Все игры'!E$3:E877,"У/Победа")=0, "",COUNTIFS('Все игры'!A$3:A877,A34,'Все игры'!E$3:E877,"У/Победа") )</f>
        <v/>
      </c>
      <c r="H34" s="76" t="str">
        <f aca="false">IF(COUNTIFS('Все игры'!A$3:A877,A34,'Все игры'!E$3:E877,"У/Проигрыш")=0, "",COUNTIFS('Все игры'!A$3:A877,A34,'Все игры'!E$3:E877,"У/Проигрыш") )</f>
        <v/>
      </c>
      <c r="I34" s="120" t="n">
        <f aca="false">M34+N34+Q34+R34</f>
        <v>8</v>
      </c>
      <c r="J34" s="120" t="n">
        <f aca="false">K34+L34+O34+P34</f>
        <v>5</v>
      </c>
      <c r="K34" s="120" t="n">
        <f aca="false">COUNTIFS('Все игры'!A$3:A877,A34,'Все игры'!C$3:C877,"&gt;0",'Все игры'!B$3:B877,"Мафия")</f>
        <v>0</v>
      </c>
      <c r="L34" s="120" t="n">
        <f aca="false">IFERROR(__xludf.dummyfunction("COUNTBLANK(FILTER('Все игры'!A$3:C877,'Все игры'!A$3:A877=A34,'Все игры'!C$3:C877 &lt; 1,'Все игры'!B$3:B877=""Мафия""))"),5)</f>
        <v>5</v>
      </c>
      <c r="M34" s="120" t="n">
        <f aca="false">COUNTIFS('Все игры'!A$3:A877,A34,'Все игры'!C$3:C877,"&gt;0",'Все игры'!B$3:B877,"Шериф")</f>
        <v>0</v>
      </c>
      <c r="N34" s="120" t="n">
        <f aca="false">IFERROR(__xludf.dummyfunction("COUNTBLANK(FILTER('Все игры'!A$3:C877,'Все игры'!A$3:A877=A34,'Все игры'!C$3:C877 &lt; 1,'Все игры'!B$3:B877=""Шериф""))"),1)</f>
        <v>1</v>
      </c>
      <c r="O34" s="120" t="n">
        <f aca="false">COUNTIFS('Все игры'!A$3:A877,A34,'Все игры'!C$3:C877,"&gt;0",'Все игры'!B$3:B877,"Дон")</f>
        <v>0</v>
      </c>
      <c r="P34" s="122" t="n">
        <f aca="false">IFERROR(__xludf.dummyfunction("COUNTBLANK(FILTER('Все игры'!A$3:C877,'Все игры'!A$3:A877=A34,'Все игры'!C$3:C877 &lt; 1,'Все игры'!B$3:B877=""Дон""))"),0)</f>
        <v>0</v>
      </c>
      <c r="Q34" s="120" t="n">
        <f aca="false">COUNTIFS('Все игры'!A$3:A877,A34,'Все игры'!C$3:C877,"&gt;0",'Все игры'!B$3:B877,"Мирный")</f>
        <v>0</v>
      </c>
      <c r="R34" s="120" t="n">
        <f aca="false">IFERROR(__xludf.dummyfunction("COUNTBLANK(FILTER('Все игры'!A$3:C877,'Все игры'!A$3:A877=A34,'Все игры'!C$3:C877 &lt; 1,'Все игры'!B$3:B877=""Мирный""))"),7)</f>
        <v>7</v>
      </c>
      <c r="S34" s="123" t="n">
        <f aca="false">IFERROR((K34+M34+O34+Q34)/(I34+J34), )</f>
        <v>0</v>
      </c>
      <c r="T34" s="123" t="n">
        <f aca="false">IFERROR((M34+Q34)/I34, )</f>
        <v>0</v>
      </c>
      <c r="U34" s="123" t="n">
        <f aca="false">IFERROR((K34+O34)/J34, )</f>
        <v>0</v>
      </c>
      <c r="V34" s="123" t="n">
        <f aca="false">IFERROR(K34/(K34+L34), )</f>
        <v>0</v>
      </c>
      <c r="W34" s="123" t="n">
        <f aca="false">IFERROR(M34/(M34+N34), )</f>
        <v>0</v>
      </c>
      <c r="X34" s="123" t="n">
        <f aca="false">IFERROR(O34/(O34+P34), )</f>
        <v>0</v>
      </c>
      <c r="Y34" s="123" t="n">
        <f aca="false">IFERROR(Q34/(Q34+R34), )</f>
        <v>0</v>
      </c>
      <c r="Z34" s="124" t="n">
        <f aca="false">SUMIFS('Все игры'!D$3:D877,'Все игры'!A$3:A877,A34)</f>
        <v>0</v>
      </c>
      <c r="AA34" s="124" t="n">
        <f aca="false">SUMIFS('Все игры'!D$3:D877,'Все игры'!A$3:A877,A34,'Все игры'!B$3:B877,"Мафия")</f>
        <v>0</v>
      </c>
      <c r="AB34" s="124" t="n">
        <f aca="false">SUMIFS('Все игры'!D$3:D877,'Все игры'!A$3:A877,A34,'Все игры'!B$3:B877,"Шериф")</f>
        <v>0</v>
      </c>
      <c r="AC34" s="124" t="n">
        <f aca="false">SUMIFS('Все игры'!D$3:D877,'Все игры'!A$3:A877,A34,'Все игры'!B$3:B877,"Дон")</f>
        <v>0</v>
      </c>
      <c r="AD34" s="124" t="n">
        <f aca="false">SUMIFS('Все игры'!D$3:D877,'Все игры'!A$3:A877,A34,'Все игры'!B$3:B877,"Мирный")</f>
        <v>0</v>
      </c>
      <c r="AE34" s="124" t="n">
        <f aca="false">IFERROR(Z34/B34,0)</f>
        <v>0</v>
      </c>
      <c r="AF34" s="124" t="n">
        <f aca="false">IFERROR(AA34/(K34+L34),0)</f>
        <v>0</v>
      </c>
      <c r="AG34" s="124" t="n">
        <f aca="false">IFERROR(AB34/(M34+N34),0)</f>
        <v>0</v>
      </c>
      <c r="AH34" s="124" t="n">
        <f aca="false">IFERROR(AC34/(O34+P34),0)</f>
        <v>0</v>
      </c>
      <c r="AI34" s="124" t="n">
        <f aca="false">IFERROR(AD34/(Q34+R34),0)</f>
        <v>0</v>
      </c>
    </row>
    <row r="35" customFormat="false" ht="15.75" hidden="false" customHeight="false" outlineLevel="0" collapsed="false">
      <c r="A35" s="216" t="s">
        <v>178</v>
      </c>
      <c r="B35" s="120" t="n">
        <f aca="false">SUM(I35:J35)</f>
        <v>4</v>
      </c>
      <c r="C35" s="4" t="str">
        <f aca="false">IF(COUNTIFS('Все игры'!A$3:A877,A35,'Все игры'!F$3:F877,"=1")=0, "", COUNTIFS('Все игры'!A$3:A877,A35,'Все игры'!F$3:F877,"=1"))</f>
        <v/>
      </c>
      <c r="D35" s="76" t="str">
        <f aca="false">IF(COUNTIFS('Все игры'!A$3:A877,A35,'Все игры'!F$3:F877,"=0,50")=0, "", COUNTIFS('Все игры'!A$3:A877,A35,'Все игры'!F$3:F877,"=0,50"))</f>
        <v/>
      </c>
      <c r="E35" s="76" t="str">
        <f aca="false">IF(COUNTIFS('Все игры'!A$3:A877,A35,'Все игры'!E$3:E877,"ПУ")=0, "", COUNTIFS('Все игры'!A$3:A877,A35,'Все игры'!E$3:E877,"ПУ"))</f>
        <v/>
      </c>
      <c r="F35" s="121" t="n">
        <f aca="false">IFERROR(E35/I35,0)</f>
        <v>0</v>
      </c>
      <c r="G35" s="76" t="str">
        <f aca="false">IF(COUNTIFS('Все игры'!A$3:A877,A35,'Все игры'!E$3:E877,"У/Победа")=0, "",COUNTIFS('Все игры'!A$3:A877,A35,'Все игры'!E$3:E877,"У/Победа") )</f>
        <v/>
      </c>
      <c r="H35" s="76" t="str">
        <f aca="false">IF(COUNTIFS('Все игры'!A$3:A877,A35,'Все игры'!E$3:E877,"У/Проигрыш")=0, "",COUNTIFS('Все игры'!A$3:A877,A35,'Все игры'!E$3:E877,"У/Проигрыш") )</f>
        <v/>
      </c>
      <c r="I35" s="120" t="n">
        <f aca="false">M35+N35+Q35+R35</f>
        <v>3</v>
      </c>
      <c r="J35" s="120" t="n">
        <f aca="false">K35+L35+O35+P35</f>
        <v>1</v>
      </c>
      <c r="K35" s="120" t="n">
        <f aca="false">COUNTIFS('Все игры'!A$3:A877,A35,'Все игры'!C$3:C877,"&gt;0",'Все игры'!B$3:B877,"Мафия")</f>
        <v>0</v>
      </c>
      <c r="L35" s="120" t="n">
        <f aca="false">IFERROR(__xludf.dummyfunction("COUNTBLANK(FILTER('Все игры'!A$3:C877,'Все игры'!A$3:A877=A35,'Все игры'!C$3:C877 &lt; 1,'Все игры'!B$3:B877=""Мафия""))"),0)</f>
        <v>0</v>
      </c>
      <c r="M35" s="120" t="n">
        <f aca="false">COUNTIFS('Все игры'!A$3:A877,A35,'Все игры'!C$3:C877,"&gt;0",'Все игры'!B$3:B877,"Шериф")</f>
        <v>0</v>
      </c>
      <c r="N35" s="120" t="n">
        <f aca="false">IFERROR(__xludf.dummyfunction("COUNTBLANK(FILTER('Все игры'!A$3:C877,'Все игры'!A$3:A877=A35,'Все игры'!C$3:C877 &lt; 1,'Все игры'!B$3:B877=""Шериф""))"),1)</f>
        <v>1</v>
      </c>
      <c r="O35" s="120" t="n">
        <f aca="false">COUNTIFS('Все игры'!A$3:A877,A35,'Все игры'!C$3:C877,"&gt;0",'Все игры'!B$3:B877,"Дон")</f>
        <v>0</v>
      </c>
      <c r="P35" s="122" t="n">
        <f aca="false">IFERROR(__xludf.dummyfunction("COUNTBLANK(FILTER('Все игры'!A$3:C877,'Все игры'!A$3:A877=A35,'Все игры'!C$3:C877 &lt; 1,'Все игры'!B$3:B877=""Дон""))"),1)</f>
        <v>1</v>
      </c>
      <c r="Q35" s="120" t="n">
        <f aca="false">COUNTIFS('Все игры'!A$3:A877,A35,'Все игры'!C$3:C877,"&gt;0",'Все игры'!B$3:B877,"Мирный")</f>
        <v>0</v>
      </c>
      <c r="R35" s="120" t="n">
        <f aca="false">IFERROR(__xludf.dummyfunction("COUNTBLANK(FILTER('Все игры'!A$3:C877,'Все игры'!A$3:A877=A35,'Все игры'!C$3:C877 &lt; 1,'Все игры'!B$3:B877=""Мирный""))"),2)</f>
        <v>2</v>
      </c>
      <c r="S35" s="123" t="n">
        <f aca="false">IFERROR((K35+M35+O35+Q35)/(I35+J35), )</f>
        <v>0</v>
      </c>
      <c r="T35" s="123" t="n">
        <f aca="false">IFERROR((M35+Q35)/I35, )</f>
        <v>0</v>
      </c>
      <c r="U35" s="123" t="n">
        <f aca="false">IFERROR((K35+O35)/J35, )</f>
        <v>0</v>
      </c>
      <c r="V35" s="123" t="n">
        <f aca="false">IFERROR(K35/(K35+L35), )</f>
        <v>0</v>
      </c>
      <c r="W35" s="123" t="n">
        <f aca="false">IFERROR(M35/(M35+N35), )</f>
        <v>0</v>
      </c>
      <c r="X35" s="123" t="n">
        <f aca="false">IFERROR(O35/(O35+P35), )</f>
        <v>0</v>
      </c>
      <c r="Y35" s="123" t="n">
        <f aca="false">IFERROR(Q35/(Q35+R35), )</f>
        <v>0</v>
      </c>
      <c r="Z35" s="124" t="n">
        <f aca="false">SUMIFS('Все игры'!D$3:D877,'Все игры'!A$3:A877,A35)</f>
        <v>0</v>
      </c>
      <c r="AA35" s="124" t="n">
        <f aca="false">SUMIFS('Все игры'!D$3:D877,'Все игры'!A$3:A877,A35,'Все игры'!B$3:B877,"Мафия")</f>
        <v>0</v>
      </c>
      <c r="AB35" s="124" t="n">
        <f aca="false">SUMIFS('Все игры'!D$3:D877,'Все игры'!A$3:A877,A35,'Все игры'!B$3:B877,"Шериф")</f>
        <v>0</v>
      </c>
      <c r="AC35" s="124" t="n">
        <f aca="false">SUMIFS('Все игры'!D$3:D877,'Все игры'!A$3:A877,A35,'Все игры'!B$3:B877,"Дон")</f>
        <v>0</v>
      </c>
      <c r="AD35" s="124" t="n">
        <f aca="false">SUMIFS('Все игры'!D$3:D877,'Все игры'!A$3:A877,A35,'Все игры'!B$3:B877,"Мирный")</f>
        <v>0</v>
      </c>
      <c r="AE35" s="124" t="n">
        <f aca="false">IFERROR(Z35/B35,0)</f>
        <v>0</v>
      </c>
      <c r="AF35" s="124" t="n">
        <f aca="false">IFERROR(AA35/(K35+L35),0)</f>
        <v>0</v>
      </c>
      <c r="AG35" s="124" t="n">
        <f aca="false">IFERROR(AB35/(M35+N35),0)</f>
        <v>0</v>
      </c>
      <c r="AH35" s="124" t="n">
        <f aca="false">IFERROR(AC35/(O35+P35),0)</f>
        <v>0</v>
      </c>
      <c r="AI35" s="124" t="n">
        <f aca="false">IFERROR(AD35/(Q35+R35),0)</f>
        <v>0</v>
      </c>
    </row>
    <row r="36" customFormat="false" ht="15.75" hidden="false" customHeight="false" outlineLevel="0" collapsed="false">
      <c r="A36" s="216" t="s">
        <v>179</v>
      </c>
      <c r="B36" s="120" t="n">
        <f aca="false">SUM(I36:J36)</f>
        <v>7</v>
      </c>
      <c r="C36" s="4" t="str">
        <f aca="false">IF(COUNTIFS('Все игры'!A$3:A877,A36,'Все игры'!F$3:F877,"=1")=0, "", COUNTIFS('Все игры'!A$3:A877,A36,'Все игры'!F$3:F877,"=1"))</f>
        <v/>
      </c>
      <c r="D36" s="76" t="str">
        <f aca="false">IF(COUNTIFS('Все игры'!A$3:A877,A36,'Все игры'!F$3:F877,"=0,50")=0, "", COUNTIFS('Все игры'!A$3:A877,A36,'Все игры'!F$3:F877,"=0,50"))</f>
        <v/>
      </c>
      <c r="E36" s="76" t="str">
        <f aca="false">IF(COUNTIFS('Все игры'!A$3:A877,A36,'Все игры'!E$3:E877,"ПУ")=0, "", COUNTIFS('Все игры'!A$3:A877,A36,'Все игры'!E$3:E877,"ПУ"))</f>
        <v/>
      </c>
      <c r="F36" s="121" t="n">
        <f aca="false">IFERROR(E36/I36,0)</f>
        <v>0</v>
      </c>
      <c r="G36" s="76" t="str">
        <f aca="false">IF(COUNTIFS('Все игры'!A$3:A877,A36,'Все игры'!E$3:E877,"У/Победа")=0, "",COUNTIFS('Все игры'!A$3:A877,A36,'Все игры'!E$3:E877,"У/Победа") )</f>
        <v/>
      </c>
      <c r="H36" s="76" t="str">
        <f aca="false">IF(COUNTIFS('Все игры'!A$3:A877,A36,'Все игры'!E$3:E877,"У/Проигрыш")=0, "",COUNTIFS('Все игры'!A$3:A877,A36,'Все игры'!E$3:E877,"У/Проигрыш") )</f>
        <v/>
      </c>
      <c r="I36" s="120" t="n">
        <f aca="false">M36+N36+Q36+R36</f>
        <v>6</v>
      </c>
      <c r="J36" s="120" t="n">
        <f aca="false">K36+L36+O36+P36</f>
        <v>1</v>
      </c>
      <c r="K36" s="120" t="n">
        <f aca="false">COUNTIFS('Все игры'!A$3:A877,A36,'Все игры'!C$3:C877,"&gt;0",'Все игры'!B$3:B877,"Мафия")</f>
        <v>0</v>
      </c>
      <c r="L36" s="120" t="n">
        <f aca="false">IFERROR(__xludf.dummyfunction("COUNTBLANK(FILTER('Все игры'!A$3:C877,'Все игры'!A$3:A877=A36,'Все игры'!C$3:C877 &lt; 1,'Все игры'!B$3:B877=""Мафия""))"),1)</f>
        <v>1</v>
      </c>
      <c r="M36" s="120" t="n">
        <f aca="false">COUNTIFS('Все игры'!A$3:A877,A36,'Все игры'!C$3:C877,"&gt;0",'Все игры'!B$3:B877,"Шериф")</f>
        <v>0</v>
      </c>
      <c r="N36" s="120" t="n">
        <f aca="false">IFERROR(__xludf.dummyfunction("COUNTBLANK(FILTER('Все игры'!A$3:C877,'Все игры'!A$3:A877=A36,'Все игры'!C$3:C877 &lt; 1,'Все игры'!B$3:B877=""Шериф""))"),1)</f>
        <v>1</v>
      </c>
      <c r="O36" s="120" t="n">
        <f aca="false">COUNTIFS('Все игры'!A$3:A877,A36,'Все игры'!C$3:C877,"&gt;0",'Все игры'!B$3:B877,"Дон")</f>
        <v>0</v>
      </c>
      <c r="P36" s="122" t="n">
        <f aca="false">IFERROR(__xludf.dummyfunction("COUNTBLANK(FILTER('Все игры'!A$3:C877,'Все игры'!A$3:A877=A36,'Все игры'!C$3:C877 &lt; 1,'Все игры'!B$3:B877=""Дон""))"),0)</f>
        <v>0</v>
      </c>
      <c r="Q36" s="120" t="n">
        <f aca="false">COUNTIFS('Все игры'!A$3:A877,A36,'Все игры'!C$3:C877,"&gt;0",'Все игры'!B$3:B877,"Мирный")</f>
        <v>0</v>
      </c>
      <c r="R36" s="120" t="n">
        <f aca="false">IFERROR(__xludf.dummyfunction("COUNTBLANK(FILTER('Все игры'!A$3:C877,'Все игры'!A$3:A877=A36,'Все игры'!C$3:C877 &lt; 1,'Все игры'!B$3:B877=""Мирный""))"),5)</f>
        <v>5</v>
      </c>
      <c r="S36" s="123" t="n">
        <f aca="false">IFERROR((K36+M36+O36+Q36)/(I36+J36), )</f>
        <v>0</v>
      </c>
      <c r="T36" s="123" t="n">
        <f aca="false">IFERROR((M36+Q36)/I36, )</f>
        <v>0</v>
      </c>
      <c r="U36" s="123" t="n">
        <f aca="false">IFERROR((K36+O36)/J36, )</f>
        <v>0</v>
      </c>
      <c r="V36" s="123" t="n">
        <f aca="false">IFERROR(K36/(K36+L36), )</f>
        <v>0</v>
      </c>
      <c r="W36" s="123" t="n">
        <f aca="false">IFERROR(M36/(M36+N36), )</f>
        <v>0</v>
      </c>
      <c r="X36" s="123" t="n">
        <f aca="false">IFERROR(O36/(O36+P36), )</f>
        <v>0</v>
      </c>
      <c r="Y36" s="123" t="n">
        <f aca="false">IFERROR(Q36/(Q36+R36), )</f>
        <v>0</v>
      </c>
      <c r="Z36" s="124" t="n">
        <f aca="false">SUMIFS('Все игры'!D$3:D877,'Все игры'!A$3:A877,A36)</f>
        <v>0</v>
      </c>
      <c r="AA36" s="124" t="n">
        <f aca="false">SUMIFS('Все игры'!D$3:D877,'Все игры'!A$3:A877,A36,'Все игры'!B$3:B877,"Мафия")</f>
        <v>0</v>
      </c>
      <c r="AB36" s="124" t="n">
        <f aca="false">SUMIFS('Все игры'!D$3:D877,'Все игры'!A$3:A877,A36,'Все игры'!B$3:B877,"Шериф")</f>
        <v>0</v>
      </c>
      <c r="AC36" s="124" t="n">
        <f aca="false">SUMIFS('Все игры'!D$3:D877,'Все игры'!A$3:A877,A36,'Все игры'!B$3:B877,"Дон")</f>
        <v>0</v>
      </c>
      <c r="AD36" s="124" t="n">
        <f aca="false">SUMIFS('Все игры'!D$3:D877,'Все игры'!A$3:A877,A36,'Все игры'!B$3:B877,"Мирный")</f>
        <v>0</v>
      </c>
      <c r="AE36" s="124" t="n">
        <f aca="false">IFERROR(Z36/B36,0)</f>
        <v>0</v>
      </c>
      <c r="AF36" s="124" t="n">
        <f aca="false">IFERROR(AA36/(K36+L36),0)</f>
        <v>0</v>
      </c>
      <c r="AG36" s="124" t="n">
        <f aca="false">IFERROR(AB36/(M36+N36),0)</f>
        <v>0</v>
      </c>
      <c r="AH36" s="124" t="n">
        <f aca="false">IFERROR(AC36/(O36+P36),0)</f>
        <v>0</v>
      </c>
      <c r="AI36" s="124" t="n">
        <f aca="false">IFERROR(AD36/(Q36+R36),0)</f>
        <v>0</v>
      </c>
    </row>
    <row r="37" customFormat="false" ht="15.75" hidden="false" customHeight="false" outlineLevel="0" collapsed="false">
      <c r="A37" s="216" t="s">
        <v>177</v>
      </c>
      <c r="B37" s="120" t="n">
        <f aca="false">SUM(I37:J37)</f>
        <v>7</v>
      </c>
      <c r="C37" s="4" t="str">
        <f aca="false">IF(COUNTIFS('Все игры'!A$3:A877,A37,'Все игры'!F$3:F877,"=1")=0, "", COUNTIFS('Все игры'!A$3:A877,A37,'Все игры'!F$3:F877,"=1"))</f>
        <v/>
      </c>
      <c r="D37" s="76" t="str">
        <f aca="false">IF(COUNTIFS('Все игры'!A$3:A877,A37,'Все игры'!F$3:F877,"=0,50")=0, "", COUNTIFS('Все игры'!A$3:A877,A37,'Все игры'!F$3:F877,"=0,50"))</f>
        <v/>
      </c>
      <c r="E37" s="76" t="str">
        <f aca="false">IF(COUNTIFS('Все игры'!A$3:A877,A37,'Все игры'!E$3:E877,"ПУ")=0, "", COUNTIFS('Все игры'!A$3:A877,A37,'Все игры'!E$3:E877,"ПУ"))</f>
        <v/>
      </c>
      <c r="F37" s="121" t="n">
        <f aca="false">IFERROR(E37/I37,0)</f>
        <v>0</v>
      </c>
      <c r="G37" s="76" t="str">
        <f aca="false">IF(COUNTIFS('Все игры'!A$3:A877,A37,'Все игры'!E$3:E877,"У/Победа")=0, "",COUNTIFS('Все игры'!A$3:A877,A37,'Все игры'!E$3:E877,"У/Победа") )</f>
        <v/>
      </c>
      <c r="H37" s="76" t="str">
        <f aca="false">IF(COUNTIFS('Все игры'!A$3:A877,A37,'Все игры'!E$3:E877,"У/Проигрыш")=0, "",COUNTIFS('Все игры'!A$3:A877,A37,'Все игры'!E$3:E877,"У/Проигрыш") )</f>
        <v/>
      </c>
      <c r="I37" s="120" t="n">
        <f aca="false">M37+N37+Q37+R37</f>
        <v>5</v>
      </c>
      <c r="J37" s="120" t="n">
        <f aca="false">K37+L37+O37+P37</f>
        <v>2</v>
      </c>
      <c r="K37" s="120" t="n">
        <f aca="false">COUNTIFS('Все игры'!A$3:A877,A37,'Все игры'!C$3:C877,"&gt;0",'Все игры'!B$3:B877,"Мафия")</f>
        <v>0</v>
      </c>
      <c r="L37" s="120" t="n">
        <f aca="false">IFERROR(__xludf.dummyfunction("COUNTBLANK(FILTER('Все игры'!A$3:C877,'Все игры'!A$3:A877=A37,'Все игры'!C$3:C877 &lt; 1,'Все игры'!B$3:B877=""Мафия""))"),2)</f>
        <v>2</v>
      </c>
      <c r="M37" s="120" t="n">
        <f aca="false">COUNTIFS('Все игры'!A$3:A877,A37,'Все игры'!C$3:C877,"&gt;0",'Все игры'!B$3:B877,"Шериф")</f>
        <v>0</v>
      </c>
      <c r="N37" s="120" t="n">
        <f aca="false">IFERROR(__xludf.dummyfunction("COUNTBLANK(FILTER('Все игры'!A$3:C877,'Все игры'!A$3:A877=A37,'Все игры'!C$3:C877 &lt; 1,'Все игры'!B$3:B877=""Шериф""))"),0)</f>
        <v>0</v>
      </c>
      <c r="O37" s="120" t="n">
        <f aca="false">COUNTIFS('Все игры'!A$3:A877,A37,'Все игры'!C$3:C877,"&gt;0",'Все игры'!B$3:B877,"Дон")</f>
        <v>0</v>
      </c>
      <c r="P37" s="122" t="n">
        <f aca="false">IFERROR(__xludf.dummyfunction("COUNTBLANK(FILTER('Все игры'!A$3:C877,'Все игры'!A$3:A877=A37,'Все игры'!C$3:C877 &lt; 1,'Все игры'!B$3:B877=""Дон""))"),0)</f>
        <v>0</v>
      </c>
      <c r="Q37" s="120" t="n">
        <f aca="false">COUNTIFS('Все игры'!A$3:A877,A37,'Все игры'!C$3:C877,"&gt;0",'Все игры'!B$3:B877,"Мирный")</f>
        <v>0</v>
      </c>
      <c r="R37" s="120" t="n">
        <f aca="false">IFERROR(__xludf.dummyfunction("COUNTBLANK(FILTER('Все игры'!A$3:C877,'Все игры'!A$3:A877=A37,'Все игры'!C$3:C877 &lt; 1,'Все игры'!B$3:B877=""Мирный""))"),5)</f>
        <v>5</v>
      </c>
      <c r="S37" s="123" t="n">
        <f aca="false">IFERROR((K37+M37+O37+Q37)/(I37+J37), )</f>
        <v>0</v>
      </c>
      <c r="T37" s="123" t="n">
        <f aca="false">IFERROR((M37+Q37)/I37, )</f>
        <v>0</v>
      </c>
      <c r="U37" s="123" t="n">
        <f aca="false">IFERROR((K37+O37)/J37, )</f>
        <v>0</v>
      </c>
      <c r="V37" s="123" t="n">
        <f aca="false">IFERROR(K37/(K37+L37), )</f>
        <v>0</v>
      </c>
      <c r="W37" s="123" t="n">
        <f aca="false">IFERROR(M37/(M37+N37), )</f>
        <v>0</v>
      </c>
      <c r="X37" s="123" t="n">
        <f aca="false">IFERROR(O37/(O37+P37), )</f>
        <v>0</v>
      </c>
      <c r="Y37" s="123" t="n">
        <f aca="false">IFERROR(Q37/(Q37+R37), )</f>
        <v>0</v>
      </c>
      <c r="Z37" s="124" t="n">
        <f aca="false">SUMIFS('Все игры'!D$3:D877,'Все игры'!A$3:A877,A37)</f>
        <v>0</v>
      </c>
      <c r="AA37" s="124" t="n">
        <f aca="false">SUMIFS('Все игры'!D$3:D877,'Все игры'!A$3:A877,A37,'Все игры'!B$3:B877,"Мафия")</f>
        <v>0</v>
      </c>
      <c r="AB37" s="124" t="n">
        <f aca="false">SUMIFS('Все игры'!D$3:D877,'Все игры'!A$3:A877,A37,'Все игры'!B$3:B877,"Шериф")</f>
        <v>0</v>
      </c>
      <c r="AC37" s="124" t="n">
        <f aca="false">SUMIFS('Все игры'!D$3:D877,'Все игры'!A$3:A877,A37,'Все игры'!B$3:B877,"Дон")</f>
        <v>0</v>
      </c>
      <c r="AD37" s="124" t="n">
        <f aca="false">SUMIFS('Все игры'!D$3:D877,'Все игры'!A$3:A877,A37,'Все игры'!B$3:B877,"Мирный")</f>
        <v>0</v>
      </c>
      <c r="AE37" s="124" t="n">
        <f aca="false">IFERROR(Z37/B37,0)</f>
        <v>0</v>
      </c>
      <c r="AF37" s="124" t="n">
        <f aca="false">IFERROR(AA37/(K37+L37),0)</f>
        <v>0</v>
      </c>
      <c r="AG37" s="124" t="n">
        <f aca="false">IFERROR(AB37/(M37+N37),0)</f>
        <v>0</v>
      </c>
      <c r="AH37" s="124" t="n">
        <f aca="false">IFERROR(AC37/(O37+P37),0)</f>
        <v>0</v>
      </c>
      <c r="AI37" s="124" t="n">
        <f aca="false">IFERROR(AD37/(Q37+R37),0)</f>
        <v>0</v>
      </c>
    </row>
    <row r="38" customFormat="false" ht="15.75" hidden="false" customHeight="false" outlineLevel="0" collapsed="false">
      <c r="A38" s="216" t="s">
        <v>180</v>
      </c>
      <c r="B38" s="120" t="n">
        <f aca="false">SUM(I38:J38)</f>
        <v>8</v>
      </c>
      <c r="C38" s="4" t="str">
        <f aca="false">IF(COUNTIFS('Все игры'!A$3:A877,A38,'Все игры'!F$3:F877,"=1")=0, "", COUNTIFS('Все игры'!A$3:A877,A38,'Все игры'!F$3:F877,"=1"))</f>
        <v/>
      </c>
      <c r="D38" s="76" t="str">
        <f aca="false">IF(COUNTIFS('Все игры'!A$3:A877,A38,'Все игры'!F$3:F877,"=0,50")=0, "", COUNTIFS('Все игры'!A$3:A877,A38,'Все игры'!F$3:F877,"=0,50"))</f>
        <v/>
      </c>
      <c r="E38" s="76" t="str">
        <f aca="false">IF(COUNTIFS('Все игры'!A$3:A877,A38,'Все игры'!E$3:E877,"ПУ")=0, "", COUNTIFS('Все игры'!A$3:A877,A38,'Все игры'!E$3:E877,"ПУ"))</f>
        <v/>
      </c>
      <c r="F38" s="121" t="n">
        <f aca="false">IFERROR(E38/I38,0)</f>
        <v>0</v>
      </c>
      <c r="G38" s="76" t="str">
        <f aca="false">IF(COUNTIFS('Все игры'!A$3:A877,A38,'Все игры'!E$3:E877,"У/Победа")=0, "",COUNTIFS('Все игры'!A$3:A877,A38,'Все игры'!E$3:E877,"У/Победа") )</f>
        <v/>
      </c>
      <c r="H38" s="76" t="str">
        <f aca="false">IF(COUNTIFS('Все игры'!A$3:A877,A38,'Все игры'!E$3:E877,"У/Проигрыш")=0, "",COUNTIFS('Все игры'!A$3:A877,A38,'Все игры'!E$3:E877,"У/Проигрыш") )</f>
        <v/>
      </c>
      <c r="I38" s="120" t="n">
        <f aca="false">M38+N38+Q38+R38</f>
        <v>7</v>
      </c>
      <c r="J38" s="120" t="n">
        <f aca="false">K38+L38+O38+P38</f>
        <v>1</v>
      </c>
      <c r="K38" s="120" t="n">
        <f aca="false">COUNTIFS('Все игры'!A$3:A877,A38,'Все игры'!C$3:C877,"&gt;0",'Все игры'!B$3:B877,"Мафия")</f>
        <v>0</v>
      </c>
      <c r="L38" s="120" t="n">
        <f aca="false">IFERROR(__xludf.dummyfunction("COUNTBLANK(FILTER('Все игры'!A$3:C877,'Все игры'!A$3:A877=A38,'Все игры'!C$3:C877 &lt; 1,'Все игры'!B$3:B877=""Мафия""))"),0)</f>
        <v>0</v>
      </c>
      <c r="M38" s="120" t="n">
        <f aca="false">COUNTIFS('Все игры'!A$3:A877,A38,'Все игры'!C$3:C877,"&gt;0",'Все игры'!B$3:B877,"Шериф")</f>
        <v>0</v>
      </c>
      <c r="N38" s="120" t="n">
        <f aca="false">IFERROR(__xludf.dummyfunction("COUNTBLANK(FILTER('Все игры'!A$3:C877,'Все игры'!A$3:A877=A38,'Все игры'!C$3:C877 &lt; 1,'Все игры'!B$3:B877=""Шериф""))"),0)</f>
        <v>0</v>
      </c>
      <c r="O38" s="120" t="n">
        <f aca="false">COUNTIFS('Все игры'!A$3:A877,A38,'Все игры'!C$3:C877,"&gt;0",'Все игры'!B$3:B877,"Дон")</f>
        <v>0</v>
      </c>
      <c r="P38" s="122" t="n">
        <f aca="false">IFERROR(__xludf.dummyfunction("COUNTBLANK(FILTER('Все игры'!A$3:C877,'Все игры'!A$3:A877=A38,'Все игры'!C$3:C877 &lt; 1,'Все игры'!B$3:B877=""Дон""))"),1)</f>
        <v>1</v>
      </c>
      <c r="Q38" s="120" t="n">
        <f aca="false">COUNTIFS('Все игры'!A$3:A877,A38,'Все игры'!C$3:C877,"&gt;0",'Все игры'!B$3:B877,"Мирный")</f>
        <v>0</v>
      </c>
      <c r="R38" s="120" t="n">
        <f aca="false">IFERROR(__xludf.dummyfunction("COUNTBLANK(FILTER('Все игры'!A$3:C877,'Все игры'!A$3:A877=A38,'Все игры'!C$3:C877 &lt; 1,'Все игры'!B$3:B877=""Мирный""))"),7)</f>
        <v>7</v>
      </c>
      <c r="S38" s="123" t="n">
        <f aca="false">IFERROR((K38+M38+O38+Q38)/(I38+J38), )</f>
        <v>0</v>
      </c>
      <c r="T38" s="123" t="n">
        <f aca="false">IFERROR((M38+Q38)/I38, )</f>
        <v>0</v>
      </c>
      <c r="U38" s="123" t="n">
        <f aca="false">IFERROR((K38+O38)/J38, )</f>
        <v>0</v>
      </c>
      <c r="V38" s="123" t="n">
        <f aca="false">IFERROR(K38/(K38+L38), )</f>
        <v>0</v>
      </c>
      <c r="W38" s="123" t="n">
        <f aca="false">IFERROR(M38/(M38+N38), )</f>
        <v>0</v>
      </c>
      <c r="X38" s="123" t="n">
        <f aca="false">IFERROR(O38/(O38+P38), )</f>
        <v>0</v>
      </c>
      <c r="Y38" s="123" t="n">
        <f aca="false">IFERROR(Q38/(Q38+R38), )</f>
        <v>0</v>
      </c>
      <c r="Z38" s="124" t="n">
        <f aca="false">SUMIFS('Все игры'!D$3:D877,'Все игры'!A$3:A877,A38)</f>
        <v>0</v>
      </c>
      <c r="AA38" s="124" t="n">
        <f aca="false">SUMIFS('Все игры'!D$3:D877,'Все игры'!A$3:A877,A38,'Все игры'!B$3:B877,"Мафия")</f>
        <v>0</v>
      </c>
      <c r="AB38" s="124" t="n">
        <f aca="false">SUMIFS('Все игры'!D$3:D877,'Все игры'!A$3:A877,A38,'Все игры'!B$3:B877,"Шериф")</f>
        <v>0</v>
      </c>
      <c r="AC38" s="124" t="n">
        <f aca="false">SUMIFS('Все игры'!D$3:D877,'Все игры'!A$3:A877,A38,'Все игры'!B$3:B877,"Дон")</f>
        <v>0</v>
      </c>
      <c r="AD38" s="124" t="n">
        <f aca="false">SUMIFS('Все игры'!D$3:D877,'Все игры'!A$3:A877,A38,'Все игры'!B$3:B877,"Мирный")</f>
        <v>0</v>
      </c>
      <c r="AE38" s="124" t="n">
        <f aca="false">IFERROR(Z38/B38,0)</f>
        <v>0</v>
      </c>
      <c r="AF38" s="124" t="n">
        <f aca="false">IFERROR(AA38/(K38+L38),0)</f>
        <v>0</v>
      </c>
      <c r="AG38" s="124" t="n">
        <f aca="false">IFERROR(AB38/(M38+N38),0)</f>
        <v>0</v>
      </c>
      <c r="AH38" s="124" t="n">
        <f aca="false">IFERROR(AC38/(O38+P38),0)</f>
        <v>0</v>
      </c>
      <c r="AI38" s="124" t="n">
        <f aca="false">IFERROR(AD38/(Q38+R38),0)</f>
        <v>0</v>
      </c>
    </row>
    <row r="39" customFormat="false" ht="15.75" hidden="false" customHeight="false" outlineLevel="0" collapsed="false">
      <c r="A39" s="216" t="s">
        <v>176</v>
      </c>
      <c r="B39" s="120" t="n">
        <f aca="false">SUM(I39:J39)</f>
        <v>4</v>
      </c>
      <c r="C39" s="4" t="str">
        <f aca="false">IF(COUNTIFS('Все игры'!A$3:A877,A39,'Все игры'!F$3:F877,"=1")=0, "", COUNTIFS('Все игры'!A$3:A877,A39,'Все игры'!F$3:F877,"=1"))</f>
        <v/>
      </c>
      <c r="D39" s="76" t="str">
        <f aca="false">IF(COUNTIFS('Все игры'!A$3:A877,A39,'Все игры'!F$3:F877,"=0,50")=0, "", COUNTIFS('Все игры'!A$3:A877,A39,'Все игры'!F$3:F877,"=0,50"))</f>
        <v/>
      </c>
      <c r="E39" s="76" t="str">
        <f aca="false">IF(COUNTIFS('Все игры'!A$3:A877,A39,'Все игры'!E$3:E877,"ПУ")=0, "", COUNTIFS('Все игры'!A$3:A877,A39,'Все игры'!E$3:E877,"ПУ"))</f>
        <v/>
      </c>
      <c r="F39" s="121" t="n">
        <f aca="false">IFERROR(E39/I39,0)</f>
        <v>0</v>
      </c>
      <c r="G39" s="76" t="str">
        <f aca="false">IF(COUNTIFS('Все игры'!A$3:A877,A39,'Все игры'!E$3:E877,"У/Победа")=0, "",COUNTIFS('Все игры'!A$3:A877,A39,'Все игры'!E$3:E877,"У/Победа") )</f>
        <v/>
      </c>
      <c r="H39" s="76" t="str">
        <f aca="false">IF(COUNTIFS('Все игры'!A$3:A877,A39,'Все игры'!E$3:E877,"У/Проигрыш")=0, "",COUNTIFS('Все игры'!A$3:A877,A39,'Все игры'!E$3:E877,"У/Проигрыш") )</f>
        <v/>
      </c>
      <c r="I39" s="120" t="n">
        <f aca="false">M39+N39+Q39+R39</f>
        <v>4</v>
      </c>
      <c r="J39" s="120" t="n">
        <f aca="false">K39+L39+O39+P39</f>
        <v>0</v>
      </c>
      <c r="K39" s="120" t="n">
        <f aca="false">COUNTIFS('Все игры'!A$3:A877,A39,'Все игры'!C$3:C877,"&gt;0",'Все игры'!B$3:B877,"Мафия")</f>
        <v>0</v>
      </c>
      <c r="L39" s="120" t="n">
        <f aca="false">IFERROR(__xludf.dummyfunction("COUNTBLANK(FILTER('Все игры'!A$3:C877,'Все игры'!A$3:A877=A39,'Все игры'!C$3:C877 &lt; 1,'Все игры'!B$3:B877=""Мафия""))"),0)</f>
        <v>0</v>
      </c>
      <c r="M39" s="120" t="n">
        <f aca="false">COUNTIFS('Все игры'!A$3:A877,A39,'Все игры'!C$3:C877,"&gt;0",'Все игры'!B$3:B877,"Шериф")</f>
        <v>0</v>
      </c>
      <c r="N39" s="120" t="n">
        <f aca="false">IFERROR(__xludf.dummyfunction("COUNTBLANK(FILTER('Все игры'!A$3:C877,'Все игры'!A$3:A877=A39,'Все игры'!C$3:C877 &lt; 1,'Все игры'!B$3:B877=""Шериф""))"),1)</f>
        <v>1</v>
      </c>
      <c r="O39" s="120" t="n">
        <f aca="false">COUNTIFS('Все игры'!A$3:A877,A39,'Все игры'!C$3:C877,"&gt;0",'Все игры'!B$3:B877,"Дон")</f>
        <v>0</v>
      </c>
      <c r="P39" s="122" t="n">
        <f aca="false">IFERROR(__xludf.dummyfunction("COUNTBLANK(FILTER('Все игры'!A$3:C877,'Все игры'!A$3:A877=A39,'Все игры'!C$3:C877 &lt; 1,'Все игры'!B$3:B877=""Дон""))"),0)</f>
        <v>0</v>
      </c>
      <c r="Q39" s="120" t="n">
        <f aca="false">COUNTIFS('Все игры'!A$3:A877,A39,'Все игры'!C$3:C877,"&gt;0",'Все игры'!B$3:B877,"Мирный")</f>
        <v>0</v>
      </c>
      <c r="R39" s="120" t="n">
        <f aca="false">IFERROR(__xludf.dummyfunction("COUNTBLANK(FILTER('Все игры'!A$3:C877,'Все игры'!A$3:A877=A39,'Все игры'!C$3:C877 &lt; 1,'Все игры'!B$3:B877=""Мирный""))"),3)</f>
        <v>3</v>
      </c>
      <c r="S39" s="123" t="n">
        <f aca="false">IFERROR((K39+M39+O39+Q39)/(I39+J39), )</f>
        <v>0</v>
      </c>
      <c r="T39" s="123" t="n">
        <f aca="false">IFERROR((M39+Q39)/I39, )</f>
        <v>0</v>
      </c>
      <c r="U39" s="123" t="n">
        <f aca="false">IFERROR((K39+O39)/J39, )</f>
        <v>0</v>
      </c>
      <c r="V39" s="123" t="n">
        <f aca="false">IFERROR(K39/(K39+L39), )</f>
        <v>0</v>
      </c>
      <c r="W39" s="123" t="n">
        <f aca="false">IFERROR(M39/(M39+N39), )</f>
        <v>0</v>
      </c>
      <c r="X39" s="123" t="n">
        <f aca="false">IFERROR(O39/(O39+P39), )</f>
        <v>0</v>
      </c>
      <c r="Y39" s="123" t="n">
        <f aca="false">IFERROR(Q39/(Q39+R39), )</f>
        <v>0</v>
      </c>
      <c r="Z39" s="124" t="n">
        <f aca="false">SUMIFS('Все игры'!D$3:D877,'Все игры'!A$3:A877,A39)</f>
        <v>0</v>
      </c>
      <c r="AA39" s="124" t="n">
        <f aca="false">SUMIFS('Все игры'!D$3:D877,'Все игры'!A$3:A877,A39,'Все игры'!B$3:B877,"Мафия")</f>
        <v>0</v>
      </c>
      <c r="AB39" s="124" t="n">
        <f aca="false">SUMIFS('Все игры'!D$3:D877,'Все игры'!A$3:A877,A39,'Все игры'!B$3:B877,"Шериф")</f>
        <v>0</v>
      </c>
      <c r="AC39" s="124" t="n">
        <f aca="false">SUMIFS('Все игры'!D$3:D877,'Все игры'!A$3:A877,A39,'Все игры'!B$3:B877,"Дон")</f>
        <v>0</v>
      </c>
      <c r="AD39" s="124" t="n">
        <f aca="false">SUMIFS('Все игры'!D$3:D877,'Все игры'!A$3:A877,A39,'Все игры'!B$3:B877,"Мирный")</f>
        <v>0</v>
      </c>
      <c r="AE39" s="124" t="n">
        <f aca="false">IFERROR(Z39/B39,0)</f>
        <v>0</v>
      </c>
      <c r="AF39" s="124" t="n">
        <f aca="false">IFERROR(AA39/(K39+L39),0)</f>
        <v>0</v>
      </c>
      <c r="AG39" s="124" t="n">
        <f aca="false">IFERROR(AB39/(M39+N39),0)</f>
        <v>0</v>
      </c>
      <c r="AH39" s="124" t="n">
        <f aca="false">IFERROR(AC39/(O39+P39),0)</f>
        <v>0</v>
      </c>
      <c r="AI39" s="124" t="n">
        <f aca="false">IFERROR(AD39/(Q39+R39),0)</f>
        <v>0</v>
      </c>
    </row>
    <row r="40" customFormat="false" ht="15.75" hidden="false" customHeight="false" outlineLevel="0" collapsed="false">
      <c r="A40" s="216" t="s">
        <v>32</v>
      </c>
      <c r="B40" s="120" t="n">
        <f aca="false">SUM(I40:J40)</f>
        <v>9</v>
      </c>
      <c r="C40" s="4" t="str">
        <f aca="false">IF(COUNTIFS('Все игры'!A$3:A877,A40,'Все игры'!F$3:F877,"=1")=0, "", COUNTIFS('Все игры'!A$3:A877,A40,'Все игры'!F$3:F877,"=1"))</f>
        <v/>
      </c>
      <c r="D40" s="76" t="str">
        <f aca="false">IF(COUNTIFS('Все игры'!A$3:A877,A40,'Все игры'!F$3:F877,"=0,50")=0, "", COUNTIFS('Все игры'!A$3:A877,A40,'Все игры'!F$3:F877,"=0,50"))</f>
        <v/>
      </c>
      <c r="E40" s="76" t="str">
        <f aca="false">IF(COUNTIFS('Все игры'!A$3:A877,A40,'Все игры'!E$3:E877,"ПУ")=0, "", COUNTIFS('Все игры'!A$3:A877,A40,'Все игры'!E$3:E877,"ПУ"))</f>
        <v/>
      </c>
      <c r="F40" s="121" t="n">
        <f aca="false">IFERROR(E40/I40,0)</f>
        <v>0</v>
      </c>
      <c r="G40" s="76" t="str">
        <f aca="false">IF(COUNTIFS('Все игры'!A$3:A877,A40,'Все игры'!E$3:E877,"У/Победа")=0, "",COUNTIFS('Все игры'!A$3:A877,A40,'Все игры'!E$3:E877,"У/Победа") )</f>
        <v/>
      </c>
      <c r="H40" s="76" t="str">
        <f aca="false">IF(COUNTIFS('Все игры'!A$3:A877,A40,'Все игры'!E$3:E877,"У/Проигрыш")=0, "",COUNTIFS('Все игры'!A$3:A877,A40,'Все игры'!E$3:E877,"У/Проигрыш") )</f>
        <v/>
      </c>
      <c r="I40" s="120" t="n">
        <f aca="false">M40+N40+Q40+R40</f>
        <v>7</v>
      </c>
      <c r="J40" s="120" t="n">
        <f aca="false">K40+L40+O40+P40</f>
        <v>2</v>
      </c>
      <c r="K40" s="120" t="n">
        <f aca="false">COUNTIFS('Все игры'!A$3:A877,A40,'Все игры'!C$3:C877,"&gt;0",'Все игры'!B$3:B877,"Мафия")</f>
        <v>0</v>
      </c>
      <c r="L40" s="120" t="n">
        <f aca="false">IFERROR(__xludf.dummyfunction("COUNTBLANK(FILTER('Все игры'!A$3:C877,'Все игры'!A$3:A877=A40,'Все игры'!C$3:C877 &lt; 1,'Все игры'!B$3:B877=""Мафия""))"),1)</f>
        <v>1</v>
      </c>
      <c r="M40" s="120" t="n">
        <f aca="false">COUNTIFS('Все игры'!A$3:A877,A40,'Все игры'!C$3:C877,"&gt;0",'Все игры'!B$3:B877,"Шериф")</f>
        <v>0</v>
      </c>
      <c r="N40" s="120" t="n">
        <f aca="false">IFERROR(__xludf.dummyfunction("COUNTBLANK(FILTER('Все игры'!A$3:C877,'Все игры'!A$3:A877=A40,'Все игры'!C$3:C877 &lt; 1,'Все игры'!B$3:B877=""Шериф""))"),1)</f>
        <v>1</v>
      </c>
      <c r="O40" s="120" t="n">
        <f aca="false">COUNTIFS('Все игры'!A$3:A877,A40,'Все игры'!C$3:C877,"&gt;0",'Все игры'!B$3:B877,"Дон")</f>
        <v>0</v>
      </c>
      <c r="P40" s="122" t="n">
        <f aca="false">IFERROR(__xludf.dummyfunction("COUNTBLANK(FILTER('Все игры'!A$3:C877,'Все игры'!A$3:A877=A40,'Все игры'!C$3:C877 &lt; 1,'Все игры'!B$3:B877=""Дон""))"),1)</f>
        <v>1</v>
      </c>
      <c r="Q40" s="120" t="n">
        <f aca="false">COUNTIFS('Все игры'!A$3:A877,A40,'Все игры'!C$3:C877,"&gt;0",'Все игры'!B$3:B877,"Мирный")</f>
        <v>0</v>
      </c>
      <c r="R40" s="120" t="n">
        <f aca="false">IFERROR(__xludf.dummyfunction("COUNTBLANK(FILTER('Все игры'!A$3:C877,'Все игры'!A$3:A877=A40,'Все игры'!C$3:C877 &lt; 1,'Все игры'!B$3:B877=""Мирный""))"),6)</f>
        <v>6</v>
      </c>
      <c r="S40" s="123" t="n">
        <f aca="false">IFERROR((K40+M40+O40+Q40)/(I40+J40), )</f>
        <v>0</v>
      </c>
      <c r="T40" s="123" t="n">
        <f aca="false">IFERROR((M40+Q40)/I40, )</f>
        <v>0</v>
      </c>
      <c r="U40" s="123" t="n">
        <f aca="false">IFERROR((K40+O40)/J40, )</f>
        <v>0</v>
      </c>
      <c r="V40" s="123" t="n">
        <f aca="false">IFERROR(K40/(K40+L40), )</f>
        <v>0</v>
      </c>
      <c r="W40" s="123" t="n">
        <f aca="false">IFERROR(M40/(M40+N40), )</f>
        <v>0</v>
      </c>
      <c r="X40" s="123" t="n">
        <f aca="false">IFERROR(O40/(O40+P40), )</f>
        <v>0</v>
      </c>
      <c r="Y40" s="123" t="n">
        <f aca="false">IFERROR(Q40/(Q40+R40), )</f>
        <v>0</v>
      </c>
      <c r="Z40" s="124" t="n">
        <f aca="false">SUMIFS('Все игры'!D$3:D877,'Все игры'!A$3:A877,A40)</f>
        <v>0</v>
      </c>
      <c r="AA40" s="124" t="n">
        <f aca="false">SUMIFS('Все игры'!D$3:D877,'Все игры'!A$3:A877,A40,'Все игры'!B$3:B877,"Мафия")</f>
        <v>0</v>
      </c>
      <c r="AB40" s="124" t="n">
        <f aca="false">SUMIFS('Все игры'!D$3:D877,'Все игры'!A$3:A877,A40,'Все игры'!B$3:B877,"Шериф")</f>
        <v>0</v>
      </c>
      <c r="AC40" s="124" t="n">
        <f aca="false">SUMIFS('Все игры'!D$3:D877,'Все игры'!A$3:A877,A40,'Все игры'!B$3:B877,"Дон")</f>
        <v>0</v>
      </c>
      <c r="AD40" s="124" t="n">
        <f aca="false">SUMIFS('Все игры'!D$3:D877,'Все игры'!A$3:A877,A40,'Все игры'!B$3:B877,"Мирный")</f>
        <v>0</v>
      </c>
      <c r="AE40" s="124" t="n">
        <f aca="false">IFERROR(Z40/B40,0)</f>
        <v>0</v>
      </c>
      <c r="AF40" s="124" t="n">
        <f aca="false">IFERROR(AA40/(K40+L40),0)</f>
        <v>0</v>
      </c>
      <c r="AG40" s="124" t="n">
        <f aca="false">IFERROR(AB40/(M40+N40),0)</f>
        <v>0</v>
      </c>
      <c r="AH40" s="124" t="n">
        <f aca="false">IFERROR(AC40/(O40+P40),0)</f>
        <v>0</v>
      </c>
      <c r="AI40" s="124" t="n">
        <f aca="false">IFERROR(AD40/(Q40+R40),0)</f>
        <v>0</v>
      </c>
    </row>
    <row r="41" customFormat="false" ht="15.75" hidden="false" customHeight="false" outlineLevel="0" collapsed="false">
      <c r="A41" s="216" t="s">
        <v>71</v>
      </c>
      <c r="B41" s="120" t="n">
        <f aca="false">SUM(I41:J41)</f>
        <v>6</v>
      </c>
      <c r="C41" s="4" t="str">
        <f aca="false">IF(COUNTIFS('Все игры'!A$3:A877,A41,'Все игры'!F$3:F877,"=1")=0, "", COUNTIFS('Все игры'!A$3:A877,A41,'Все игры'!F$3:F877,"=1"))</f>
        <v/>
      </c>
      <c r="D41" s="76" t="str">
        <f aca="false">IF(COUNTIFS('Все игры'!A$3:A877,A41,'Все игры'!F$3:F877,"=0,50")=0, "", COUNTIFS('Все игры'!A$3:A877,A41,'Все игры'!F$3:F877,"=0,50"))</f>
        <v/>
      </c>
      <c r="E41" s="76" t="str">
        <f aca="false">IF(COUNTIFS('Все игры'!A$3:A877,A41,'Все игры'!E$3:E877,"ПУ")=0, "", COUNTIFS('Все игры'!A$3:A877,A41,'Все игры'!E$3:E877,"ПУ"))</f>
        <v/>
      </c>
      <c r="F41" s="121" t="n">
        <f aca="false">IFERROR(E41/I41,0)</f>
        <v>0</v>
      </c>
      <c r="G41" s="76" t="str">
        <f aca="false">IF(COUNTIFS('Все игры'!A$3:A877,A41,'Все игры'!E$3:E877,"У/Победа")=0, "",COUNTIFS('Все игры'!A$3:A877,A41,'Все игры'!E$3:E877,"У/Победа") )</f>
        <v/>
      </c>
      <c r="H41" s="76" t="str">
        <f aca="false">IF(COUNTIFS('Все игры'!A$3:A877,A41,'Все игры'!E$3:E877,"У/Проигрыш")=0, "",COUNTIFS('Все игры'!A$3:A877,A41,'Все игры'!E$3:E877,"У/Проигрыш") )</f>
        <v/>
      </c>
      <c r="I41" s="120" t="n">
        <f aca="false">M41+N41+Q41+R41</f>
        <v>6</v>
      </c>
      <c r="J41" s="120" t="n">
        <f aca="false">K41+L41+O41+P41</f>
        <v>0</v>
      </c>
      <c r="K41" s="120" t="n">
        <f aca="false">COUNTIFS('Все игры'!A$3:A877,A41,'Все игры'!C$3:C877,"&gt;0",'Все игры'!B$3:B877,"Мафия")</f>
        <v>0</v>
      </c>
      <c r="L41" s="120" t="n">
        <f aca="false">IFERROR(__xludf.dummyfunction("COUNTBLANK(FILTER('Все игры'!A$3:C877,'Все игры'!A$3:A877=A41,'Все игры'!C$3:C877 &lt; 1,'Все игры'!B$3:B877=""Мафия""))"),0)</f>
        <v>0</v>
      </c>
      <c r="M41" s="120" t="n">
        <f aca="false">COUNTIFS('Все игры'!A$3:A877,A41,'Все игры'!C$3:C877,"&gt;0",'Все игры'!B$3:B877,"Шериф")</f>
        <v>0</v>
      </c>
      <c r="N41" s="120" t="n">
        <f aca="false">IFERROR(__xludf.dummyfunction("COUNTBLANK(FILTER('Все игры'!A$3:C877,'Все игры'!A$3:A877=A41,'Все игры'!C$3:C877 &lt; 1,'Все игры'!B$3:B877=""Шериф""))"),2)</f>
        <v>2</v>
      </c>
      <c r="O41" s="120" t="n">
        <f aca="false">COUNTIFS('Все игры'!A$3:A877,A41,'Все игры'!C$3:C877,"&gt;0",'Все игры'!B$3:B877,"Дон")</f>
        <v>0</v>
      </c>
      <c r="P41" s="122" t="n">
        <f aca="false">IFERROR(__xludf.dummyfunction("COUNTBLANK(FILTER('Все игры'!A$3:C877,'Все игры'!A$3:A877=A41,'Все игры'!C$3:C877 &lt; 1,'Все игры'!B$3:B877=""Дон""))"),0)</f>
        <v>0</v>
      </c>
      <c r="Q41" s="120" t="n">
        <f aca="false">COUNTIFS('Все игры'!A$3:A877,A41,'Все игры'!C$3:C877,"&gt;0",'Все игры'!B$3:B877,"Мирный")</f>
        <v>0</v>
      </c>
      <c r="R41" s="120" t="n">
        <f aca="false">IFERROR(__xludf.dummyfunction("COUNTBLANK(FILTER('Все игры'!A$3:C877,'Все игры'!A$3:A877=A41,'Все игры'!C$3:C877 &lt; 1,'Все игры'!B$3:B877=""Мирный""))"),4)</f>
        <v>4</v>
      </c>
      <c r="S41" s="123" t="n">
        <f aca="false">IFERROR((K41+M41+O41+Q41)/(I41+J41), )</f>
        <v>0</v>
      </c>
      <c r="T41" s="123" t="n">
        <f aca="false">IFERROR((M41+Q41)/I41, )</f>
        <v>0</v>
      </c>
      <c r="U41" s="123" t="n">
        <f aca="false">IFERROR((K41+O41)/J41, )</f>
        <v>0</v>
      </c>
      <c r="V41" s="123" t="n">
        <f aca="false">IFERROR(K41/(K41+L41), )</f>
        <v>0</v>
      </c>
      <c r="W41" s="123" t="n">
        <f aca="false">IFERROR(M41/(M41+N41), )</f>
        <v>0</v>
      </c>
      <c r="X41" s="123" t="n">
        <f aca="false">IFERROR(O41/(O41+P41), )</f>
        <v>0</v>
      </c>
      <c r="Y41" s="123" t="n">
        <f aca="false">IFERROR(Q41/(Q41+R41), )</f>
        <v>0</v>
      </c>
      <c r="Z41" s="124" t="n">
        <f aca="false">SUMIFS('Все игры'!D$3:D877,'Все игры'!A$3:A877,A41)</f>
        <v>0</v>
      </c>
      <c r="AA41" s="124" t="n">
        <f aca="false">SUMIFS('Все игры'!D$3:D877,'Все игры'!A$3:A877,A41,'Все игры'!B$3:B877,"Мафия")</f>
        <v>0</v>
      </c>
      <c r="AB41" s="124" t="n">
        <f aca="false">SUMIFS('Все игры'!D$3:D877,'Все игры'!A$3:A877,A41,'Все игры'!B$3:B877,"Шериф")</f>
        <v>0</v>
      </c>
      <c r="AC41" s="124" t="n">
        <f aca="false">SUMIFS('Все игры'!D$3:D877,'Все игры'!A$3:A877,A41,'Все игры'!B$3:B877,"Дон")</f>
        <v>0</v>
      </c>
      <c r="AD41" s="124" t="n">
        <f aca="false">SUMIFS('Все игры'!D$3:D877,'Все игры'!A$3:A877,A41,'Все игры'!B$3:B877,"Мирный")</f>
        <v>0</v>
      </c>
      <c r="AE41" s="124" t="n">
        <f aca="false">IFERROR(Z41/B41,0)</f>
        <v>0</v>
      </c>
      <c r="AF41" s="124" t="n">
        <f aca="false">IFERROR(AA41/(K41+L41),0)</f>
        <v>0</v>
      </c>
      <c r="AG41" s="124" t="n">
        <f aca="false">IFERROR(AB41/(M41+N41),0)</f>
        <v>0</v>
      </c>
      <c r="AH41" s="124" t="n">
        <f aca="false">IFERROR(AC41/(O41+P41),0)</f>
        <v>0</v>
      </c>
      <c r="AI41" s="124" t="n">
        <f aca="false">IFERROR(AD41/(Q41+R41),0)</f>
        <v>0</v>
      </c>
    </row>
    <row r="42" customFormat="false" ht="15.75" hidden="false" customHeight="false" outlineLevel="0" collapsed="false">
      <c r="A42" s="216" t="s">
        <v>188</v>
      </c>
      <c r="B42" s="120" t="n">
        <f aca="false">SUM(I42:J42)</f>
        <v>9</v>
      </c>
      <c r="C42" s="4" t="str">
        <f aca="false">IF(COUNTIFS('Все игры'!A$3:A877,A42,'Все игры'!F$3:F877,"=1")=0, "", COUNTIFS('Все игры'!A$3:A877,A42,'Все игры'!F$3:F877,"=1"))</f>
        <v/>
      </c>
      <c r="D42" s="76" t="str">
        <f aca="false">IF(COUNTIFS('Все игры'!A$3:A877,A42,'Все игры'!F$3:F877,"=0,50")=0, "", COUNTIFS('Все игры'!A$3:A877,A42,'Все игры'!F$3:F877,"=0,50"))</f>
        <v/>
      </c>
      <c r="E42" s="76" t="str">
        <f aca="false">IF(COUNTIFS('Все игры'!A$3:A877,A42,'Все игры'!E$3:E877,"ПУ")=0, "", COUNTIFS('Все игры'!A$3:A877,A42,'Все игры'!E$3:E877,"ПУ"))</f>
        <v/>
      </c>
      <c r="F42" s="121" t="n">
        <f aca="false">IFERROR(E42/I42,0)</f>
        <v>0</v>
      </c>
      <c r="G42" s="76" t="str">
        <f aca="false">IF(COUNTIFS('Все игры'!A$3:A877,A42,'Все игры'!E$3:E877,"У/Победа")=0, "",COUNTIFS('Все игры'!A$3:A877,A42,'Все игры'!E$3:E877,"У/Победа") )</f>
        <v/>
      </c>
      <c r="H42" s="76" t="str">
        <f aca="false">IF(COUNTIFS('Все игры'!A$3:A877,A42,'Все игры'!E$3:E877,"У/Проигрыш")=0, "",COUNTIFS('Все игры'!A$3:A877,A42,'Все игры'!E$3:E877,"У/Проигрыш") )</f>
        <v/>
      </c>
      <c r="I42" s="120" t="n">
        <f aca="false">M42+N42+Q42+R42</f>
        <v>8</v>
      </c>
      <c r="J42" s="120" t="n">
        <f aca="false">K42+L42+O42+P42</f>
        <v>1</v>
      </c>
      <c r="K42" s="120" t="n">
        <f aca="false">COUNTIFS('Все игры'!A$3:A877,A42,'Все игры'!C$3:C877,"&gt;0",'Все игры'!B$3:B877,"Мафия")</f>
        <v>0</v>
      </c>
      <c r="L42" s="120" t="n">
        <f aca="false">IFERROR(__xludf.dummyfunction("COUNTBLANK(FILTER('Все игры'!A$3:C877,'Все игры'!A$3:A877=A42,'Все игры'!C$3:C877 &lt; 1,'Все игры'!B$3:B877=""Мафия""))"),0)</f>
        <v>0</v>
      </c>
      <c r="M42" s="120" t="n">
        <f aca="false">COUNTIFS('Все игры'!A$3:A877,A42,'Все игры'!C$3:C877,"&gt;0",'Все игры'!B$3:B877,"Шериф")</f>
        <v>0</v>
      </c>
      <c r="N42" s="120" t="n">
        <f aca="false">IFERROR(__xludf.dummyfunction("COUNTBLANK(FILTER('Все игры'!A$3:C877,'Все игры'!A$3:A877=A42,'Все игры'!C$3:C877 &lt; 1,'Все игры'!B$3:B877=""Шериф""))"),1)</f>
        <v>1</v>
      </c>
      <c r="O42" s="120" t="n">
        <f aca="false">COUNTIFS('Все игры'!A$3:A877,A42,'Все игры'!C$3:C877,"&gt;0",'Все игры'!B$3:B877,"Дон")</f>
        <v>0</v>
      </c>
      <c r="P42" s="122" t="n">
        <f aca="false">IFERROR(__xludf.dummyfunction("COUNTBLANK(FILTER('Все игры'!A$3:C877,'Все игры'!A$3:A877=A42,'Все игры'!C$3:C877 &lt; 1,'Все игры'!B$3:B877=""Дон""))"),1)</f>
        <v>1</v>
      </c>
      <c r="Q42" s="120" t="n">
        <f aca="false">COUNTIFS('Все игры'!A$3:A877,A42,'Все игры'!C$3:C877,"&gt;0",'Все игры'!B$3:B877,"Мирный")</f>
        <v>0</v>
      </c>
      <c r="R42" s="120" t="n">
        <f aca="false">IFERROR(__xludf.dummyfunction("COUNTBLANK(FILTER('Все игры'!A$3:C877,'Все игры'!A$3:A877=A42,'Все игры'!C$3:C877 &lt; 1,'Все игры'!B$3:B877=""Мирный""))"),7)</f>
        <v>7</v>
      </c>
      <c r="S42" s="123" t="n">
        <f aca="false">IFERROR((K42+M42+O42+Q42)/(I42+J42), )</f>
        <v>0</v>
      </c>
      <c r="T42" s="123" t="n">
        <f aca="false">IFERROR((M42+Q42)/I42, )</f>
        <v>0</v>
      </c>
      <c r="U42" s="123" t="n">
        <f aca="false">IFERROR((K42+O42)/J42, )</f>
        <v>0</v>
      </c>
      <c r="V42" s="123" t="n">
        <f aca="false">IFERROR(K42/(K42+L42), )</f>
        <v>0</v>
      </c>
      <c r="W42" s="123" t="n">
        <f aca="false">IFERROR(M42/(M42+N42), )</f>
        <v>0</v>
      </c>
      <c r="X42" s="123" t="n">
        <f aca="false">IFERROR(O42/(O42+P42), )</f>
        <v>0</v>
      </c>
      <c r="Y42" s="123" t="n">
        <f aca="false">IFERROR(Q42/(Q42+R42), )</f>
        <v>0</v>
      </c>
      <c r="Z42" s="124" t="n">
        <f aca="false">SUMIFS('Все игры'!D$3:D877,'Все игры'!A$3:A877,A42)</f>
        <v>0</v>
      </c>
      <c r="AA42" s="124" t="n">
        <f aca="false">SUMIFS('Все игры'!D$3:D877,'Все игры'!A$3:A877,A42,'Все игры'!B$3:B877,"Мафия")</f>
        <v>0</v>
      </c>
      <c r="AB42" s="124" t="n">
        <f aca="false">SUMIFS('Все игры'!D$3:D877,'Все игры'!A$3:A877,A42,'Все игры'!B$3:B877,"Шериф")</f>
        <v>0</v>
      </c>
      <c r="AC42" s="124" t="n">
        <f aca="false">SUMIFS('Все игры'!D$3:D877,'Все игры'!A$3:A877,A42,'Все игры'!B$3:B877,"Дон")</f>
        <v>0</v>
      </c>
      <c r="AD42" s="124" t="n">
        <f aca="false">SUMIFS('Все игры'!D$3:D877,'Все игры'!A$3:A877,A42,'Все игры'!B$3:B877,"Мирный")</f>
        <v>0</v>
      </c>
      <c r="AE42" s="124" t="n">
        <f aca="false">IFERROR(Z42/B42,0)</f>
        <v>0</v>
      </c>
      <c r="AF42" s="124" t="n">
        <f aca="false">IFERROR(AA42/(K42+L42),0)</f>
        <v>0</v>
      </c>
      <c r="AG42" s="124" t="n">
        <f aca="false">IFERROR(AB42/(M42+N42),0)</f>
        <v>0</v>
      </c>
      <c r="AH42" s="124" t="n">
        <f aca="false">IFERROR(AC42/(O42+P42),0)</f>
        <v>0</v>
      </c>
      <c r="AI42" s="124" t="n">
        <f aca="false">IFERROR(AD42/(Q42+R42),0)</f>
        <v>0</v>
      </c>
    </row>
    <row r="43" customFormat="false" ht="15.75" hidden="false" customHeight="false" outlineLevel="0" collapsed="false">
      <c r="A43" s="216" t="s">
        <v>189</v>
      </c>
      <c r="B43" s="120" t="n">
        <f aca="false">SUM(I43:J43)</f>
        <v>2</v>
      </c>
      <c r="C43" s="4" t="str">
        <f aca="false">IF(COUNTIFS('Все игры'!A$3:A877,A43,'Все игры'!F$3:F877,"=1")=0, "", COUNTIFS('Все игры'!A$3:A877,A43,'Все игры'!F$3:F877,"=1"))</f>
        <v/>
      </c>
      <c r="D43" s="76" t="str">
        <f aca="false">IF(COUNTIFS('Все игры'!A$3:A877,A43,'Все игры'!F$3:F877,"=0,50")=0, "", COUNTIFS('Все игры'!A$3:A877,A43,'Все игры'!F$3:F877,"=0,50"))</f>
        <v/>
      </c>
      <c r="E43" s="76" t="str">
        <f aca="false">IF(COUNTIFS('Все игры'!A$3:A877,A43,'Все игры'!E$3:E877,"ПУ")=0, "", COUNTIFS('Все игры'!A$3:A877,A43,'Все игры'!E$3:E877,"ПУ"))</f>
        <v/>
      </c>
      <c r="F43" s="121" t="n">
        <f aca="false">IFERROR(E43/I43,0)</f>
        <v>0</v>
      </c>
      <c r="G43" s="76" t="str">
        <f aca="false">IF(COUNTIFS('Все игры'!A$3:A877,A43,'Все игры'!E$3:E877,"У/Победа")=0, "",COUNTIFS('Все игры'!A$3:A877,A43,'Все игры'!E$3:E877,"У/Победа") )</f>
        <v/>
      </c>
      <c r="H43" s="76" t="str">
        <f aca="false">IF(COUNTIFS('Все игры'!A$3:A877,A43,'Все игры'!E$3:E877,"У/Проигрыш")=0, "",COUNTIFS('Все игры'!A$3:A877,A43,'Все игры'!E$3:E877,"У/Проигрыш") )</f>
        <v/>
      </c>
      <c r="I43" s="120" t="n">
        <f aca="false">M43+N43+Q43+R43</f>
        <v>2</v>
      </c>
      <c r="J43" s="120" t="n">
        <f aca="false">K43+L43+O43+P43</f>
        <v>0</v>
      </c>
      <c r="K43" s="120" t="n">
        <f aca="false">COUNTIFS('Все игры'!A$3:A877,A43,'Все игры'!C$3:C877,"&gt;0",'Все игры'!B$3:B877,"Мафия")</f>
        <v>0</v>
      </c>
      <c r="L43" s="120" t="n">
        <f aca="false">IFERROR(__xludf.dummyfunction("COUNTBLANK(FILTER('Все игры'!A$3:C877,'Все игры'!A$3:A877=A43,'Все игры'!C$3:C877 &lt; 1,'Все игры'!B$3:B877=""Мафия""))"),0)</f>
        <v>0</v>
      </c>
      <c r="M43" s="120" t="n">
        <f aca="false">COUNTIFS('Все игры'!A$3:A877,A43,'Все игры'!C$3:C877,"&gt;0",'Все игры'!B$3:B877,"Шериф")</f>
        <v>0</v>
      </c>
      <c r="N43" s="120" t="n">
        <f aca="false">IFERROR(__xludf.dummyfunction("COUNTBLANK(FILTER('Все игры'!A$3:C877,'Все игры'!A$3:A877=A43,'Все игры'!C$3:C877 &lt; 1,'Все игры'!B$3:B877=""Шериф""))"),0)</f>
        <v>0</v>
      </c>
      <c r="O43" s="120" t="n">
        <f aca="false">COUNTIFS('Все игры'!A$3:A877,A43,'Все игры'!C$3:C877,"&gt;0",'Все игры'!B$3:B877,"Дон")</f>
        <v>0</v>
      </c>
      <c r="P43" s="122" t="n">
        <f aca="false">IFERROR(__xludf.dummyfunction("COUNTBLANK(FILTER('Все игры'!A$3:C877,'Все игры'!A$3:A877=A43,'Все игры'!C$3:C877 &lt; 1,'Все игры'!B$3:B877=""Дон""))"),0)</f>
        <v>0</v>
      </c>
      <c r="Q43" s="120" t="n">
        <f aca="false">COUNTIFS('Все игры'!A$3:A877,A43,'Все игры'!C$3:C877,"&gt;0",'Все игры'!B$3:B877,"Мирный")</f>
        <v>0</v>
      </c>
      <c r="R43" s="120" t="n">
        <f aca="false">IFERROR(__xludf.dummyfunction("COUNTBLANK(FILTER('Все игры'!A$3:C877,'Все игры'!A$3:A877=A43,'Все игры'!C$3:C877 &lt; 1,'Все игры'!B$3:B877=""Мирный""))"),2)</f>
        <v>2</v>
      </c>
      <c r="S43" s="123" t="n">
        <f aca="false">IFERROR((K43+M43+O43+Q43)/(I43+J43), )</f>
        <v>0</v>
      </c>
      <c r="T43" s="123" t="n">
        <f aca="false">IFERROR((M43+Q43)/I43, )</f>
        <v>0</v>
      </c>
      <c r="U43" s="123" t="n">
        <f aca="false">IFERROR((K43+O43)/J43, )</f>
        <v>0</v>
      </c>
      <c r="V43" s="123" t="n">
        <f aca="false">IFERROR(K43/(K43+L43), )</f>
        <v>0</v>
      </c>
      <c r="W43" s="123" t="n">
        <f aca="false">IFERROR(M43/(M43+N43), )</f>
        <v>0</v>
      </c>
      <c r="X43" s="123" t="n">
        <f aca="false">IFERROR(O43/(O43+P43), )</f>
        <v>0</v>
      </c>
      <c r="Y43" s="123" t="n">
        <f aca="false">IFERROR(Q43/(Q43+R43), )</f>
        <v>0</v>
      </c>
      <c r="Z43" s="124" t="n">
        <f aca="false">SUMIFS('Все игры'!D$3:D877,'Все игры'!A$3:A877,A43)</f>
        <v>0</v>
      </c>
      <c r="AA43" s="124" t="n">
        <f aca="false">SUMIFS('Все игры'!D$3:D877,'Все игры'!A$3:A877,A43,'Все игры'!B$3:B877,"Мафия")</f>
        <v>0</v>
      </c>
      <c r="AB43" s="124" t="n">
        <f aca="false">SUMIFS('Все игры'!D$3:D877,'Все игры'!A$3:A877,A43,'Все игры'!B$3:B877,"Шериф")</f>
        <v>0</v>
      </c>
      <c r="AC43" s="124" t="n">
        <f aca="false">SUMIFS('Все игры'!D$3:D877,'Все игры'!A$3:A877,A43,'Все игры'!B$3:B877,"Дон")</f>
        <v>0</v>
      </c>
      <c r="AD43" s="124" t="n">
        <f aca="false">SUMIFS('Все игры'!D$3:D877,'Все игры'!A$3:A877,A43,'Все игры'!B$3:B877,"Мирный")</f>
        <v>0</v>
      </c>
      <c r="AE43" s="124" t="n">
        <f aca="false">IFERROR(Z43/B43,0)</f>
        <v>0</v>
      </c>
      <c r="AF43" s="124" t="n">
        <f aca="false">IFERROR(AA43/(K43+L43),0)</f>
        <v>0</v>
      </c>
      <c r="AG43" s="124" t="n">
        <f aca="false">IFERROR(AB43/(M43+N43),0)</f>
        <v>0</v>
      </c>
      <c r="AH43" s="124" t="n">
        <f aca="false">IFERROR(AC43/(O43+P43),0)</f>
        <v>0</v>
      </c>
      <c r="AI43" s="124" t="n">
        <f aca="false">IFERROR(AD43/(Q43+R43),0)</f>
        <v>0</v>
      </c>
    </row>
    <row r="44" customFormat="false" ht="15.75" hidden="false" customHeight="false" outlineLevel="0" collapsed="false">
      <c r="A44" s="216" t="s">
        <v>190</v>
      </c>
      <c r="B44" s="120" t="n">
        <f aca="false">SUM(I44:J44)</f>
        <v>13</v>
      </c>
      <c r="C44" s="4" t="str">
        <f aca="false">IF(COUNTIFS('Все игры'!A$3:A877,A44,'Все игры'!F$3:F877,"=1")=0, "", COUNTIFS('Все игры'!A$3:A877,A44,'Все игры'!F$3:F877,"=1"))</f>
        <v/>
      </c>
      <c r="D44" s="76" t="str">
        <f aca="false">IF(COUNTIFS('Все игры'!A$3:A877,A44,'Все игры'!F$3:F877,"=0,50")=0, "", COUNTIFS('Все игры'!A$3:A877,A44,'Все игры'!F$3:F877,"=0,50"))</f>
        <v/>
      </c>
      <c r="E44" s="76" t="str">
        <f aca="false">IF(COUNTIFS('Все игры'!A$3:A877,A44,'Все игры'!E$3:E877,"ПУ")=0, "", COUNTIFS('Все игры'!A$3:A877,A44,'Все игры'!E$3:E877,"ПУ"))</f>
        <v/>
      </c>
      <c r="F44" s="121" t="n">
        <f aca="false">IFERROR(E44/I44,0)</f>
        <v>0</v>
      </c>
      <c r="G44" s="76" t="str">
        <f aca="false">IF(COUNTIFS('Все игры'!A$3:A877,A44,'Все игры'!E$3:E877,"У/Победа")=0, "",COUNTIFS('Все игры'!A$3:A877,A44,'Все игры'!E$3:E877,"У/Победа") )</f>
        <v/>
      </c>
      <c r="H44" s="76" t="str">
        <f aca="false">IF(COUNTIFS('Все игры'!A$3:A877,A44,'Все игры'!E$3:E877,"У/Проигрыш")=0, "",COUNTIFS('Все игры'!A$3:A877,A44,'Все игры'!E$3:E877,"У/Проигрыш") )</f>
        <v/>
      </c>
      <c r="I44" s="120" t="n">
        <f aca="false">M44+N44+Q44+R44</f>
        <v>11</v>
      </c>
      <c r="J44" s="120" t="n">
        <f aca="false">K44+L44+O44+P44</f>
        <v>2</v>
      </c>
      <c r="K44" s="120" t="n">
        <f aca="false">COUNTIFS('Все игры'!A$3:A877,A44,'Все игры'!C$3:C877,"&gt;0",'Все игры'!B$3:B877,"Мафия")</f>
        <v>0</v>
      </c>
      <c r="L44" s="120" t="n">
        <f aca="false">IFERROR(__xludf.dummyfunction("COUNTBLANK(FILTER('Все игры'!A$3:C877,'Все игры'!A$3:A877=A44,'Все игры'!C$3:C877 &lt; 1,'Все игры'!B$3:B877=""Мафия""))"),1)</f>
        <v>1</v>
      </c>
      <c r="M44" s="120" t="n">
        <f aca="false">COUNTIFS('Все игры'!A$3:A877,A44,'Все игры'!C$3:C877,"&gt;0",'Все игры'!B$3:B877,"Шериф")</f>
        <v>0</v>
      </c>
      <c r="N44" s="120" t="n">
        <f aca="false">IFERROR(__xludf.dummyfunction("COUNTBLANK(FILTER('Все игры'!A$3:C877,'Все игры'!A$3:A877=A44,'Все игры'!C$3:C877 &lt; 1,'Все игры'!B$3:B877=""Шериф""))"),2)</f>
        <v>2</v>
      </c>
      <c r="O44" s="120" t="n">
        <f aca="false">COUNTIFS('Все игры'!A$3:A877,A44,'Все игры'!C$3:C877,"&gt;0",'Все игры'!B$3:B877,"Дон")</f>
        <v>0</v>
      </c>
      <c r="P44" s="122" t="n">
        <f aca="false">IFERROR(__xludf.dummyfunction("COUNTBLANK(FILTER('Все игры'!A$3:C877,'Все игры'!A$3:A877=A44,'Все игры'!C$3:C877 &lt; 1,'Все игры'!B$3:B877=""Дон""))"),1)</f>
        <v>1</v>
      </c>
      <c r="Q44" s="120" t="n">
        <f aca="false">COUNTIFS('Все игры'!A$3:A877,A44,'Все игры'!C$3:C877,"&gt;0",'Все игры'!B$3:B877,"Мирный")</f>
        <v>0</v>
      </c>
      <c r="R44" s="120" t="n">
        <f aca="false">IFERROR(__xludf.dummyfunction("COUNTBLANK(FILTER('Все игры'!A$3:C877,'Все игры'!A$3:A877=A44,'Все игры'!C$3:C877 &lt; 1,'Все игры'!B$3:B877=""Мирный""))"),9)</f>
        <v>9</v>
      </c>
      <c r="S44" s="123" t="n">
        <f aca="false">IFERROR((K44+M44+O44+Q44)/(I44+J44), )</f>
        <v>0</v>
      </c>
      <c r="T44" s="123" t="n">
        <f aca="false">IFERROR((M44+Q44)/I44, )</f>
        <v>0</v>
      </c>
      <c r="U44" s="123" t="n">
        <f aca="false">IFERROR((K44+O44)/J44, )</f>
        <v>0</v>
      </c>
      <c r="V44" s="123" t="n">
        <f aca="false">IFERROR(K44/(K44+L44), )</f>
        <v>0</v>
      </c>
      <c r="W44" s="123" t="n">
        <f aca="false">IFERROR(M44/(M44+N44), )</f>
        <v>0</v>
      </c>
      <c r="X44" s="123" t="n">
        <f aca="false">IFERROR(O44/(O44+P44), )</f>
        <v>0</v>
      </c>
      <c r="Y44" s="123" t="n">
        <f aca="false">IFERROR(Q44/(Q44+R44), )</f>
        <v>0</v>
      </c>
      <c r="Z44" s="124" t="n">
        <f aca="false">SUMIFS('Все игры'!D$3:D877,'Все игры'!A$3:A877,A44)</f>
        <v>0</v>
      </c>
      <c r="AA44" s="124" t="n">
        <f aca="false">SUMIFS('Все игры'!D$3:D877,'Все игры'!A$3:A877,A44,'Все игры'!B$3:B877,"Мафия")</f>
        <v>0</v>
      </c>
      <c r="AB44" s="124" t="n">
        <f aca="false">SUMIFS('Все игры'!D$3:D877,'Все игры'!A$3:A877,A44,'Все игры'!B$3:B877,"Шериф")</f>
        <v>0</v>
      </c>
      <c r="AC44" s="124" t="n">
        <f aca="false">SUMIFS('Все игры'!D$3:D877,'Все игры'!A$3:A877,A44,'Все игры'!B$3:B877,"Дон")</f>
        <v>0</v>
      </c>
      <c r="AD44" s="124" t="n">
        <f aca="false">SUMIFS('Все игры'!D$3:D877,'Все игры'!A$3:A877,A44,'Все игры'!B$3:B877,"Мирный")</f>
        <v>0</v>
      </c>
      <c r="AE44" s="124" t="n">
        <f aca="false">IFERROR(Z44/B44,0)</f>
        <v>0</v>
      </c>
      <c r="AF44" s="124" t="n">
        <f aca="false">IFERROR(AA44/(K44+L44),0)</f>
        <v>0</v>
      </c>
      <c r="AG44" s="124" t="n">
        <f aca="false">IFERROR(AB44/(M44+N44),0)</f>
        <v>0</v>
      </c>
      <c r="AH44" s="124" t="n">
        <f aca="false">IFERROR(AC44/(O44+P44),0)</f>
        <v>0</v>
      </c>
      <c r="AI44" s="124" t="n">
        <f aca="false">IFERROR(AD44/(Q44+R44),0)</f>
        <v>0</v>
      </c>
    </row>
    <row r="45" customFormat="false" ht="15.75" hidden="false" customHeight="false" outlineLevel="0" collapsed="false">
      <c r="A45" s="216" t="s">
        <v>191</v>
      </c>
      <c r="B45" s="120" t="n">
        <f aca="false">SUM(I45:J45)</f>
        <v>9</v>
      </c>
      <c r="C45" s="4" t="str">
        <f aca="false">IF(COUNTIFS('Все игры'!A$3:A877,A45,'Все игры'!F$3:F877,"=1")=0, "", COUNTIFS('Все игры'!A$3:A877,A45,'Все игры'!F$3:F877,"=1"))</f>
        <v/>
      </c>
      <c r="D45" s="76" t="str">
        <f aca="false">IF(COUNTIFS('Все игры'!A$3:A877,A45,'Все игры'!F$3:F877,"=0,50")=0, "", COUNTIFS('Все игры'!A$3:A877,A45,'Все игры'!F$3:F877,"=0,50"))</f>
        <v/>
      </c>
      <c r="E45" s="76" t="str">
        <f aca="false">IF(COUNTIFS('Все игры'!A$3:A877,A45,'Все игры'!E$3:E877,"ПУ")=0, "", COUNTIFS('Все игры'!A$3:A877,A45,'Все игры'!E$3:E877,"ПУ"))</f>
        <v/>
      </c>
      <c r="F45" s="121" t="n">
        <f aca="false">IFERROR(E45/I45,0)</f>
        <v>0</v>
      </c>
      <c r="G45" s="76" t="str">
        <f aca="false">IF(COUNTIFS('Все игры'!A$3:A877,A45,'Все игры'!E$3:E877,"У/Победа")=0, "",COUNTIFS('Все игры'!A$3:A877,A45,'Все игры'!E$3:E877,"У/Победа") )</f>
        <v/>
      </c>
      <c r="H45" s="76" t="str">
        <f aca="false">IF(COUNTIFS('Все игры'!A$3:A877,A45,'Все игры'!E$3:E877,"У/Проигрыш")=0, "",COUNTIFS('Все игры'!A$3:A877,A45,'Все игры'!E$3:E877,"У/Проигрыш") )</f>
        <v/>
      </c>
      <c r="I45" s="120" t="n">
        <f aca="false">M45+N45+Q45+R45</f>
        <v>6</v>
      </c>
      <c r="J45" s="120" t="n">
        <f aca="false">K45+L45+O45+P45</f>
        <v>3</v>
      </c>
      <c r="K45" s="120" t="n">
        <f aca="false">COUNTIFS('Все игры'!A$3:A877,A45,'Все игры'!C$3:C877,"&gt;0",'Все игры'!B$3:B877,"Мафия")</f>
        <v>0</v>
      </c>
      <c r="L45" s="120" t="n">
        <f aca="false">IFERROR(__xludf.dummyfunction("COUNTBLANK(FILTER('Все игры'!A$3:C877,'Все игры'!A$3:A877=A45,'Все игры'!C$3:C877 &lt; 1,'Все игры'!B$3:B877=""Мафия""))"),1)</f>
        <v>1</v>
      </c>
      <c r="M45" s="120" t="n">
        <f aca="false">COUNTIFS('Все игры'!A$3:A877,A45,'Все игры'!C$3:C877,"&gt;0",'Все игры'!B$3:B877,"Шериф")</f>
        <v>0</v>
      </c>
      <c r="N45" s="120" t="n">
        <f aca="false">IFERROR(__xludf.dummyfunction("COUNTBLANK(FILTER('Все игры'!A$3:C877,'Все игры'!A$3:A877=A45,'Все игры'!C$3:C877 &lt; 1,'Все игры'!B$3:B877=""Шериф""))"),0)</f>
        <v>0</v>
      </c>
      <c r="O45" s="120" t="n">
        <f aca="false">COUNTIFS('Все игры'!A$3:A877,A45,'Все игры'!C$3:C877,"&gt;0",'Все игры'!B$3:B877,"Дон")</f>
        <v>0</v>
      </c>
      <c r="P45" s="122" t="n">
        <f aca="false">IFERROR(__xludf.dummyfunction("COUNTBLANK(FILTER('Все игры'!A$3:C877,'Все игры'!A$3:A877=A45,'Все игры'!C$3:C877 &lt; 1,'Все игры'!B$3:B877=""Дон""))"),2)</f>
        <v>2</v>
      </c>
      <c r="Q45" s="120" t="n">
        <f aca="false">COUNTIFS('Все игры'!A$3:A877,A45,'Все игры'!C$3:C877,"&gt;0",'Все игры'!B$3:B877,"Мирный")</f>
        <v>0</v>
      </c>
      <c r="R45" s="120" t="n">
        <f aca="false">IFERROR(__xludf.dummyfunction("COUNTBLANK(FILTER('Все игры'!A$3:C877,'Все игры'!A$3:A877=A45,'Все игры'!C$3:C877 &lt; 1,'Все игры'!B$3:B877=""Мирный""))"),6)</f>
        <v>6</v>
      </c>
      <c r="S45" s="123" t="n">
        <f aca="false">IFERROR((K45+M45+O45+Q45)/(I45+J45), )</f>
        <v>0</v>
      </c>
      <c r="T45" s="123" t="n">
        <f aca="false">IFERROR((M45+Q45)/I45, )</f>
        <v>0</v>
      </c>
      <c r="U45" s="123" t="n">
        <f aca="false">IFERROR((K45+O45)/J45, )</f>
        <v>0</v>
      </c>
      <c r="V45" s="123" t="n">
        <f aca="false">IFERROR(K45/(K45+L45), )</f>
        <v>0</v>
      </c>
      <c r="W45" s="123" t="n">
        <f aca="false">IFERROR(M45/(M45+N45), )</f>
        <v>0</v>
      </c>
      <c r="X45" s="123" t="n">
        <f aca="false">IFERROR(O45/(O45+P45), )</f>
        <v>0</v>
      </c>
      <c r="Y45" s="123" t="n">
        <f aca="false">IFERROR(Q45/(Q45+R45), )</f>
        <v>0</v>
      </c>
      <c r="Z45" s="124" t="n">
        <f aca="false">SUMIFS('Все игры'!D$3:D877,'Все игры'!A$3:A877,A45)</f>
        <v>0</v>
      </c>
      <c r="AA45" s="124" t="n">
        <f aca="false">SUMIFS('Все игры'!D$3:D877,'Все игры'!A$3:A877,A45,'Все игры'!B$3:B877,"Мафия")</f>
        <v>0</v>
      </c>
      <c r="AB45" s="124" t="n">
        <f aca="false">SUMIFS('Все игры'!D$3:D877,'Все игры'!A$3:A877,A45,'Все игры'!B$3:B877,"Шериф")</f>
        <v>0</v>
      </c>
      <c r="AC45" s="124" t="n">
        <f aca="false">SUMIFS('Все игры'!D$3:D877,'Все игры'!A$3:A877,A45,'Все игры'!B$3:B877,"Дон")</f>
        <v>0</v>
      </c>
      <c r="AD45" s="124" t="n">
        <f aca="false">SUMIFS('Все игры'!D$3:D877,'Все игры'!A$3:A877,A45,'Все игры'!B$3:B877,"Мирный")</f>
        <v>0</v>
      </c>
      <c r="AE45" s="124" t="n">
        <f aca="false">IFERROR(Z45/B45,0)</f>
        <v>0</v>
      </c>
      <c r="AF45" s="124" t="n">
        <f aca="false">IFERROR(AA45/(K45+L45),0)</f>
        <v>0</v>
      </c>
      <c r="AG45" s="124" t="n">
        <f aca="false">IFERROR(AB45/(M45+N45),0)</f>
        <v>0</v>
      </c>
      <c r="AH45" s="124" t="n">
        <f aca="false">IFERROR(AC45/(O45+P45),0)</f>
        <v>0</v>
      </c>
      <c r="AI45" s="124" t="n">
        <f aca="false">IFERROR(AD45/(Q45+R45),0)</f>
        <v>0</v>
      </c>
    </row>
    <row r="46" customFormat="false" ht="15.75" hidden="false" customHeight="false" outlineLevel="0" collapsed="false">
      <c r="A46" s="216" t="s">
        <v>192</v>
      </c>
      <c r="B46" s="120" t="n">
        <f aca="false">SUM(I46:J46)</f>
        <v>15</v>
      </c>
      <c r="C46" s="4" t="str">
        <f aca="false">IF(COUNTIFS('Все игры'!A$3:A877,A46,'Все игры'!F$3:F877,"=1")=0, "", COUNTIFS('Все игры'!A$3:A877,A46,'Все игры'!F$3:F877,"=1"))</f>
        <v/>
      </c>
      <c r="D46" s="76" t="str">
        <f aca="false">IF(COUNTIFS('Все игры'!A$3:A877,A46,'Все игры'!F$3:F877,"=0,50")=0, "", COUNTIFS('Все игры'!A$3:A877,A46,'Все игры'!F$3:F877,"=0,50"))</f>
        <v/>
      </c>
      <c r="E46" s="76" t="str">
        <f aca="false">IF(COUNTIFS('Все игры'!A$3:A877,A46,'Все игры'!E$3:E877,"ПУ")=0, "", COUNTIFS('Все игры'!A$3:A877,A46,'Все игры'!E$3:E877,"ПУ"))</f>
        <v/>
      </c>
      <c r="F46" s="121" t="n">
        <f aca="false">IFERROR(E46/I46,0)</f>
        <v>0</v>
      </c>
      <c r="G46" s="76" t="str">
        <f aca="false">IF(COUNTIFS('Все игры'!A$3:A877,A46,'Все игры'!E$3:E877,"У/Победа")=0, "",COUNTIFS('Все игры'!A$3:A877,A46,'Все игры'!E$3:E877,"У/Победа") )</f>
        <v/>
      </c>
      <c r="H46" s="76" t="str">
        <f aca="false">IF(COUNTIFS('Все игры'!A$3:A877,A46,'Все игры'!E$3:E877,"У/Проигрыш")=0, "",COUNTIFS('Все игры'!A$3:A877,A46,'Все игры'!E$3:E877,"У/Проигрыш") )</f>
        <v/>
      </c>
      <c r="I46" s="120" t="n">
        <f aca="false">M46+N46+Q46+R46</f>
        <v>11</v>
      </c>
      <c r="J46" s="120" t="n">
        <f aca="false">K46+L46+O46+P46</f>
        <v>4</v>
      </c>
      <c r="K46" s="120" t="n">
        <f aca="false">COUNTIFS('Все игры'!A$3:A877,A46,'Все игры'!C$3:C877,"&gt;0",'Все игры'!B$3:B877,"Мафия")</f>
        <v>0</v>
      </c>
      <c r="L46" s="120" t="n">
        <f aca="false">IFERROR(__xludf.dummyfunction("COUNTBLANK(FILTER('Все игры'!A$3:C877,'Все игры'!A$3:A877=A46,'Все игры'!C$3:C877 &lt; 1,'Все игры'!B$3:B877=""Мафия""))"),2)</f>
        <v>2</v>
      </c>
      <c r="M46" s="120" t="n">
        <f aca="false">COUNTIFS('Все игры'!A$3:A877,A46,'Все игры'!C$3:C877,"&gt;0",'Все игры'!B$3:B877,"Шериф")</f>
        <v>0</v>
      </c>
      <c r="N46" s="120" t="n">
        <f aca="false">IFERROR(__xludf.dummyfunction("COUNTBLANK(FILTER('Все игры'!A$3:C877,'Все игры'!A$3:A877=A46,'Все игры'!C$3:C877 &lt; 1,'Все игры'!B$3:B877=""Шериф""))"),2)</f>
        <v>2</v>
      </c>
      <c r="O46" s="120" t="n">
        <f aca="false">COUNTIFS('Все игры'!A$3:A877,A46,'Все игры'!C$3:C877,"&gt;0",'Все игры'!B$3:B877,"Дон")</f>
        <v>0</v>
      </c>
      <c r="P46" s="122" t="n">
        <f aca="false">IFERROR(__xludf.dummyfunction("COUNTBLANK(FILTER('Все игры'!A$3:C877,'Все игры'!A$3:A877=A46,'Все игры'!C$3:C877 &lt; 1,'Все игры'!B$3:B877=""Дон""))"),2)</f>
        <v>2</v>
      </c>
      <c r="Q46" s="120" t="n">
        <f aca="false">COUNTIFS('Все игры'!A$3:A877,A46,'Все игры'!C$3:C877,"&gt;0",'Все игры'!B$3:B877,"Мирный")</f>
        <v>0</v>
      </c>
      <c r="R46" s="120" t="n">
        <f aca="false">IFERROR(__xludf.dummyfunction("COUNTBLANK(FILTER('Все игры'!A$3:C877,'Все игры'!A$3:A877=A46,'Все игры'!C$3:C877 &lt; 1,'Все игры'!B$3:B877=""Мирный""))"),9)</f>
        <v>9</v>
      </c>
      <c r="S46" s="123" t="n">
        <f aca="false">IFERROR((K46+M46+O46+Q46)/(I46+J46), )</f>
        <v>0</v>
      </c>
      <c r="T46" s="123" t="n">
        <f aca="false">IFERROR((M46+Q46)/I46, )</f>
        <v>0</v>
      </c>
      <c r="U46" s="123" t="n">
        <f aca="false">IFERROR((K46+O46)/J46, )</f>
        <v>0</v>
      </c>
      <c r="V46" s="123" t="n">
        <f aca="false">IFERROR(K46/(K46+L46), )</f>
        <v>0</v>
      </c>
      <c r="W46" s="123" t="n">
        <f aca="false">IFERROR(M46/(M46+N46), )</f>
        <v>0</v>
      </c>
      <c r="X46" s="123" t="n">
        <f aca="false">IFERROR(O46/(O46+P46), )</f>
        <v>0</v>
      </c>
      <c r="Y46" s="123" t="n">
        <f aca="false">IFERROR(Q46/(Q46+R46), )</f>
        <v>0</v>
      </c>
      <c r="Z46" s="124" t="n">
        <f aca="false">SUMIFS('Все игры'!D$3:D877,'Все игры'!A$3:A877,A46)</f>
        <v>0</v>
      </c>
      <c r="AA46" s="124" t="n">
        <f aca="false">SUMIFS('Все игры'!D$3:D877,'Все игры'!A$3:A877,A46,'Все игры'!B$3:B877,"Мафия")</f>
        <v>0</v>
      </c>
      <c r="AB46" s="124" t="n">
        <f aca="false">SUMIFS('Все игры'!D$3:D877,'Все игры'!A$3:A877,A46,'Все игры'!B$3:B877,"Шериф")</f>
        <v>0</v>
      </c>
      <c r="AC46" s="124" t="n">
        <f aca="false">SUMIFS('Все игры'!D$3:D877,'Все игры'!A$3:A877,A46,'Все игры'!B$3:B877,"Дон")</f>
        <v>0</v>
      </c>
      <c r="AD46" s="124" t="n">
        <f aca="false">SUMIFS('Все игры'!D$3:D877,'Все игры'!A$3:A877,A46,'Все игры'!B$3:B877,"Мирный")</f>
        <v>0</v>
      </c>
      <c r="AE46" s="124" t="n">
        <f aca="false">IFERROR(Z46/B46,0)</f>
        <v>0</v>
      </c>
      <c r="AF46" s="124" t="n">
        <f aca="false">IFERROR(AA46/(K46+L46),0)</f>
        <v>0</v>
      </c>
      <c r="AG46" s="124" t="n">
        <f aca="false">IFERROR(AB46/(M46+N46),0)</f>
        <v>0</v>
      </c>
      <c r="AH46" s="124" t="n">
        <f aca="false">IFERROR(AC46/(O46+P46),0)</f>
        <v>0</v>
      </c>
      <c r="AI46" s="124" t="n">
        <f aca="false">IFERROR(AD46/(Q46+R46),0)</f>
        <v>0</v>
      </c>
    </row>
    <row r="47" customFormat="false" ht="15.75" hidden="false" customHeight="false" outlineLevel="0" collapsed="false">
      <c r="A47" s="216" t="s">
        <v>35</v>
      </c>
      <c r="B47" s="120" t="n">
        <f aca="false">SUM(I47:J47)</f>
        <v>7</v>
      </c>
      <c r="C47" s="4" t="str">
        <f aca="false">IF(COUNTIFS('Все игры'!A$3:A877,A47,'Все игры'!F$3:F877,"=1")=0, "", COUNTIFS('Все игры'!A$3:A877,A47,'Все игры'!F$3:F877,"=1"))</f>
        <v/>
      </c>
      <c r="D47" s="76" t="str">
        <f aca="false">IF(COUNTIFS('Все игры'!A$3:A877,A47,'Все игры'!F$3:F877,"=0,50")=0, "", COUNTIFS('Все игры'!A$3:A877,A47,'Все игры'!F$3:F877,"=0,50"))</f>
        <v/>
      </c>
      <c r="E47" s="76" t="str">
        <f aca="false">IF(COUNTIFS('Все игры'!A$3:A877,A47,'Все игры'!E$3:E877,"ПУ")=0, "", COUNTIFS('Все игры'!A$3:A877,A47,'Все игры'!E$3:E877,"ПУ"))</f>
        <v/>
      </c>
      <c r="F47" s="121" t="n">
        <f aca="false">IFERROR(E47/I47,0)</f>
        <v>0</v>
      </c>
      <c r="G47" s="76" t="str">
        <f aca="false">IF(COUNTIFS('Все игры'!A$3:A877,A47,'Все игры'!E$3:E877,"У/Победа")=0, "",COUNTIFS('Все игры'!A$3:A877,A47,'Все игры'!E$3:E877,"У/Победа") )</f>
        <v/>
      </c>
      <c r="H47" s="76" t="str">
        <f aca="false">IF(COUNTIFS('Все игры'!A$3:A877,A47,'Все игры'!E$3:E877,"У/Проигрыш")=0, "",COUNTIFS('Все игры'!A$3:A877,A47,'Все игры'!E$3:E877,"У/Проигрыш") )</f>
        <v/>
      </c>
      <c r="I47" s="120" t="n">
        <f aca="false">M47+N47+Q47+R47</f>
        <v>4</v>
      </c>
      <c r="J47" s="120" t="n">
        <f aca="false">K47+L47+O47+P47</f>
        <v>3</v>
      </c>
      <c r="K47" s="120" t="n">
        <f aca="false">COUNTIFS('Все игры'!A$3:A877,A47,'Все игры'!C$3:C877,"&gt;0",'Все игры'!B$3:B877,"Мафия")</f>
        <v>0</v>
      </c>
      <c r="L47" s="120" t="n">
        <f aca="false">IFERROR(__xludf.dummyfunction("COUNTBLANK(FILTER('Все игры'!A$3:C877,'Все игры'!A$3:A877=A47,'Все игры'!C$3:C877 &lt; 1,'Все игры'!B$3:B877=""Мафия""))"),3)</f>
        <v>3</v>
      </c>
      <c r="M47" s="120" t="n">
        <f aca="false">COUNTIFS('Все игры'!A$3:A877,A47,'Все игры'!C$3:C877,"&gt;0",'Все игры'!B$3:B877,"Шериф")</f>
        <v>0</v>
      </c>
      <c r="N47" s="120" t="n">
        <f aca="false">IFERROR(__xludf.dummyfunction("COUNTBLANK(FILTER('Все игры'!A$3:C877,'Все игры'!A$3:A877=A47,'Все игры'!C$3:C877 &lt; 1,'Все игры'!B$3:B877=""Шериф""))"),1)</f>
        <v>1</v>
      </c>
      <c r="O47" s="120" t="n">
        <f aca="false">COUNTIFS('Все игры'!A$3:A877,A47,'Все игры'!C$3:C877,"&gt;0",'Все игры'!B$3:B877,"Дон")</f>
        <v>0</v>
      </c>
      <c r="P47" s="122" t="n">
        <f aca="false">IFERROR(__xludf.dummyfunction("COUNTBLANK(FILTER('Все игры'!A$3:C877,'Все игры'!A$3:A877=A47,'Все игры'!C$3:C877 &lt; 1,'Все игры'!B$3:B877=""Дон""))"),0)</f>
        <v>0</v>
      </c>
      <c r="Q47" s="120" t="n">
        <f aca="false">COUNTIFS('Все игры'!A$3:A877,A47,'Все игры'!C$3:C877,"&gt;0",'Все игры'!B$3:B877,"Мирный")</f>
        <v>0</v>
      </c>
      <c r="R47" s="120" t="n">
        <f aca="false">IFERROR(__xludf.dummyfunction("COUNTBLANK(FILTER('Все игры'!A$3:C877,'Все игры'!A$3:A877=A47,'Все игры'!C$3:C877 &lt; 1,'Все игры'!B$3:B877=""Мирный""))"),3)</f>
        <v>3</v>
      </c>
      <c r="S47" s="123" t="n">
        <f aca="false">IFERROR((K47+M47+O47+Q47)/(I47+J47), )</f>
        <v>0</v>
      </c>
      <c r="T47" s="123" t="n">
        <f aca="false">IFERROR((M47+Q47)/I47, )</f>
        <v>0</v>
      </c>
      <c r="U47" s="123" t="n">
        <f aca="false">IFERROR((K47+O47)/J47, )</f>
        <v>0</v>
      </c>
      <c r="V47" s="123" t="n">
        <f aca="false">IFERROR(K47/(K47+L47), )</f>
        <v>0</v>
      </c>
      <c r="W47" s="123" t="n">
        <f aca="false">IFERROR(M47/(M47+N47), )</f>
        <v>0</v>
      </c>
      <c r="X47" s="123" t="n">
        <f aca="false">IFERROR(O47/(O47+P47), )</f>
        <v>0</v>
      </c>
      <c r="Y47" s="123" t="n">
        <f aca="false">IFERROR(Q47/(Q47+R47), )</f>
        <v>0</v>
      </c>
      <c r="Z47" s="124" t="n">
        <f aca="false">SUMIFS('Все игры'!D$3:D877,'Все игры'!A$3:A877,A47)</f>
        <v>0</v>
      </c>
      <c r="AA47" s="124" t="n">
        <f aca="false">SUMIFS('Все игры'!D$3:D877,'Все игры'!A$3:A877,A47,'Все игры'!B$3:B877,"Мафия")</f>
        <v>0</v>
      </c>
      <c r="AB47" s="124" t="n">
        <f aca="false">SUMIFS('Все игры'!D$3:D877,'Все игры'!A$3:A877,A47,'Все игры'!B$3:B877,"Шериф")</f>
        <v>0</v>
      </c>
      <c r="AC47" s="124" t="n">
        <f aca="false">SUMIFS('Все игры'!D$3:D877,'Все игры'!A$3:A877,A47,'Все игры'!B$3:B877,"Дон")</f>
        <v>0</v>
      </c>
      <c r="AD47" s="124" t="n">
        <f aca="false">SUMIFS('Все игры'!D$3:D877,'Все игры'!A$3:A877,A47,'Все игры'!B$3:B877,"Мирный")</f>
        <v>0</v>
      </c>
      <c r="AE47" s="124" t="n">
        <f aca="false">IFERROR(Z47/B47,0)</f>
        <v>0</v>
      </c>
      <c r="AF47" s="124" t="n">
        <f aca="false">IFERROR(AA47/(K47+L47),0)</f>
        <v>0</v>
      </c>
      <c r="AG47" s="124" t="n">
        <f aca="false">IFERROR(AB47/(M47+N47),0)</f>
        <v>0</v>
      </c>
      <c r="AH47" s="124" t="n">
        <f aca="false">IFERROR(AC47/(O47+P47),0)</f>
        <v>0</v>
      </c>
      <c r="AI47" s="124" t="n">
        <f aca="false">IFERROR(AD47/(Q47+R47),0)</f>
        <v>0</v>
      </c>
    </row>
    <row r="48" customFormat="false" ht="15.75" hidden="false" customHeight="false" outlineLevel="0" collapsed="false">
      <c r="A48" s="216" t="s">
        <v>193</v>
      </c>
      <c r="B48" s="120" t="n">
        <f aca="false">SUM(I48:J48)</f>
        <v>5</v>
      </c>
      <c r="C48" s="4" t="str">
        <f aca="false">IF(COUNTIFS('Все игры'!A$3:A877,A48,'Все игры'!F$3:F877,"=1")=0, "", COUNTIFS('Все игры'!A$3:A877,A48,'Все игры'!F$3:F877,"=1"))</f>
        <v/>
      </c>
      <c r="D48" s="76" t="str">
        <f aca="false">IF(COUNTIFS('Все игры'!A$3:A877,A48,'Все игры'!F$3:F877,"=0,50")=0, "", COUNTIFS('Все игры'!A$3:A877,A48,'Все игры'!F$3:F877,"=0,50"))</f>
        <v/>
      </c>
      <c r="E48" s="76" t="str">
        <f aca="false">IF(COUNTIFS('Все игры'!A$3:A877,A48,'Все игры'!E$3:E877,"ПУ")=0, "", COUNTIFS('Все игры'!A$3:A877,A48,'Все игры'!E$3:E877,"ПУ"))</f>
        <v/>
      </c>
      <c r="F48" s="121" t="n">
        <f aca="false">IFERROR(E48/I48,0)</f>
        <v>0</v>
      </c>
      <c r="G48" s="76" t="str">
        <f aca="false">IF(COUNTIFS('Все игры'!A$3:A877,A48,'Все игры'!E$3:E877,"У/Победа")=0, "",COUNTIFS('Все игры'!A$3:A877,A48,'Все игры'!E$3:E877,"У/Победа") )</f>
        <v/>
      </c>
      <c r="H48" s="76" t="str">
        <f aca="false">IF(COUNTIFS('Все игры'!A$3:A877,A48,'Все игры'!E$3:E877,"У/Проигрыш")=0, "",COUNTIFS('Все игры'!A$3:A877,A48,'Все игры'!E$3:E877,"У/Проигрыш") )</f>
        <v/>
      </c>
      <c r="I48" s="120" t="n">
        <f aca="false">M48+N48+Q48+R48</f>
        <v>2</v>
      </c>
      <c r="J48" s="120" t="n">
        <f aca="false">K48+L48+O48+P48</f>
        <v>3</v>
      </c>
      <c r="K48" s="120" t="n">
        <f aca="false">COUNTIFS('Все игры'!A$3:A877,A48,'Все игры'!C$3:C877,"&gt;0",'Все игры'!B$3:B877,"Мафия")</f>
        <v>0</v>
      </c>
      <c r="L48" s="120" t="n">
        <f aca="false">IFERROR(__xludf.dummyfunction("COUNTBLANK(FILTER('Все игры'!A$3:C877,'Все игры'!A$3:A877=A48,'Все игры'!C$3:C877 &lt; 1,'Все игры'!B$3:B877=""Мафия""))"),2)</f>
        <v>2</v>
      </c>
      <c r="M48" s="120" t="n">
        <f aca="false">COUNTIFS('Все игры'!A$3:A877,A48,'Все игры'!C$3:C877,"&gt;0",'Все игры'!B$3:B877,"Шериф")</f>
        <v>0</v>
      </c>
      <c r="N48" s="120" t="n">
        <f aca="false">IFERROR(__xludf.dummyfunction("COUNTBLANK(FILTER('Все игры'!A$3:C877,'Все игры'!A$3:A877=A48,'Все игры'!C$3:C877 &lt; 1,'Все игры'!B$3:B877=""Шериф""))"),1)</f>
        <v>1</v>
      </c>
      <c r="O48" s="120" t="n">
        <f aca="false">COUNTIFS('Все игры'!A$3:A877,A48,'Все игры'!C$3:C877,"&gt;0",'Все игры'!B$3:B877,"Дон")</f>
        <v>0</v>
      </c>
      <c r="P48" s="122" t="n">
        <f aca="false">IFERROR(__xludf.dummyfunction("COUNTBLANK(FILTER('Все игры'!A$3:C877,'Все игры'!A$3:A877=A48,'Все игры'!C$3:C877 &lt; 1,'Все игры'!B$3:B877=""Дон""))"),1)</f>
        <v>1</v>
      </c>
      <c r="Q48" s="120" t="n">
        <f aca="false">COUNTIFS('Все игры'!A$3:A877,A48,'Все игры'!C$3:C877,"&gt;0",'Все игры'!B$3:B877,"Мирный")</f>
        <v>0</v>
      </c>
      <c r="R48" s="120" t="n">
        <f aca="false">IFERROR(__xludf.dummyfunction("COUNTBLANK(FILTER('Все игры'!A$3:C877,'Все игры'!A$3:A877=A48,'Все игры'!C$3:C877 &lt; 1,'Все игры'!B$3:B877=""Мирный""))"),1)</f>
        <v>1</v>
      </c>
      <c r="S48" s="123" t="n">
        <f aca="false">IFERROR((K48+M48+O48+Q48)/(I48+J48), )</f>
        <v>0</v>
      </c>
      <c r="T48" s="123" t="n">
        <f aca="false">IFERROR((M48+Q48)/I48, )</f>
        <v>0</v>
      </c>
      <c r="U48" s="123" t="n">
        <f aca="false">IFERROR((K48+O48)/J48, )</f>
        <v>0</v>
      </c>
      <c r="V48" s="123" t="n">
        <f aca="false">IFERROR(K48/(K48+L48), )</f>
        <v>0</v>
      </c>
      <c r="W48" s="123" t="n">
        <f aca="false">IFERROR(M48/(M48+N48), )</f>
        <v>0</v>
      </c>
      <c r="X48" s="123" t="n">
        <f aca="false">IFERROR(O48/(O48+P48), )</f>
        <v>0</v>
      </c>
      <c r="Y48" s="123" t="n">
        <f aca="false">IFERROR(Q48/(Q48+R48), )</f>
        <v>0</v>
      </c>
      <c r="Z48" s="124" t="n">
        <f aca="false">SUMIFS('Все игры'!D$3:D877,'Все игры'!A$3:A877,A48)</f>
        <v>0</v>
      </c>
      <c r="AA48" s="124" t="n">
        <f aca="false">SUMIFS('Все игры'!D$3:D877,'Все игры'!A$3:A877,A48,'Все игры'!B$3:B877,"Мафия")</f>
        <v>0</v>
      </c>
      <c r="AB48" s="124" t="n">
        <f aca="false">SUMIFS('Все игры'!D$3:D877,'Все игры'!A$3:A877,A48,'Все игры'!B$3:B877,"Шериф")</f>
        <v>0</v>
      </c>
      <c r="AC48" s="124" t="n">
        <f aca="false">SUMIFS('Все игры'!D$3:D877,'Все игры'!A$3:A877,A48,'Все игры'!B$3:B877,"Дон")</f>
        <v>0</v>
      </c>
      <c r="AD48" s="124" t="n">
        <f aca="false">SUMIFS('Все игры'!D$3:D877,'Все игры'!A$3:A877,A48,'Все игры'!B$3:B877,"Мирный")</f>
        <v>0</v>
      </c>
      <c r="AE48" s="124" t="n">
        <f aca="false">IFERROR(Z48/B48,0)</f>
        <v>0</v>
      </c>
      <c r="AF48" s="124" t="n">
        <f aca="false">IFERROR(AA48/(K48+L48),0)</f>
        <v>0</v>
      </c>
      <c r="AG48" s="124" t="n">
        <f aca="false">IFERROR(AB48/(M48+N48),0)</f>
        <v>0</v>
      </c>
      <c r="AH48" s="124" t="n">
        <f aca="false">IFERROR(AC48/(O48+P48),0)</f>
        <v>0</v>
      </c>
      <c r="AI48" s="124" t="n">
        <f aca="false">IFERROR(AD48/(Q48+R48),0)</f>
        <v>0</v>
      </c>
    </row>
    <row r="49" customFormat="false" ht="15.75" hidden="false" customHeight="false" outlineLevel="0" collapsed="false">
      <c r="A49" s="216" t="s">
        <v>194</v>
      </c>
      <c r="B49" s="120" t="n">
        <f aca="false">SUM(I49:J49)</f>
        <v>5</v>
      </c>
      <c r="C49" s="4" t="str">
        <f aca="false">IF(COUNTIFS('Все игры'!A$3:A877,A49,'Все игры'!F$3:F877,"=1")=0, "", COUNTIFS('Все игры'!A$3:A877,A49,'Все игры'!F$3:F877,"=1"))</f>
        <v/>
      </c>
      <c r="D49" s="76" t="str">
        <f aca="false">IF(COUNTIFS('Все игры'!A$3:A877,A49,'Все игры'!F$3:F877,"=0,50")=0, "", COUNTIFS('Все игры'!A$3:A877,A49,'Все игры'!F$3:F877,"=0,50"))</f>
        <v/>
      </c>
      <c r="E49" s="76" t="str">
        <f aca="false">IF(COUNTIFS('Все игры'!A$3:A877,A49,'Все игры'!E$3:E877,"ПУ")=0, "", COUNTIFS('Все игры'!A$3:A877,A49,'Все игры'!E$3:E877,"ПУ"))</f>
        <v/>
      </c>
      <c r="F49" s="121" t="n">
        <f aca="false">IFERROR(E49/I49,0)</f>
        <v>0</v>
      </c>
      <c r="G49" s="76" t="str">
        <f aca="false">IF(COUNTIFS('Все игры'!A$3:A877,A49,'Все игры'!E$3:E877,"У/Победа")=0, "",COUNTIFS('Все игры'!A$3:A877,A49,'Все игры'!E$3:E877,"У/Победа") )</f>
        <v/>
      </c>
      <c r="H49" s="76" t="str">
        <f aca="false">IF(COUNTIFS('Все игры'!A$3:A877,A49,'Все игры'!E$3:E877,"У/Проигрыш")=0, "",COUNTIFS('Все игры'!A$3:A877,A49,'Все игры'!E$3:E877,"У/Проигрыш") )</f>
        <v/>
      </c>
      <c r="I49" s="120" t="n">
        <f aca="false">M49+N49+Q49+R49</f>
        <v>2</v>
      </c>
      <c r="J49" s="120" t="n">
        <f aca="false">K49+L49+O49+P49</f>
        <v>3</v>
      </c>
      <c r="K49" s="120" t="n">
        <f aca="false">COUNTIFS('Все игры'!A$3:A877,A49,'Все игры'!C$3:C877,"&gt;0",'Все игры'!B$3:B877,"Мафия")</f>
        <v>0</v>
      </c>
      <c r="L49" s="120" t="n">
        <f aca="false">IFERROR(__xludf.dummyfunction("COUNTBLANK(FILTER('Все игры'!A$3:C877,'Все игры'!A$3:A877=A49,'Все игры'!C$3:C877 &lt; 1,'Все игры'!B$3:B877=""Мафия""))"),2)</f>
        <v>2</v>
      </c>
      <c r="M49" s="120" t="n">
        <f aca="false">COUNTIFS('Все игры'!A$3:A877,A49,'Все игры'!C$3:C877,"&gt;0",'Все игры'!B$3:B877,"Шериф")</f>
        <v>0</v>
      </c>
      <c r="N49" s="120" t="n">
        <f aca="false">IFERROR(__xludf.dummyfunction("COUNTBLANK(FILTER('Все игры'!A$3:C877,'Все игры'!A$3:A877=A49,'Все игры'!C$3:C877 &lt; 1,'Все игры'!B$3:B877=""Шериф""))"),0)</f>
        <v>0</v>
      </c>
      <c r="O49" s="120" t="n">
        <f aca="false">COUNTIFS('Все игры'!A$3:A877,A49,'Все игры'!C$3:C877,"&gt;0",'Все игры'!B$3:B877,"Дон")</f>
        <v>0</v>
      </c>
      <c r="P49" s="122" t="n">
        <f aca="false">IFERROR(__xludf.dummyfunction("COUNTBLANK(FILTER('Все игры'!A$3:C877,'Все игры'!A$3:A877=A49,'Все игры'!C$3:C877 &lt; 1,'Все игры'!B$3:B877=""Дон""))"),1)</f>
        <v>1</v>
      </c>
      <c r="Q49" s="120" t="n">
        <f aca="false">COUNTIFS('Все игры'!A$3:A877,A49,'Все игры'!C$3:C877,"&gt;0",'Все игры'!B$3:B877,"Мирный")</f>
        <v>0</v>
      </c>
      <c r="R49" s="120" t="n">
        <f aca="false">IFERROR(__xludf.dummyfunction("COUNTBLANK(FILTER('Все игры'!A$3:C877,'Все игры'!A$3:A877=A49,'Все игры'!C$3:C877 &lt; 1,'Все игры'!B$3:B877=""Мирный""))"),2)</f>
        <v>2</v>
      </c>
      <c r="S49" s="123" t="n">
        <f aca="false">IFERROR((K49+M49+O49+Q49)/(I49+J49), )</f>
        <v>0</v>
      </c>
      <c r="T49" s="123" t="n">
        <f aca="false">IFERROR((M49+Q49)/I49, )</f>
        <v>0</v>
      </c>
      <c r="U49" s="123" t="n">
        <f aca="false">IFERROR((K49+O49)/J49, )</f>
        <v>0</v>
      </c>
      <c r="V49" s="123" t="n">
        <f aca="false">IFERROR(K49/(K49+L49), )</f>
        <v>0</v>
      </c>
      <c r="W49" s="123" t="n">
        <f aca="false">IFERROR(M49/(M49+N49), )</f>
        <v>0</v>
      </c>
      <c r="X49" s="123" t="n">
        <f aca="false">IFERROR(O49/(O49+P49), )</f>
        <v>0</v>
      </c>
      <c r="Y49" s="123" t="n">
        <f aca="false">IFERROR(Q49/(Q49+R49), )</f>
        <v>0</v>
      </c>
      <c r="Z49" s="124" t="n">
        <f aca="false">SUMIFS('Все игры'!D$3:D877,'Все игры'!A$3:A877,A49)</f>
        <v>0</v>
      </c>
      <c r="AA49" s="124" t="n">
        <f aca="false">SUMIFS('Все игры'!D$3:D877,'Все игры'!A$3:A877,A49,'Все игры'!B$3:B877,"Мафия")</f>
        <v>0</v>
      </c>
      <c r="AB49" s="124" t="n">
        <f aca="false">SUMIFS('Все игры'!D$3:D877,'Все игры'!A$3:A877,A49,'Все игры'!B$3:B877,"Шериф")</f>
        <v>0</v>
      </c>
      <c r="AC49" s="124" t="n">
        <f aca="false">SUMIFS('Все игры'!D$3:D877,'Все игры'!A$3:A877,A49,'Все игры'!B$3:B877,"Дон")</f>
        <v>0</v>
      </c>
      <c r="AD49" s="124" t="n">
        <f aca="false">SUMIFS('Все игры'!D$3:D877,'Все игры'!A$3:A877,A49,'Все игры'!B$3:B877,"Мирный")</f>
        <v>0</v>
      </c>
      <c r="AE49" s="124" t="n">
        <f aca="false">IFERROR(Z49/B49,0)</f>
        <v>0</v>
      </c>
      <c r="AF49" s="124" t="n">
        <f aca="false">IFERROR(AA49/(K49+L49),0)</f>
        <v>0</v>
      </c>
      <c r="AG49" s="124" t="n">
        <f aca="false">IFERROR(AB49/(M49+N49),0)</f>
        <v>0</v>
      </c>
      <c r="AH49" s="124" t="n">
        <f aca="false">IFERROR(AC49/(O49+P49),0)</f>
        <v>0</v>
      </c>
      <c r="AI49" s="124" t="n">
        <f aca="false">IFERROR(AD49/(Q49+R49),0)</f>
        <v>0</v>
      </c>
    </row>
    <row r="50" customFormat="false" ht="15.75" hidden="false" customHeight="false" outlineLevel="0" collapsed="false">
      <c r="A50" s="216" t="s">
        <v>197</v>
      </c>
      <c r="B50" s="120" t="n">
        <f aca="false">SUM(I50:J50)</f>
        <v>6</v>
      </c>
      <c r="C50" s="4" t="str">
        <f aca="false">IF(COUNTIFS('Все игры'!A$3:A877,A50,'Все игры'!F$3:F877,"=1")=0, "", COUNTIFS('Все игры'!A$3:A877,A50,'Все игры'!F$3:F877,"=1"))</f>
        <v/>
      </c>
      <c r="D50" s="76" t="str">
        <f aca="false">IF(COUNTIFS('Все игры'!A$3:A877,A50,'Все игры'!F$3:F877,"=0,50")=0, "", COUNTIFS('Все игры'!A$3:A877,A50,'Все игры'!F$3:F877,"=0,50"))</f>
        <v/>
      </c>
      <c r="E50" s="76" t="str">
        <f aca="false">IF(COUNTIFS('Все игры'!A$3:A877,A50,'Все игры'!E$3:E877,"ПУ")=0, "", COUNTIFS('Все игры'!A$3:A877,A50,'Все игры'!E$3:E877,"ПУ"))</f>
        <v/>
      </c>
      <c r="F50" s="121" t="n">
        <f aca="false">IFERROR(E50/I50,0)</f>
        <v>0</v>
      </c>
      <c r="G50" s="76" t="str">
        <f aca="false">IF(COUNTIFS('Все игры'!A$3:A877,A50,'Все игры'!E$3:E877,"У/Победа")=0, "",COUNTIFS('Все игры'!A$3:A877,A50,'Все игры'!E$3:E877,"У/Победа") )</f>
        <v/>
      </c>
      <c r="H50" s="76" t="str">
        <f aca="false">IF(COUNTIFS('Все игры'!A$3:A877,A50,'Все игры'!E$3:E877,"У/Проигрыш")=0, "",COUNTIFS('Все игры'!A$3:A877,A50,'Все игры'!E$3:E877,"У/Проигрыш") )</f>
        <v/>
      </c>
      <c r="I50" s="120" t="n">
        <f aca="false">M50+N50+Q50+R50</f>
        <v>5</v>
      </c>
      <c r="J50" s="120" t="n">
        <f aca="false">K50+L50+O50+P50</f>
        <v>1</v>
      </c>
      <c r="K50" s="120" t="n">
        <f aca="false">COUNTIFS('Все игры'!A$3:A877,A50,'Все игры'!C$3:C877,"&gt;0",'Все игры'!B$3:B877,"Мафия")</f>
        <v>0</v>
      </c>
      <c r="L50" s="120" t="n">
        <f aca="false">IFERROR(__xludf.dummyfunction("COUNTBLANK(FILTER('Все игры'!A$3:C877,'Все игры'!A$3:A877=A50,'Все игры'!C$3:C877 &lt; 1,'Все игры'!B$3:B877=""Мафия""))"),0)</f>
        <v>0</v>
      </c>
      <c r="M50" s="120" t="n">
        <f aca="false">COUNTIFS('Все игры'!A$3:A877,A50,'Все игры'!C$3:C877,"&gt;0",'Все игры'!B$3:B877,"Шериф")</f>
        <v>0</v>
      </c>
      <c r="N50" s="120" t="n">
        <f aca="false">IFERROR(__xludf.dummyfunction("COUNTBLANK(FILTER('Все игры'!A$3:C877,'Все игры'!A$3:A877=A50,'Все игры'!C$3:C877 &lt; 1,'Все игры'!B$3:B877=""Шериф""))"),0)</f>
        <v>0</v>
      </c>
      <c r="O50" s="120" t="n">
        <f aca="false">COUNTIFS('Все игры'!A$3:A877,A50,'Все игры'!C$3:C877,"&gt;0",'Все игры'!B$3:B877,"Дон")</f>
        <v>0</v>
      </c>
      <c r="P50" s="122" t="n">
        <f aca="false">IFERROR(__xludf.dummyfunction("COUNTBLANK(FILTER('Все игры'!A$3:C877,'Все игры'!A$3:A877=A50,'Все игры'!C$3:C877 &lt; 1,'Все игры'!B$3:B877=""Дон""))"),1)</f>
        <v>1</v>
      </c>
      <c r="Q50" s="120" t="n">
        <f aca="false">COUNTIFS('Все игры'!A$3:A877,A50,'Все игры'!C$3:C877,"&gt;0",'Все игры'!B$3:B877,"Мирный")</f>
        <v>0</v>
      </c>
      <c r="R50" s="120" t="n">
        <f aca="false">IFERROR(__xludf.dummyfunction("COUNTBLANK(FILTER('Все игры'!A$3:C877,'Все игры'!A$3:A877=A50,'Все игры'!C$3:C877 &lt; 1,'Все игры'!B$3:B877=""Мирный""))"),5)</f>
        <v>5</v>
      </c>
      <c r="S50" s="123" t="n">
        <f aca="false">IFERROR((K50+M50+O50+Q50)/(I50+J50), )</f>
        <v>0</v>
      </c>
      <c r="T50" s="123" t="n">
        <f aca="false">IFERROR((M50+Q50)/I50, )</f>
        <v>0</v>
      </c>
      <c r="U50" s="123" t="n">
        <f aca="false">IFERROR((K50+O50)/J50, )</f>
        <v>0</v>
      </c>
      <c r="V50" s="123" t="n">
        <f aca="false">IFERROR(K50/(K50+L50), )</f>
        <v>0</v>
      </c>
      <c r="W50" s="123" t="n">
        <f aca="false">IFERROR(M50/(M50+N50), )</f>
        <v>0</v>
      </c>
      <c r="X50" s="123" t="n">
        <f aca="false">IFERROR(O50/(O50+P50), )</f>
        <v>0</v>
      </c>
      <c r="Y50" s="123" t="n">
        <f aca="false">IFERROR(Q50/(Q50+R50), )</f>
        <v>0</v>
      </c>
      <c r="Z50" s="124" t="n">
        <f aca="false">SUMIFS('Все игры'!D$3:D877,'Все игры'!A$3:A877,A50)</f>
        <v>0</v>
      </c>
      <c r="AA50" s="124" t="n">
        <f aca="false">SUMIFS('Все игры'!D$3:D877,'Все игры'!A$3:A877,A50,'Все игры'!B$3:B877,"Мафия")</f>
        <v>0</v>
      </c>
      <c r="AB50" s="124" t="n">
        <f aca="false">SUMIFS('Все игры'!D$3:D877,'Все игры'!A$3:A877,A50,'Все игры'!B$3:B877,"Шериф")</f>
        <v>0</v>
      </c>
      <c r="AC50" s="124" t="n">
        <f aca="false">SUMIFS('Все игры'!D$3:D877,'Все игры'!A$3:A877,A50,'Все игры'!B$3:B877,"Дон")</f>
        <v>0</v>
      </c>
      <c r="AD50" s="124" t="n">
        <f aca="false">SUMIFS('Все игры'!D$3:D877,'Все игры'!A$3:A877,A50,'Все игры'!B$3:B877,"Мирный")</f>
        <v>0</v>
      </c>
      <c r="AE50" s="124" t="n">
        <f aca="false">IFERROR(Z50/B50,0)</f>
        <v>0</v>
      </c>
      <c r="AF50" s="124" t="n">
        <f aca="false">IFERROR(AA50/(K50+L50),0)</f>
        <v>0</v>
      </c>
      <c r="AG50" s="124" t="n">
        <f aca="false">IFERROR(AB50/(M50+N50),0)</f>
        <v>0</v>
      </c>
      <c r="AH50" s="124" t="n">
        <f aca="false">IFERROR(AC50/(O50+P50),0)</f>
        <v>0</v>
      </c>
      <c r="AI50" s="124" t="n">
        <f aca="false">IFERROR(AD50/(Q50+R50),0)</f>
        <v>0</v>
      </c>
    </row>
    <row r="51" customFormat="false" ht="15.75" hidden="false" customHeight="false" outlineLevel="0" collapsed="false">
      <c r="A51" s="216" t="s">
        <v>199</v>
      </c>
      <c r="B51" s="120" t="n">
        <f aca="false">SUM(I51:J51)</f>
        <v>4</v>
      </c>
      <c r="C51" s="4" t="str">
        <f aca="false">IF(COUNTIFS('Все игры'!A$3:A877,A51,'Все игры'!F$3:F877,"=1")=0, "", COUNTIFS('Все игры'!A$3:A877,A51,'Все игры'!F$3:F877,"=1"))</f>
        <v/>
      </c>
      <c r="D51" s="76" t="str">
        <f aca="false">IF(COUNTIFS('Все игры'!A$3:A877,A51,'Все игры'!F$3:F877,"=0,50")=0, "", COUNTIFS('Все игры'!A$3:A877,A51,'Все игры'!F$3:F877,"=0,50"))</f>
        <v/>
      </c>
      <c r="E51" s="76" t="str">
        <f aca="false">IF(COUNTIFS('Все игры'!A$3:A877,A51,'Все игры'!E$3:E877,"ПУ")=0, "", COUNTIFS('Все игры'!A$3:A877,A51,'Все игры'!E$3:E877,"ПУ"))</f>
        <v/>
      </c>
      <c r="F51" s="121" t="n">
        <f aca="false">IFERROR(E51/I51,0)</f>
        <v>0</v>
      </c>
      <c r="G51" s="76" t="str">
        <f aca="false">IF(COUNTIFS('Все игры'!A$3:A877,A51,'Все игры'!E$3:E877,"У/Победа")=0, "",COUNTIFS('Все игры'!A$3:A877,A51,'Все игры'!E$3:E877,"У/Победа") )</f>
        <v/>
      </c>
      <c r="H51" s="76" t="str">
        <f aca="false">IF(COUNTIFS('Все игры'!A$3:A877,A51,'Все игры'!E$3:E877,"У/Проигрыш")=0, "",COUNTIFS('Все игры'!A$3:A877,A51,'Все игры'!E$3:E877,"У/Проигрыш") )</f>
        <v/>
      </c>
      <c r="I51" s="120" t="n">
        <f aca="false">M51+N51+Q51+R51</f>
        <v>3</v>
      </c>
      <c r="J51" s="120" t="n">
        <f aca="false">K51+L51+O51+P51</f>
        <v>1</v>
      </c>
      <c r="K51" s="120" t="n">
        <f aca="false">COUNTIFS('Все игры'!A$3:A877,A51,'Все игры'!C$3:C877,"&gt;0",'Все игры'!B$3:B877,"Мафия")</f>
        <v>0</v>
      </c>
      <c r="L51" s="120" t="n">
        <f aca="false">IFERROR(__xludf.dummyfunction("COUNTBLANK(FILTER('Все игры'!A$3:C877,'Все игры'!A$3:A877=A51,'Все игры'!C$3:C877 &lt; 1,'Все игры'!B$3:B877=""Мафия""))"),1)</f>
        <v>1</v>
      </c>
      <c r="M51" s="120" t="n">
        <f aca="false">COUNTIFS('Все игры'!A$3:A877,A51,'Все игры'!C$3:C877,"&gt;0",'Все игры'!B$3:B877,"Шериф")</f>
        <v>0</v>
      </c>
      <c r="N51" s="120" t="n">
        <f aca="false">IFERROR(__xludf.dummyfunction("COUNTBLANK(FILTER('Все игры'!A$3:C877,'Все игры'!A$3:A877=A51,'Все игры'!C$3:C877 &lt; 1,'Все игры'!B$3:B877=""Шериф""))"),0)</f>
        <v>0</v>
      </c>
      <c r="O51" s="120" t="n">
        <f aca="false">COUNTIFS('Все игры'!A$3:A877,A51,'Все игры'!C$3:C877,"&gt;0",'Все игры'!B$3:B877,"Дон")</f>
        <v>0</v>
      </c>
      <c r="P51" s="122" t="n">
        <f aca="false">IFERROR(__xludf.dummyfunction("COUNTBLANK(FILTER('Все игры'!A$3:C877,'Все игры'!A$3:A877=A51,'Все игры'!C$3:C877 &lt; 1,'Все игры'!B$3:B877=""Дон""))"),0)</f>
        <v>0</v>
      </c>
      <c r="Q51" s="120" t="n">
        <f aca="false">COUNTIFS('Все игры'!A$3:A877,A51,'Все игры'!C$3:C877,"&gt;0",'Все игры'!B$3:B877,"Мирный")</f>
        <v>0</v>
      </c>
      <c r="R51" s="120" t="n">
        <f aca="false">IFERROR(__xludf.dummyfunction("COUNTBLANK(FILTER('Все игры'!A$3:C877,'Все игры'!A$3:A877=A51,'Все игры'!C$3:C877 &lt; 1,'Все игры'!B$3:B877=""Мирный""))"),3)</f>
        <v>3</v>
      </c>
      <c r="S51" s="123" t="n">
        <f aca="false">IFERROR((K51+M51+O51+Q51)/(I51+J51), )</f>
        <v>0</v>
      </c>
      <c r="T51" s="123" t="n">
        <f aca="false">IFERROR((M51+Q51)/I51, )</f>
        <v>0</v>
      </c>
      <c r="U51" s="123" t="n">
        <f aca="false">IFERROR((K51+O51)/J51, )</f>
        <v>0</v>
      </c>
      <c r="V51" s="123" t="n">
        <f aca="false">IFERROR(K51/(K51+L51), )</f>
        <v>0</v>
      </c>
      <c r="W51" s="123" t="n">
        <f aca="false">IFERROR(M51/(M51+N51), )</f>
        <v>0</v>
      </c>
      <c r="X51" s="123" t="n">
        <f aca="false">IFERROR(O51/(O51+P51), )</f>
        <v>0</v>
      </c>
      <c r="Y51" s="123" t="n">
        <f aca="false">IFERROR(Q51/(Q51+R51), )</f>
        <v>0</v>
      </c>
      <c r="Z51" s="124" t="n">
        <f aca="false">SUMIFS('Все игры'!D$3:D877,'Все игры'!A$3:A877,A51)</f>
        <v>0</v>
      </c>
      <c r="AA51" s="124" t="n">
        <f aca="false">SUMIFS('Все игры'!D$3:D877,'Все игры'!A$3:A877,A51,'Все игры'!B$3:B877,"Мафия")</f>
        <v>0</v>
      </c>
      <c r="AB51" s="124" t="n">
        <f aca="false">SUMIFS('Все игры'!D$3:D877,'Все игры'!A$3:A877,A51,'Все игры'!B$3:B877,"Шериф")</f>
        <v>0</v>
      </c>
      <c r="AC51" s="124" t="n">
        <f aca="false">SUMIFS('Все игры'!D$3:D877,'Все игры'!A$3:A877,A51,'Все игры'!B$3:B877,"Дон")</f>
        <v>0</v>
      </c>
      <c r="AD51" s="124" t="n">
        <f aca="false">SUMIFS('Все игры'!D$3:D877,'Все игры'!A$3:A877,A51,'Все игры'!B$3:B877,"Мирный")</f>
        <v>0</v>
      </c>
      <c r="AE51" s="124" t="n">
        <f aca="false">IFERROR(Z51/B51,0)</f>
        <v>0</v>
      </c>
      <c r="AF51" s="124" t="n">
        <f aca="false">IFERROR(AA51/(K51+L51),0)</f>
        <v>0</v>
      </c>
      <c r="AG51" s="124" t="n">
        <f aca="false">IFERROR(AB51/(M51+N51),0)</f>
        <v>0</v>
      </c>
      <c r="AH51" s="124" t="n">
        <f aca="false">IFERROR(AC51/(O51+P51),0)</f>
        <v>0</v>
      </c>
      <c r="AI51" s="124" t="n">
        <f aca="false">IFERROR(AD51/(Q51+R51),0)</f>
        <v>0</v>
      </c>
    </row>
    <row r="52" customFormat="false" ht="15.75" hidden="false" customHeight="false" outlineLevel="0" collapsed="false">
      <c r="A52" s="216" t="s">
        <v>198</v>
      </c>
      <c r="B52" s="120" t="n">
        <f aca="false">SUM(I52:J52)</f>
        <v>3</v>
      </c>
      <c r="C52" s="4" t="str">
        <f aca="false">IF(COUNTIFS('Все игры'!A$3:A877,A52,'Все игры'!F$3:F877,"=1")=0, "", COUNTIFS('Все игры'!A$3:A877,A52,'Все игры'!F$3:F877,"=1"))</f>
        <v/>
      </c>
      <c r="D52" s="76" t="str">
        <f aca="false">IF(COUNTIFS('Все игры'!A$3:A877,A52,'Все игры'!F$3:F877,"=0,50")=0, "", COUNTIFS('Все игры'!A$3:A877,A52,'Все игры'!F$3:F877,"=0,50"))</f>
        <v/>
      </c>
      <c r="E52" s="76" t="str">
        <f aca="false">IF(COUNTIFS('Все игры'!A$3:A877,A52,'Все игры'!E$3:E877,"ПУ")=0, "", COUNTIFS('Все игры'!A$3:A877,A52,'Все игры'!E$3:E877,"ПУ"))</f>
        <v/>
      </c>
      <c r="F52" s="121" t="n">
        <f aca="false">IFERROR(E52/I52,0)</f>
        <v>0</v>
      </c>
      <c r="G52" s="76" t="str">
        <f aca="false">IF(COUNTIFS('Все игры'!A$3:A877,A52,'Все игры'!E$3:E877,"У/Победа")=0, "",COUNTIFS('Все игры'!A$3:A877,A52,'Все игры'!E$3:E877,"У/Победа") )</f>
        <v/>
      </c>
      <c r="H52" s="76" t="str">
        <f aca="false">IF(COUNTIFS('Все игры'!A$3:A877,A52,'Все игры'!E$3:E877,"У/Проигрыш")=0, "",COUNTIFS('Все игры'!A$3:A877,A52,'Все игры'!E$3:E877,"У/Проигрыш") )</f>
        <v/>
      </c>
      <c r="I52" s="120" t="n">
        <f aca="false">M52+N52+Q52+R52</f>
        <v>2</v>
      </c>
      <c r="J52" s="120" t="n">
        <f aca="false">K52+L52+O52+P52</f>
        <v>1</v>
      </c>
      <c r="K52" s="120" t="n">
        <f aca="false">COUNTIFS('Все игры'!A$3:A877,A52,'Все игры'!C$3:C877,"&gt;0",'Все игры'!B$3:B877,"Мафия")</f>
        <v>0</v>
      </c>
      <c r="L52" s="120" t="n">
        <f aca="false">IFERROR(__xludf.dummyfunction("COUNTBLANK(FILTER('Все игры'!A$3:C877,'Все игры'!A$3:A877=A52,'Все игры'!C$3:C877 &lt; 1,'Все игры'!B$3:B877=""Мафия""))"),1)</f>
        <v>1</v>
      </c>
      <c r="M52" s="120" t="n">
        <f aca="false">COUNTIFS('Все игры'!A$3:A877,A52,'Все игры'!C$3:C877,"&gt;0",'Все игры'!B$3:B877,"Шериф")</f>
        <v>0</v>
      </c>
      <c r="N52" s="120" t="n">
        <f aca="false">IFERROR(__xludf.dummyfunction("COUNTBLANK(FILTER('Все игры'!A$3:C877,'Все игры'!A$3:A877=A52,'Все игры'!C$3:C877 &lt; 1,'Все игры'!B$3:B877=""Шериф""))"),0)</f>
        <v>0</v>
      </c>
      <c r="O52" s="120" t="n">
        <f aca="false">COUNTIFS('Все игры'!A$3:A877,A52,'Все игры'!C$3:C877,"&gt;0",'Все игры'!B$3:B877,"Дон")</f>
        <v>0</v>
      </c>
      <c r="P52" s="122" t="n">
        <f aca="false">IFERROR(__xludf.dummyfunction("COUNTBLANK(FILTER('Все игры'!A$3:C877,'Все игры'!A$3:A877=A52,'Все игры'!C$3:C877 &lt; 1,'Все игры'!B$3:B877=""Дон""))"),0)</f>
        <v>0</v>
      </c>
      <c r="Q52" s="120" t="n">
        <f aca="false">COUNTIFS('Все игры'!A$3:A877,A52,'Все игры'!C$3:C877,"&gt;0",'Все игры'!B$3:B877,"Мирный")</f>
        <v>0</v>
      </c>
      <c r="R52" s="120" t="n">
        <f aca="false">IFERROR(__xludf.dummyfunction("COUNTBLANK(FILTER('Все игры'!A$3:C877,'Все игры'!A$3:A877=A52,'Все игры'!C$3:C877 &lt; 1,'Все игры'!B$3:B877=""Мирный""))"),2)</f>
        <v>2</v>
      </c>
      <c r="S52" s="123" t="n">
        <f aca="false">IFERROR((K52+M52+O52+Q52)/(I52+J52), )</f>
        <v>0</v>
      </c>
      <c r="T52" s="123" t="n">
        <f aca="false">IFERROR((M52+Q52)/I52, )</f>
        <v>0</v>
      </c>
      <c r="U52" s="123" t="n">
        <f aca="false">IFERROR((K52+O52)/J52, )</f>
        <v>0</v>
      </c>
      <c r="V52" s="123" t="n">
        <f aca="false">IFERROR(K52/(K52+L52), )</f>
        <v>0</v>
      </c>
      <c r="W52" s="123" t="n">
        <f aca="false">IFERROR(M52/(M52+N52), )</f>
        <v>0</v>
      </c>
      <c r="X52" s="123" t="n">
        <f aca="false">IFERROR(O52/(O52+P52), )</f>
        <v>0</v>
      </c>
      <c r="Y52" s="123" t="n">
        <f aca="false">IFERROR(Q52/(Q52+R52), )</f>
        <v>0</v>
      </c>
      <c r="Z52" s="124" t="n">
        <f aca="false">SUMIFS('Все игры'!D$3:D877,'Все игры'!A$3:A877,A52)</f>
        <v>0</v>
      </c>
      <c r="AA52" s="124" t="n">
        <f aca="false">SUMIFS('Все игры'!D$3:D877,'Все игры'!A$3:A877,A52,'Все игры'!B$3:B877,"Мафия")</f>
        <v>0</v>
      </c>
      <c r="AB52" s="124" t="n">
        <f aca="false">SUMIFS('Все игры'!D$3:D877,'Все игры'!A$3:A877,A52,'Все игры'!B$3:B877,"Шериф")</f>
        <v>0</v>
      </c>
      <c r="AC52" s="124" t="n">
        <f aca="false">SUMIFS('Все игры'!D$3:D877,'Все игры'!A$3:A877,A52,'Все игры'!B$3:B877,"Дон")</f>
        <v>0</v>
      </c>
      <c r="AD52" s="124" t="n">
        <f aca="false">SUMIFS('Все игры'!D$3:D877,'Все игры'!A$3:A877,A52,'Все игры'!B$3:B877,"Мирный")</f>
        <v>0</v>
      </c>
      <c r="AE52" s="124" t="n">
        <f aca="false">IFERROR(Z52/B52,0)</f>
        <v>0</v>
      </c>
      <c r="AF52" s="124" t="n">
        <f aca="false">IFERROR(AA52/(K52+L52),0)</f>
        <v>0</v>
      </c>
      <c r="AG52" s="124" t="n">
        <f aca="false">IFERROR(AB52/(M52+N52),0)</f>
        <v>0</v>
      </c>
      <c r="AH52" s="124" t="n">
        <f aca="false">IFERROR(AC52/(O52+P52),0)</f>
        <v>0</v>
      </c>
      <c r="AI52" s="124" t="n">
        <f aca="false">IFERROR(AD52/(Q52+R52),0)</f>
        <v>0</v>
      </c>
    </row>
    <row r="53" customFormat="false" ht="15.75" hidden="false" customHeight="false" outlineLevel="0" collapsed="false">
      <c r="A53" s="216" t="s">
        <v>203</v>
      </c>
      <c r="B53" s="120" t="n">
        <f aca="false">SUM(I53:J53)</f>
        <v>5</v>
      </c>
      <c r="C53" s="4" t="str">
        <f aca="false">IF(COUNTIFS('Все игры'!A$3:A877,A53,'Все игры'!F$3:F877,"=1")=0, "", COUNTIFS('Все игры'!A$3:A877,A53,'Все игры'!F$3:F877,"=1"))</f>
        <v/>
      </c>
      <c r="D53" s="76" t="str">
        <f aca="false">IF(COUNTIFS('Все игры'!A$3:A877,A53,'Все игры'!F$3:F877,"=0,50")=0, "", COUNTIFS('Все игры'!A$3:A877,A53,'Все игры'!F$3:F877,"=0,50"))</f>
        <v/>
      </c>
      <c r="E53" s="76" t="str">
        <f aca="false">IF(COUNTIFS('Все игры'!A$3:A877,A53,'Все игры'!E$3:E877,"ПУ")=0, "", COUNTIFS('Все игры'!A$3:A877,A53,'Все игры'!E$3:E877,"ПУ"))</f>
        <v/>
      </c>
      <c r="F53" s="121" t="n">
        <f aca="false">IFERROR(E53/I53,0)</f>
        <v>0</v>
      </c>
      <c r="G53" s="76" t="str">
        <f aca="false">IF(COUNTIFS('Все игры'!A$3:A877,A53,'Все игры'!E$3:E877,"У/Победа")=0, "",COUNTIFS('Все игры'!A$3:A877,A53,'Все игры'!E$3:E877,"У/Победа") )</f>
        <v/>
      </c>
      <c r="H53" s="76" t="str">
        <f aca="false">IF(COUNTIFS('Все игры'!A$3:A877,A53,'Все игры'!E$3:E877,"У/Проигрыш")=0, "",COUNTIFS('Все игры'!A$3:A877,A53,'Все игры'!E$3:E877,"У/Проигрыш") )</f>
        <v/>
      </c>
      <c r="I53" s="120" t="n">
        <f aca="false">M53+N53+Q53+R53</f>
        <v>4</v>
      </c>
      <c r="J53" s="120" t="n">
        <f aca="false">K53+L53+O53+P53</f>
        <v>1</v>
      </c>
      <c r="K53" s="120" t="n">
        <f aca="false">COUNTIFS('Все игры'!A$3:A877,A53,'Все игры'!C$3:C877,"&gt;0",'Все игры'!B$3:B877,"Мафия")</f>
        <v>0</v>
      </c>
      <c r="L53" s="120" t="n">
        <f aca="false">IFERROR(__xludf.dummyfunction("COUNTBLANK(FILTER('Все игры'!A$3:C877,'Все игры'!A$3:A877=A53,'Все игры'!C$3:C877 &lt; 1,'Все игры'!B$3:B877=""Мафия""))"),1)</f>
        <v>1</v>
      </c>
      <c r="M53" s="120" t="n">
        <f aca="false">COUNTIFS('Все игры'!A$3:A877,A53,'Все игры'!C$3:C877,"&gt;0",'Все игры'!B$3:B877,"Шериф")</f>
        <v>0</v>
      </c>
      <c r="N53" s="120" t="n">
        <f aca="false">IFERROR(__xludf.dummyfunction("COUNTBLANK(FILTER('Все игры'!A$3:C877,'Все игры'!A$3:A877=A53,'Все игры'!C$3:C877 &lt; 1,'Все игры'!B$3:B877=""Шериф""))"),0)</f>
        <v>0</v>
      </c>
      <c r="O53" s="120" t="n">
        <f aca="false">COUNTIFS('Все игры'!A$3:A877,A53,'Все игры'!C$3:C877,"&gt;0",'Все игры'!B$3:B877,"Дон")</f>
        <v>0</v>
      </c>
      <c r="P53" s="122" t="n">
        <f aca="false">IFERROR(__xludf.dummyfunction("COUNTBLANK(FILTER('Все игры'!A$3:C877,'Все игры'!A$3:A877=A53,'Все игры'!C$3:C877 &lt; 1,'Все игры'!B$3:B877=""Дон""))"),0)</f>
        <v>0</v>
      </c>
      <c r="Q53" s="120" t="n">
        <f aca="false">COUNTIFS('Все игры'!A$3:A877,A53,'Все игры'!C$3:C877,"&gt;0",'Все игры'!B$3:B877,"Мирный")</f>
        <v>0</v>
      </c>
      <c r="R53" s="120" t="n">
        <f aca="false">IFERROR(__xludf.dummyfunction("COUNTBLANK(FILTER('Все игры'!A$3:C877,'Все игры'!A$3:A877=A53,'Все игры'!C$3:C877 &lt; 1,'Все игры'!B$3:B877=""Мирный""))"),4)</f>
        <v>4</v>
      </c>
      <c r="S53" s="123" t="n">
        <f aca="false">IFERROR((K53+M53+O53+Q53)/(I53+J53), )</f>
        <v>0</v>
      </c>
      <c r="T53" s="123" t="n">
        <f aca="false">IFERROR((M53+Q53)/I53, )</f>
        <v>0</v>
      </c>
      <c r="U53" s="123" t="n">
        <f aca="false">IFERROR((K53+O53)/J53, )</f>
        <v>0</v>
      </c>
      <c r="V53" s="123" t="n">
        <f aca="false">IFERROR(K53/(K53+L53), )</f>
        <v>0</v>
      </c>
      <c r="W53" s="123" t="n">
        <f aca="false">IFERROR(M53/(M53+N53), )</f>
        <v>0</v>
      </c>
      <c r="X53" s="123" t="n">
        <f aca="false">IFERROR(O53/(O53+P53), )</f>
        <v>0</v>
      </c>
      <c r="Y53" s="123" t="n">
        <f aca="false">IFERROR(Q53/(Q53+R53), )</f>
        <v>0</v>
      </c>
      <c r="Z53" s="124" t="n">
        <f aca="false">SUMIFS('Все игры'!D$3:D877,'Все игры'!A$3:A877,A53)</f>
        <v>0</v>
      </c>
      <c r="AA53" s="124" t="n">
        <f aca="false">SUMIFS('Все игры'!D$3:D877,'Все игры'!A$3:A877,A53,'Все игры'!B$3:B877,"Мафия")</f>
        <v>0</v>
      </c>
      <c r="AB53" s="124" t="n">
        <f aca="false">SUMIFS('Все игры'!D$3:D877,'Все игры'!A$3:A877,A53,'Все игры'!B$3:B877,"Шериф")</f>
        <v>0</v>
      </c>
      <c r="AC53" s="124" t="n">
        <f aca="false">SUMIFS('Все игры'!D$3:D877,'Все игры'!A$3:A877,A53,'Все игры'!B$3:B877,"Дон")</f>
        <v>0</v>
      </c>
      <c r="AD53" s="124" t="n">
        <f aca="false">SUMIFS('Все игры'!D$3:D877,'Все игры'!A$3:A877,A53,'Все игры'!B$3:B877,"Мирный")</f>
        <v>0</v>
      </c>
      <c r="AE53" s="124" t="n">
        <f aca="false">IFERROR(Z53/B53,0)</f>
        <v>0</v>
      </c>
      <c r="AF53" s="124" t="n">
        <f aca="false">IFERROR(AA53/(K53+L53),0)</f>
        <v>0</v>
      </c>
      <c r="AG53" s="124" t="n">
        <f aca="false">IFERROR(AB53/(M53+N53),0)</f>
        <v>0</v>
      </c>
      <c r="AH53" s="124" t="n">
        <f aca="false">IFERROR(AC53/(O53+P53),0)</f>
        <v>0</v>
      </c>
      <c r="AI53" s="124" t="n">
        <f aca="false">IFERROR(AD53/(Q53+R53),0)</f>
        <v>0</v>
      </c>
    </row>
    <row r="54" customFormat="false" ht="15.75" hidden="false" customHeight="false" outlineLevel="0" collapsed="false">
      <c r="A54" s="216" t="s">
        <v>70</v>
      </c>
      <c r="B54" s="120" t="n">
        <f aca="false">SUM(I54:J54)</f>
        <v>9</v>
      </c>
      <c r="C54" s="4" t="str">
        <f aca="false">IF(COUNTIFS('Все игры'!A$3:A877,A54,'Все игры'!F$3:F877,"=1")=0, "", COUNTIFS('Все игры'!A$3:A877,A54,'Все игры'!F$3:F877,"=1"))</f>
        <v/>
      </c>
      <c r="D54" s="76" t="str">
        <f aca="false">IF(COUNTIFS('Все игры'!A$3:A877,A54,'Все игры'!F$3:F877,"=0,50")=0, "", COUNTIFS('Все игры'!A$3:A877,A54,'Все игры'!F$3:F877,"=0,50"))</f>
        <v/>
      </c>
      <c r="E54" s="76" t="str">
        <f aca="false">IF(COUNTIFS('Все игры'!A$3:A877,A54,'Все игры'!E$3:E877,"ПУ")=0, "", COUNTIFS('Все игры'!A$3:A877,A54,'Все игры'!E$3:E877,"ПУ"))</f>
        <v/>
      </c>
      <c r="F54" s="121" t="n">
        <f aca="false">IFERROR(E54/I54,0)</f>
        <v>0</v>
      </c>
      <c r="G54" s="76" t="str">
        <f aca="false">IF(COUNTIFS('Все игры'!A$3:A877,A54,'Все игры'!E$3:E877,"У/Победа")=0, "",COUNTIFS('Все игры'!A$3:A877,A54,'Все игры'!E$3:E877,"У/Победа") )</f>
        <v/>
      </c>
      <c r="H54" s="76" t="str">
        <f aca="false">IF(COUNTIFS('Все игры'!A$3:A877,A54,'Все игры'!E$3:E877,"У/Проигрыш")=0, "",COUNTIFS('Все игры'!A$3:A877,A54,'Все игры'!E$3:E877,"У/Проигрыш") )</f>
        <v/>
      </c>
      <c r="I54" s="120" t="n">
        <f aca="false">M54+N54+Q54+R54</f>
        <v>7</v>
      </c>
      <c r="J54" s="120" t="n">
        <f aca="false">K54+L54+O54+P54</f>
        <v>2</v>
      </c>
      <c r="K54" s="120" t="n">
        <f aca="false">COUNTIFS('Все игры'!A$3:A877,A54,'Все игры'!C$3:C877,"&gt;0",'Все игры'!B$3:B877,"Мафия")</f>
        <v>0</v>
      </c>
      <c r="L54" s="120" t="n">
        <f aca="false">IFERROR(__xludf.dummyfunction("COUNTBLANK(FILTER('Все игры'!A$3:C877,'Все игры'!A$3:A877=A54,'Все игры'!C$3:C877 &lt; 1,'Все игры'!B$3:B877=""Мафия""))"),2)</f>
        <v>2</v>
      </c>
      <c r="M54" s="120" t="n">
        <f aca="false">COUNTIFS('Все игры'!A$3:A877,A54,'Все игры'!C$3:C877,"&gt;0",'Все игры'!B$3:B877,"Шериф")</f>
        <v>0</v>
      </c>
      <c r="N54" s="120" t="n">
        <f aca="false">IFERROR(__xludf.dummyfunction("COUNTBLANK(FILTER('Все игры'!A$3:C877,'Все игры'!A$3:A877=A54,'Все игры'!C$3:C877 &lt; 1,'Все игры'!B$3:B877=""Шериф""))"),1)</f>
        <v>1</v>
      </c>
      <c r="O54" s="120" t="n">
        <f aca="false">COUNTIFS('Все игры'!A$3:A877,A54,'Все игры'!C$3:C877,"&gt;0",'Все игры'!B$3:B877,"Дон")</f>
        <v>0</v>
      </c>
      <c r="P54" s="122" t="n">
        <f aca="false">IFERROR(__xludf.dummyfunction("COUNTBLANK(FILTER('Все игры'!A$3:C877,'Все игры'!A$3:A877=A54,'Все игры'!C$3:C877 &lt; 1,'Все игры'!B$3:B877=""Дон""))"),0)</f>
        <v>0</v>
      </c>
      <c r="Q54" s="120" t="n">
        <f aca="false">COUNTIFS('Все игры'!A$3:A877,A54,'Все игры'!C$3:C877,"&gt;0",'Все игры'!B$3:B877,"Мирный")</f>
        <v>0</v>
      </c>
      <c r="R54" s="120" t="n">
        <f aca="false">IFERROR(__xludf.dummyfunction("COUNTBLANK(FILTER('Все игры'!A$3:C877,'Все игры'!A$3:A877=A54,'Все игры'!C$3:C877 &lt; 1,'Все игры'!B$3:B877=""Мирный""))"),6)</f>
        <v>6</v>
      </c>
      <c r="S54" s="123" t="n">
        <f aca="false">IFERROR((K54+M54+O54+Q54)/(I54+J54), )</f>
        <v>0</v>
      </c>
      <c r="T54" s="123" t="n">
        <f aca="false">IFERROR((M54+Q54)/I54, )</f>
        <v>0</v>
      </c>
      <c r="U54" s="123" t="n">
        <f aca="false">IFERROR((K54+O54)/J54, )</f>
        <v>0</v>
      </c>
      <c r="V54" s="123" t="n">
        <f aca="false">IFERROR(K54/(K54+L54), )</f>
        <v>0</v>
      </c>
      <c r="W54" s="123" t="n">
        <f aca="false">IFERROR(M54/(M54+N54), )</f>
        <v>0</v>
      </c>
      <c r="X54" s="123" t="n">
        <f aca="false">IFERROR(O54/(O54+P54), )</f>
        <v>0</v>
      </c>
      <c r="Y54" s="123" t="n">
        <f aca="false">IFERROR(Q54/(Q54+R54), )</f>
        <v>0</v>
      </c>
      <c r="Z54" s="124" t="n">
        <f aca="false">SUMIFS('Все игры'!D$3:D877,'Все игры'!A$3:A877,A54)</f>
        <v>0</v>
      </c>
      <c r="AA54" s="124" t="n">
        <f aca="false">SUMIFS('Все игры'!D$3:D877,'Все игры'!A$3:A877,A54,'Все игры'!B$3:B877,"Мафия")</f>
        <v>0</v>
      </c>
      <c r="AB54" s="124" t="n">
        <f aca="false">SUMIFS('Все игры'!D$3:D877,'Все игры'!A$3:A877,A54,'Все игры'!B$3:B877,"Шериф")</f>
        <v>0</v>
      </c>
      <c r="AC54" s="124" t="n">
        <f aca="false">SUMIFS('Все игры'!D$3:D877,'Все игры'!A$3:A877,A54,'Все игры'!B$3:B877,"Дон")</f>
        <v>0</v>
      </c>
      <c r="AD54" s="124" t="n">
        <f aca="false">SUMIFS('Все игры'!D$3:D877,'Все игры'!A$3:A877,A54,'Все игры'!B$3:B877,"Мирный")</f>
        <v>0</v>
      </c>
      <c r="AE54" s="124" t="n">
        <f aca="false">IFERROR(Z54/B54,0)</f>
        <v>0</v>
      </c>
      <c r="AF54" s="124" t="n">
        <f aca="false">IFERROR(AA54/(K54+L54),0)</f>
        <v>0</v>
      </c>
      <c r="AG54" s="124" t="n">
        <f aca="false">IFERROR(AB54/(M54+N54),0)</f>
        <v>0</v>
      </c>
      <c r="AH54" s="124" t="n">
        <f aca="false">IFERROR(AC54/(O54+P54),0)</f>
        <v>0</v>
      </c>
      <c r="AI54" s="124" t="n">
        <f aca="false">IFERROR(AD54/(Q54+R54),0)</f>
        <v>0</v>
      </c>
    </row>
    <row r="55" customFormat="false" ht="15.75" hidden="false" customHeight="false" outlineLevel="0" collapsed="false">
      <c r="A55" s="216" t="s">
        <v>43</v>
      </c>
      <c r="B55" s="120" t="n">
        <f aca="false">SUM(I55:J55)</f>
        <v>2</v>
      </c>
      <c r="C55" s="4" t="str">
        <f aca="false">IF(COUNTIFS('Все игры'!A$3:A877,A55,'Все игры'!F$3:F877,"=1")=0, "", COUNTIFS('Все игры'!A$3:A877,A55,'Все игры'!F$3:F877,"=1"))</f>
        <v/>
      </c>
      <c r="D55" s="76" t="str">
        <f aca="false">IF(COUNTIFS('Все игры'!A$3:A877,A55,'Все игры'!F$3:F877,"=0,50")=0, "", COUNTIFS('Все игры'!A$3:A877,A55,'Все игры'!F$3:F877,"=0,50"))</f>
        <v/>
      </c>
      <c r="E55" s="76" t="str">
        <f aca="false">IF(COUNTIFS('Все игры'!A$3:A877,A55,'Все игры'!E$3:E877,"ПУ")=0, "", COUNTIFS('Все игры'!A$3:A877,A55,'Все игры'!E$3:E877,"ПУ"))</f>
        <v/>
      </c>
      <c r="F55" s="121" t="n">
        <f aca="false">IFERROR(E55/I55,0)</f>
        <v>0</v>
      </c>
      <c r="G55" s="76" t="str">
        <f aca="false">IF(COUNTIFS('Все игры'!A$3:A877,A55,'Все игры'!E$3:E877,"У/Победа")=0, "",COUNTIFS('Все игры'!A$3:A877,A55,'Все игры'!E$3:E877,"У/Победа") )</f>
        <v/>
      </c>
      <c r="H55" s="76" t="str">
        <f aca="false">IF(COUNTIFS('Все игры'!A$3:A877,A55,'Все игры'!E$3:E877,"У/Проигрыш")=0, "",COUNTIFS('Все игры'!A$3:A877,A55,'Все игры'!E$3:E877,"У/Проигрыш") )</f>
        <v/>
      </c>
      <c r="I55" s="120" t="n">
        <f aca="false">M55+N55+Q55+R55</f>
        <v>2</v>
      </c>
      <c r="J55" s="120" t="n">
        <f aca="false">K55+L55+O55+P55</f>
        <v>0</v>
      </c>
      <c r="K55" s="120" t="n">
        <f aca="false">COUNTIFS('Все игры'!A$3:A877,A55,'Все игры'!C$3:C877,"&gt;0",'Все игры'!B$3:B877,"Мафия")</f>
        <v>0</v>
      </c>
      <c r="L55" s="120" t="n">
        <f aca="false">IFERROR(__xludf.dummyfunction("COUNTBLANK(FILTER('Все игры'!A$3:C877,'Все игры'!A$3:A877=A55,'Все игры'!C$3:C877 &lt; 1,'Все игры'!B$3:B877=""Мафия""))"),0)</f>
        <v>0</v>
      </c>
      <c r="M55" s="120" t="n">
        <f aca="false">COUNTIFS('Все игры'!A$3:A877,A55,'Все игры'!C$3:C877,"&gt;0",'Все игры'!B$3:B877,"Шериф")</f>
        <v>0</v>
      </c>
      <c r="N55" s="120" t="n">
        <f aca="false">IFERROR(__xludf.dummyfunction("COUNTBLANK(FILTER('Все игры'!A$3:C877,'Все игры'!A$3:A877=A55,'Все игры'!C$3:C877 &lt; 1,'Все игры'!B$3:B877=""Шериф""))"),1)</f>
        <v>1</v>
      </c>
      <c r="O55" s="120" t="n">
        <f aca="false">COUNTIFS('Все игры'!A$3:A877,A55,'Все игры'!C$3:C877,"&gt;0",'Все игры'!B$3:B877,"Дон")</f>
        <v>0</v>
      </c>
      <c r="P55" s="122" t="n">
        <f aca="false">IFERROR(__xludf.dummyfunction("COUNTBLANK(FILTER('Все игры'!A$3:C877,'Все игры'!A$3:A877=A55,'Все игры'!C$3:C877 &lt; 1,'Все игры'!B$3:B877=""Дон""))"),0)</f>
        <v>0</v>
      </c>
      <c r="Q55" s="120" t="n">
        <f aca="false">COUNTIFS('Все игры'!A$3:A877,A55,'Все игры'!C$3:C877,"&gt;0",'Все игры'!B$3:B877,"Мирный")</f>
        <v>0</v>
      </c>
      <c r="R55" s="120" t="n">
        <f aca="false">IFERROR(__xludf.dummyfunction("COUNTBLANK(FILTER('Все игры'!A$3:C877,'Все игры'!A$3:A877=A55,'Все игры'!C$3:C877 &lt; 1,'Все игры'!B$3:B877=""Мирный""))"),1)</f>
        <v>1</v>
      </c>
      <c r="S55" s="123" t="n">
        <f aca="false">IFERROR((K55+M55+O55+Q55)/(I55+J55), )</f>
        <v>0</v>
      </c>
      <c r="T55" s="123" t="n">
        <f aca="false">IFERROR((M55+Q55)/I55, )</f>
        <v>0</v>
      </c>
      <c r="U55" s="123" t="n">
        <f aca="false">IFERROR((K55+O55)/J55, )</f>
        <v>0</v>
      </c>
      <c r="V55" s="123" t="n">
        <f aca="false">IFERROR(K55/(K55+L55), )</f>
        <v>0</v>
      </c>
      <c r="W55" s="123" t="n">
        <f aca="false">IFERROR(M55/(M55+N55), )</f>
        <v>0</v>
      </c>
      <c r="X55" s="123" t="n">
        <f aca="false">IFERROR(O55/(O55+P55), )</f>
        <v>0</v>
      </c>
      <c r="Y55" s="123" t="n">
        <f aca="false">IFERROR(Q55/(Q55+R55), )</f>
        <v>0</v>
      </c>
      <c r="Z55" s="124" t="n">
        <f aca="false">SUMIFS('Все игры'!D$3:D877,'Все игры'!A$3:A877,A55)</f>
        <v>0</v>
      </c>
      <c r="AA55" s="124" t="n">
        <f aca="false">SUMIFS('Все игры'!D$3:D877,'Все игры'!A$3:A877,A55,'Все игры'!B$3:B877,"Мафия")</f>
        <v>0</v>
      </c>
      <c r="AB55" s="124" t="n">
        <f aca="false">SUMIFS('Все игры'!D$3:D877,'Все игры'!A$3:A877,A55,'Все игры'!B$3:B877,"Шериф")</f>
        <v>0</v>
      </c>
      <c r="AC55" s="124" t="n">
        <f aca="false">SUMIFS('Все игры'!D$3:D877,'Все игры'!A$3:A877,A55,'Все игры'!B$3:B877,"Дон")</f>
        <v>0</v>
      </c>
      <c r="AD55" s="124" t="n">
        <f aca="false">SUMIFS('Все игры'!D$3:D877,'Все игры'!A$3:A877,A55,'Все игры'!B$3:B877,"Мирный")</f>
        <v>0</v>
      </c>
      <c r="AE55" s="124" t="n">
        <f aca="false">IFERROR(Z55/B55,0)</f>
        <v>0</v>
      </c>
      <c r="AF55" s="124" t="n">
        <f aca="false">IFERROR(AA55/(K55+L55),0)</f>
        <v>0</v>
      </c>
      <c r="AG55" s="124" t="n">
        <f aca="false">IFERROR(AB55/(M55+N55),0)</f>
        <v>0</v>
      </c>
      <c r="AH55" s="124" t="n">
        <f aca="false">IFERROR(AC55/(O55+P55),0)</f>
        <v>0</v>
      </c>
      <c r="AI55" s="124" t="n">
        <f aca="false">IFERROR(AD55/(Q55+R55),0)</f>
        <v>0</v>
      </c>
    </row>
    <row r="56" customFormat="false" ht="15.75" hidden="false" customHeight="false" outlineLevel="0" collapsed="false">
      <c r="A56" s="216" t="s">
        <v>269</v>
      </c>
      <c r="B56" s="120" t="n">
        <f aca="false">SUM(I56:J56)</f>
        <v>0</v>
      </c>
      <c r="C56" s="4" t="str">
        <f aca="false">IF(COUNTIFS('Все игры'!A$3:A877,A56,'Все игры'!F$3:F877,"=1")=0, "", COUNTIFS('Все игры'!A$3:A877,A56,'Все игры'!F$3:F877,"=1"))</f>
        <v/>
      </c>
      <c r="D56" s="76" t="str">
        <f aca="false">IF(COUNTIFS('Все игры'!A$3:A877,A56,'Все игры'!F$3:F877,"=0,50")=0, "", COUNTIFS('Все игры'!A$3:A877,A56,'Все игры'!F$3:F877,"=0,50"))</f>
        <v/>
      </c>
      <c r="E56" s="76" t="str">
        <f aca="false">IF(COUNTIFS('Все игры'!A$3:A877,A56,'Все игры'!E$3:E877,"ПУ")=0, "", COUNTIFS('Все игры'!A$3:A877,A56,'Все игры'!E$3:E877,"ПУ"))</f>
        <v/>
      </c>
      <c r="F56" s="121" t="n">
        <f aca="false">IFERROR(E56/I56,0)</f>
        <v>0</v>
      </c>
      <c r="G56" s="76" t="str">
        <f aca="false">IF(COUNTIFS('Все игры'!A$3:A877,A56,'Все игры'!E$3:E877,"У/Победа")=0, "",COUNTIFS('Все игры'!A$3:A877,A56,'Все игры'!E$3:E877,"У/Победа") )</f>
        <v/>
      </c>
      <c r="H56" s="76" t="str">
        <f aca="false">IF(COUNTIFS('Все игры'!A$3:A877,A56,'Все игры'!E$3:E877,"У/Проигрыш")=0, "",COUNTIFS('Все игры'!A$3:A877,A56,'Все игры'!E$3:E877,"У/Проигрыш") )</f>
        <v/>
      </c>
      <c r="I56" s="120" t="n">
        <f aca="false">M56+N56+Q56+R56</f>
        <v>0</v>
      </c>
      <c r="J56" s="120" t="n">
        <f aca="false">K56+L56+O56+P56</f>
        <v>0</v>
      </c>
      <c r="K56" s="120" t="n">
        <f aca="false">COUNTIFS('Все игры'!A$3:A877,A56,'Все игры'!C$3:C877,"&gt;0",'Все игры'!B$3:B877,"Мафия")</f>
        <v>0</v>
      </c>
      <c r="L56" s="120" t="n">
        <f aca="false">IFERROR(__xludf.dummyfunction("COUNTBLANK(FILTER('Все игры'!A$3:C877,'Все игры'!A$3:A877=A56,'Все игры'!C$3:C877 &lt; 1,'Все игры'!B$3:B877=""Мафия""))"),0)</f>
        <v>0</v>
      </c>
      <c r="M56" s="120" t="n">
        <f aca="false">COUNTIFS('Все игры'!A$3:A877,A56,'Все игры'!C$3:C877,"&gt;0",'Все игры'!B$3:B877,"Шериф")</f>
        <v>0</v>
      </c>
      <c r="N56" s="120" t="n">
        <f aca="false">IFERROR(__xludf.dummyfunction("COUNTBLANK(FILTER('Все игры'!A$3:C877,'Все игры'!A$3:A877=A56,'Все игры'!C$3:C877 &lt; 1,'Все игры'!B$3:B877=""Шериф""))"),0)</f>
        <v>0</v>
      </c>
      <c r="O56" s="120" t="n">
        <f aca="false">COUNTIFS('Все игры'!A$3:A877,A56,'Все игры'!C$3:C877,"&gt;0",'Все игры'!B$3:B877,"Дон")</f>
        <v>0</v>
      </c>
      <c r="P56" s="122" t="n">
        <f aca="false">IFERROR(__xludf.dummyfunction("COUNTBLANK(FILTER('Все игры'!A$3:C877,'Все игры'!A$3:A877=A56,'Все игры'!C$3:C877 &lt; 1,'Все игры'!B$3:B877=""Дон""))"),0)</f>
        <v>0</v>
      </c>
      <c r="Q56" s="120" t="n">
        <f aca="false">COUNTIFS('Все игры'!A$3:A877,A56,'Все игры'!C$3:C877,"&gt;0",'Все игры'!B$3:B877,"Мирный")</f>
        <v>0</v>
      </c>
      <c r="R56" s="120" t="n">
        <f aca="false">IFERROR(__xludf.dummyfunction("COUNTBLANK(FILTER('Все игры'!A$3:C877,'Все игры'!A$3:A877=A56,'Все игры'!C$3:C877 &lt; 1,'Все игры'!B$3:B877=""Мирный""))"),0)</f>
        <v>0</v>
      </c>
      <c r="S56" s="123" t="n">
        <f aca="false">IFERROR((K56+M56+O56+Q56)/(I56+J56), )</f>
        <v>0</v>
      </c>
      <c r="T56" s="123" t="n">
        <f aca="false">IFERROR((M56+Q56)/I56, )</f>
        <v>0</v>
      </c>
      <c r="U56" s="123" t="n">
        <f aca="false">IFERROR((K56+O56)/J56, )</f>
        <v>0</v>
      </c>
      <c r="V56" s="123" t="n">
        <f aca="false">IFERROR(K56/(K56+L56), )</f>
        <v>0</v>
      </c>
      <c r="W56" s="123" t="n">
        <f aca="false">IFERROR(M56/(M56+N56), )</f>
        <v>0</v>
      </c>
      <c r="X56" s="123" t="n">
        <f aca="false">IFERROR(O56/(O56+P56), )</f>
        <v>0</v>
      </c>
      <c r="Y56" s="123" t="n">
        <f aca="false">IFERROR(Q56/(Q56+R56), )</f>
        <v>0</v>
      </c>
      <c r="Z56" s="124" t="n">
        <f aca="false">SUMIFS('Все игры'!D$3:D877,'Все игры'!A$3:A877,A56)</f>
        <v>0</v>
      </c>
      <c r="AA56" s="124" t="n">
        <f aca="false">SUMIFS('Все игры'!D$3:D877,'Все игры'!A$3:A877,A56,'Все игры'!B$3:B877,"Мафия")</f>
        <v>0</v>
      </c>
      <c r="AB56" s="124" t="n">
        <f aca="false">SUMIFS('Все игры'!D$3:D877,'Все игры'!A$3:A877,A56,'Все игры'!B$3:B877,"Шериф")</f>
        <v>0</v>
      </c>
      <c r="AC56" s="124" t="n">
        <f aca="false">SUMIFS('Все игры'!D$3:D877,'Все игры'!A$3:A877,A56,'Все игры'!B$3:B877,"Дон")</f>
        <v>0</v>
      </c>
      <c r="AD56" s="124" t="n">
        <f aca="false">SUMIFS('Все игры'!D$3:D877,'Все игры'!A$3:A877,A56,'Все игры'!B$3:B877,"Мирный")</f>
        <v>0</v>
      </c>
      <c r="AE56" s="124" t="n">
        <f aca="false">IFERROR(Z56/B56,0)</f>
        <v>0</v>
      </c>
      <c r="AF56" s="124" t="n">
        <f aca="false">IFERROR(AA56/(K56+L56),0)</f>
        <v>0</v>
      </c>
      <c r="AG56" s="124" t="n">
        <f aca="false">IFERROR(AB56/(M56+N56),0)</f>
        <v>0</v>
      </c>
      <c r="AH56" s="124" t="n">
        <f aca="false">IFERROR(AC56/(O56+P56),0)</f>
        <v>0</v>
      </c>
      <c r="AI56" s="124" t="n">
        <f aca="false">IFERROR(AD56/(Q56+R56),0)</f>
        <v>0</v>
      </c>
    </row>
    <row r="57" customFormat="false" ht="15.75" hidden="false" customHeight="false" outlineLevel="0" collapsed="false">
      <c r="A57" s="216" t="s">
        <v>40</v>
      </c>
      <c r="B57" s="120" t="n">
        <f aca="false">SUM(I57:J57)</f>
        <v>8</v>
      </c>
      <c r="C57" s="4" t="str">
        <f aca="false">IF(COUNTIFS('Все игры'!A$3:A877,A57,'Все игры'!F$3:F877,"=1")=0, "", COUNTIFS('Все игры'!A$3:A877,A57,'Все игры'!F$3:F877,"=1"))</f>
        <v/>
      </c>
      <c r="D57" s="76" t="str">
        <f aca="false">IF(COUNTIFS('Все игры'!A$3:A877,A57,'Все игры'!F$3:F877,"=0,50")=0, "", COUNTIFS('Все игры'!A$3:A877,A57,'Все игры'!F$3:F877,"=0,50"))</f>
        <v/>
      </c>
      <c r="E57" s="76" t="str">
        <f aca="false">IF(COUNTIFS('Все игры'!A$3:A877,A57,'Все игры'!E$3:E877,"ПУ")=0, "", COUNTIFS('Все игры'!A$3:A877,A57,'Все игры'!E$3:E877,"ПУ"))</f>
        <v/>
      </c>
      <c r="F57" s="121" t="n">
        <f aca="false">IFERROR(E57/I57,0)</f>
        <v>0</v>
      </c>
      <c r="G57" s="76" t="str">
        <f aca="false">IF(COUNTIFS('Все игры'!A$3:A877,A57,'Все игры'!E$3:E877,"У/Победа")=0, "",COUNTIFS('Все игры'!A$3:A877,A57,'Все игры'!E$3:E877,"У/Победа") )</f>
        <v/>
      </c>
      <c r="H57" s="76" t="str">
        <f aca="false">IF(COUNTIFS('Все игры'!A$3:A877,A57,'Все игры'!E$3:E877,"У/Проигрыш")=0, "",COUNTIFS('Все игры'!A$3:A877,A57,'Все игры'!E$3:E877,"У/Проигрыш") )</f>
        <v/>
      </c>
      <c r="I57" s="120" t="n">
        <f aca="false">M57+N57+Q57+R57</f>
        <v>6</v>
      </c>
      <c r="J57" s="120" t="n">
        <f aca="false">K57+L57+O57+P57</f>
        <v>2</v>
      </c>
      <c r="K57" s="120" t="n">
        <f aca="false">COUNTIFS('Все игры'!A$3:A877,A57,'Все игры'!C$3:C877,"&gt;0",'Все игры'!B$3:B877,"Мафия")</f>
        <v>0</v>
      </c>
      <c r="L57" s="120" t="n">
        <f aca="false">IFERROR(__xludf.dummyfunction("COUNTBLANK(FILTER('Все игры'!A$3:C877,'Все игры'!A$3:A877=A57,'Все игры'!C$3:C877 &lt; 1,'Все игры'!B$3:B877=""Мафия""))"),2)</f>
        <v>2</v>
      </c>
      <c r="M57" s="120" t="n">
        <f aca="false">COUNTIFS('Все игры'!A$3:A877,A57,'Все игры'!C$3:C877,"&gt;0",'Все игры'!B$3:B877,"Шериф")</f>
        <v>0</v>
      </c>
      <c r="N57" s="120" t="n">
        <f aca="false">IFERROR(__xludf.dummyfunction("COUNTBLANK(FILTER('Все игры'!A$3:C877,'Все игры'!A$3:A877=A57,'Все игры'!C$3:C877 &lt; 1,'Все игры'!B$3:B877=""Шериф""))"),1)</f>
        <v>1</v>
      </c>
      <c r="O57" s="120" t="n">
        <f aca="false">COUNTIFS('Все игры'!A$3:A877,A57,'Все игры'!C$3:C877,"&gt;0",'Все игры'!B$3:B877,"Дон")</f>
        <v>0</v>
      </c>
      <c r="P57" s="122" t="n">
        <f aca="false">IFERROR(__xludf.dummyfunction("COUNTBLANK(FILTER('Все игры'!A$3:C877,'Все игры'!A$3:A877=A57,'Все игры'!C$3:C877 &lt; 1,'Все игры'!B$3:B877=""Дон""))"),0)</f>
        <v>0</v>
      </c>
      <c r="Q57" s="120" t="n">
        <f aca="false">COUNTIFS('Все игры'!A$3:A877,A57,'Все игры'!C$3:C877,"&gt;0",'Все игры'!B$3:B877,"Мирный")</f>
        <v>0</v>
      </c>
      <c r="R57" s="120" t="n">
        <f aca="false">IFERROR(__xludf.dummyfunction("COUNTBLANK(FILTER('Все игры'!A$3:C877,'Все игры'!A$3:A877=A57,'Все игры'!C$3:C877 &lt; 1,'Все игры'!B$3:B877=""Мирный""))"),5)</f>
        <v>5</v>
      </c>
      <c r="S57" s="123" t="n">
        <f aca="false">IFERROR((K57+M57+O57+Q57)/(I57+J57), )</f>
        <v>0</v>
      </c>
      <c r="T57" s="123" t="n">
        <f aca="false">IFERROR((M57+Q57)/I57, )</f>
        <v>0</v>
      </c>
      <c r="U57" s="123" t="n">
        <f aca="false">IFERROR((K57+O57)/J57, )</f>
        <v>0</v>
      </c>
      <c r="V57" s="123" t="n">
        <f aca="false">IFERROR(K57/(K57+L57), )</f>
        <v>0</v>
      </c>
      <c r="W57" s="123" t="n">
        <f aca="false">IFERROR(M57/(M57+N57), )</f>
        <v>0</v>
      </c>
      <c r="X57" s="123" t="n">
        <f aca="false">IFERROR(O57/(O57+P57), )</f>
        <v>0</v>
      </c>
      <c r="Y57" s="123" t="n">
        <f aca="false">IFERROR(Q57/(Q57+R57), )</f>
        <v>0</v>
      </c>
      <c r="Z57" s="124" t="n">
        <f aca="false">SUMIFS('Все игры'!D$3:D877,'Все игры'!A$3:A877,A57)</f>
        <v>0</v>
      </c>
      <c r="AA57" s="124" t="n">
        <f aca="false">SUMIFS('Все игры'!D$3:D877,'Все игры'!A$3:A877,A57,'Все игры'!B$3:B877,"Мафия")</f>
        <v>0</v>
      </c>
      <c r="AB57" s="124" t="n">
        <f aca="false">SUMIFS('Все игры'!D$3:D877,'Все игры'!A$3:A877,A57,'Все игры'!B$3:B877,"Шериф")</f>
        <v>0</v>
      </c>
      <c r="AC57" s="124" t="n">
        <f aca="false">SUMIFS('Все игры'!D$3:D877,'Все игры'!A$3:A877,A57,'Все игры'!B$3:B877,"Дон")</f>
        <v>0</v>
      </c>
      <c r="AD57" s="124" t="n">
        <f aca="false">SUMIFS('Все игры'!D$3:D877,'Все игры'!A$3:A877,A57,'Все игры'!B$3:B877,"Мирный")</f>
        <v>0</v>
      </c>
      <c r="AE57" s="124" t="n">
        <f aca="false">IFERROR(Z57/B57,0)</f>
        <v>0</v>
      </c>
      <c r="AF57" s="124" t="n">
        <f aca="false">IFERROR(AA57/(K57+L57),0)</f>
        <v>0</v>
      </c>
      <c r="AG57" s="124" t="n">
        <f aca="false">IFERROR(AB57/(M57+N57),0)</f>
        <v>0</v>
      </c>
      <c r="AH57" s="124" t="n">
        <f aca="false">IFERROR(AC57/(O57+P57),0)</f>
        <v>0</v>
      </c>
      <c r="AI57" s="124" t="n">
        <f aca="false">IFERROR(AD57/(Q57+R57),0)</f>
        <v>0</v>
      </c>
    </row>
    <row r="58" customFormat="false" ht="15.75" hidden="false" customHeight="false" outlineLevel="0" collapsed="false">
      <c r="A58" s="216" t="s">
        <v>217</v>
      </c>
      <c r="B58" s="120" t="n">
        <f aca="false">SUM(I58:J58)</f>
        <v>4</v>
      </c>
      <c r="C58" s="4" t="str">
        <f aca="false">IF(COUNTIFS('Все игры'!A$3:A877,A58,'Все игры'!F$3:F877,"=1")=0, "", COUNTIFS('Все игры'!A$3:A877,A58,'Все игры'!F$3:F877,"=1"))</f>
        <v/>
      </c>
      <c r="D58" s="76" t="str">
        <f aca="false">IF(COUNTIFS('Все игры'!A$3:A877,A58,'Все игры'!F$3:F877,"=0,50")=0, "", COUNTIFS('Все игры'!A$3:A877,A58,'Все игры'!F$3:F877,"=0,50"))</f>
        <v/>
      </c>
      <c r="E58" s="76" t="str">
        <f aca="false">IF(COUNTIFS('Все игры'!A$3:A877,A58,'Все игры'!E$3:E877,"ПУ")=0, "", COUNTIFS('Все игры'!A$3:A877,A58,'Все игры'!E$3:E877,"ПУ"))</f>
        <v/>
      </c>
      <c r="F58" s="121" t="n">
        <f aca="false">IFERROR(E58/I58,0)</f>
        <v>0</v>
      </c>
      <c r="G58" s="76" t="str">
        <f aca="false">IF(COUNTIFS('Все игры'!A$3:A877,A58,'Все игры'!E$3:E877,"У/Победа")=0, "",COUNTIFS('Все игры'!A$3:A877,A58,'Все игры'!E$3:E877,"У/Победа") )</f>
        <v/>
      </c>
      <c r="H58" s="76" t="str">
        <f aca="false">IF(COUNTIFS('Все игры'!A$3:A877,A58,'Все игры'!E$3:E877,"У/Проигрыш")=0, "",COUNTIFS('Все игры'!A$3:A877,A58,'Все игры'!E$3:E877,"У/Проигрыш") )</f>
        <v/>
      </c>
      <c r="I58" s="120" t="n">
        <f aca="false">M58+N58+Q58+R58</f>
        <v>4</v>
      </c>
      <c r="J58" s="120" t="n">
        <f aca="false">K58+L58+O58+P58</f>
        <v>0</v>
      </c>
      <c r="K58" s="120" t="n">
        <f aca="false">COUNTIFS('Все игры'!A$3:A877,A58,'Все игры'!C$3:C877,"&gt;0",'Все игры'!B$3:B877,"Мафия")</f>
        <v>0</v>
      </c>
      <c r="L58" s="120" t="n">
        <f aca="false">IFERROR(__xludf.dummyfunction("COUNTBLANK(FILTER('Все игры'!A$3:C877,'Все игры'!A$3:A877=A58,'Все игры'!C$3:C877 &lt; 1,'Все игры'!B$3:B877=""Мафия""))"),0)</f>
        <v>0</v>
      </c>
      <c r="M58" s="120" t="n">
        <f aca="false">COUNTIFS('Все игры'!A$3:A877,A58,'Все игры'!C$3:C877,"&gt;0",'Все игры'!B$3:B877,"Шериф")</f>
        <v>0</v>
      </c>
      <c r="N58" s="120" t="n">
        <f aca="false">IFERROR(__xludf.dummyfunction("COUNTBLANK(FILTER('Все игры'!A$3:C877,'Все игры'!A$3:A877=A58,'Все игры'!C$3:C877 &lt; 1,'Все игры'!B$3:B877=""Шериф""))"),1)</f>
        <v>1</v>
      </c>
      <c r="O58" s="120" t="n">
        <f aca="false">COUNTIFS('Все игры'!A$3:A877,A58,'Все игры'!C$3:C877,"&gt;0",'Все игры'!B$3:B877,"Дон")</f>
        <v>0</v>
      </c>
      <c r="P58" s="122" t="n">
        <f aca="false">IFERROR(__xludf.dummyfunction("COUNTBLANK(FILTER('Все игры'!A$3:C877,'Все игры'!A$3:A877=A58,'Все игры'!C$3:C877 &lt; 1,'Все игры'!B$3:B877=""Дон""))"),0)</f>
        <v>0</v>
      </c>
      <c r="Q58" s="120" t="n">
        <f aca="false">COUNTIFS('Все игры'!A$3:A877,A58,'Все игры'!C$3:C877,"&gt;0",'Все игры'!B$3:B877,"Мирный")</f>
        <v>0</v>
      </c>
      <c r="R58" s="120" t="n">
        <f aca="false">IFERROR(__xludf.dummyfunction("COUNTBLANK(FILTER('Все игры'!A$3:C877,'Все игры'!A$3:A877=A58,'Все игры'!C$3:C877 &lt; 1,'Все игры'!B$3:B877=""Мирный""))"),3)</f>
        <v>3</v>
      </c>
      <c r="S58" s="123" t="n">
        <f aca="false">IFERROR((K58+M58+O58+Q58)/(I58+J58), )</f>
        <v>0</v>
      </c>
      <c r="T58" s="123" t="n">
        <f aca="false">IFERROR((M58+Q58)/I58, )</f>
        <v>0</v>
      </c>
      <c r="U58" s="123" t="n">
        <f aca="false">IFERROR((K58+O58)/J58, )</f>
        <v>0</v>
      </c>
      <c r="V58" s="123" t="n">
        <f aca="false">IFERROR(K58/(K58+L58), )</f>
        <v>0</v>
      </c>
      <c r="W58" s="123" t="n">
        <f aca="false">IFERROR(M58/(M58+N58), )</f>
        <v>0</v>
      </c>
      <c r="X58" s="123" t="n">
        <f aca="false">IFERROR(O58/(O58+P58), )</f>
        <v>0</v>
      </c>
      <c r="Y58" s="123" t="n">
        <f aca="false">IFERROR(Q58/(Q58+R58), )</f>
        <v>0</v>
      </c>
      <c r="Z58" s="124" t="n">
        <f aca="false">SUMIFS('Все игры'!D$3:D877,'Все игры'!A$3:A877,A58)</f>
        <v>0</v>
      </c>
      <c r="AA58" s="124" t="n">
        <f aca="false">SUMIFS('Все игры'!D$3:D877,'Все игры'!A$3:A877,A58,'Все игры'!B$3:B877,"Мафия")</f>
        <v>0</v>
      </c>
      <c r="AB58" s="124" t="n">
        <f aca="false">SUMIFS('Все игры'!D$3:D877,'Все игры'!A$3:A877,A58,'Все игры'!B$3:B877,"Шериф")</f>
        <v>0</v>
      </c>
      <c r="AC58" s="124" t="n">
        <f aca="false">SUMIFS('Все игры'!D$3:D877,'Все игры'!A$3:A877,A58,'Все игры'!B$3:B877,"Дон")</f>
        <v>0</v>
      </c>
      <c r="AD58" s="124" t="n">
        <f aca="false">SUMIFS('Все игры'!D$3:D877,'Все игры'!A$3:A877,A58,'Все игры'!B$3:B877,"Мирный")</f>
        <v>0</v>
      </c>
      <c r="AE58" s="124" t="n">
        <f aca="false">IFERROR(Z58/B58,0)</f>
        <v>0</v>
      </c>
      <c r="AF58" s="124" t="n">
        <f aca="false">IFERROR(AA58/(K58+L58),0)</f>
        <v>0</v>
      </c>
      <c r="AG58" s="124" t="n">
        <f aca="false">IFERROR(AB58/(M58+N58),0)</f>
        <v>0</v>
      </c>
      <c r="AH58" s="124" t="n">
        <f aca="false">IFERROR(AC58/(O58+P58),0)</f>
        <v>0</v>
      </c>
      <c r="AI58" s="124" t="n">
        <f aca="false">IFERROR(AD58/(Q58+R58),0)</f>
        <v>0</v>
      </c>
    </row>
    <row r="59" customFormat="false" ht="15.75" hidden="false" customHeight="false" outlineLevel="0" collapsed="false">
      <c r="A59" s="216" t="s">
        <v>70</v>
      </c>
      <c r="B59" s="120" t="n">
        <f aca="false">SUM(I59:J59)</f>
        <v>9</v>
      </c>
      <c r="C59" s="4" t="str">
        <f aca="false">IF(COUNTIFS('Все игры'!A$3:A877,A59,'Все игры'!F$3:F877,"=1")=0, "", COUNTIFS('Все игры'!A$3:A877,A59,'Все игры'!F$3:F877,"=1"))</f>
        <v/>
      </c>
      <c r="D59" s="76" t="str">
        <f aca="false">IF(COUNTIFS('Все игры'!A$3:A877,A59,'Все игры'!F$3:F877,"=0,50")=0, "", COUNTIFS('Все игры'!A$3:A877,A59,'Все игры'!F$3:F877,"=0,50"))</f>
        <v/>
      </c>
      <c r="E59" s="76" t="str">
        <f aca="false">IF(COUNTIFS('Все игры'!A$3:A877,A59,'Все игры'!E$3:E877,"ПУ")=0, "", COUNTIFS('Все игры'!A$3:A877,A59,'Все игры'!E$3:E877,"ПУ"))</f>
        <v/>
      </c>
      <c r="F59" s="121" t="n">
        <f aca="false">IFERROR(E59/I59,0)</f>
        <v>0</v>
      </c>
      <c r="G59" s="76" t="str">
        <f aca="false">IF(COUNTIFS('Все игры'!A$3:A877,A59,'Все игры'!E$3:E877,"У/Победа")=0, "",COUNTIFS('Все игры'!A$3:A877,A59,'Все игры'!E$3:E877,"У/Победа") )</f>
        <v/>
      </c>
      <c r="H59" s="76" t="str">
        <f aca="false">IF(COUNTIFS('Все игры'!A$3:A877,A59,'Все игры'!E$3:E877,"У/Проигрыш")=0, "",COUNTIFS('Все игры'!A$3:A877,A59,'Все игры'!E$3:E877,"У/Проигрыш") )</f>
        <v/>
      </c>
      <c r="I59" s="120" t="n">
        <f aca="false">M59+N59+Q59+R59</f>
        <v>7</v>
      </c>
      <c r="J59" s="120" t="n">
        <f aca="false">K59+L59+O59+P59</f>
        <v>2</v>
      </c>
      <c r="K59" s="120" t="n">
        <f aca="false">COUNTIFS('Все игры'!A$3:A877,A59,'Все игры'!C$3:C877,"&gt;0",'Все игры'!B$3:B877,"Мафия")</f>
        <v>0</v>
      </c>
      <c r="L59" s="120" t="n">
        <f aca="false">IFERROR(__xludf.dummyfunction("COUNTBLANK(FILTER('Все игры'!A$3:C877,'Все игры'!A$3:A877=A59,'Все игры'!C$3:C877 &lt; 1,'Все игры'!B$3:B877=""Мафия""))"),2)</f>
        <v>2</v>
      </c>
      <c r="M59" s="120" t="n">
        <f aca="false">COUNTIFS('Все игры'!A$3:A877,A59,'Все игры'!C$3:C877,"&gt;0",'Все игры'!B$3:B877,"Шериф")</f>
        <v>0</v>
      </c>
      <c r="N59" s="120" t="n">
        <f aca="false">IFERROR(__xludf.dummyfunction("COUNTBLANK(FILTER('Все игры'!A$3:C877,'Все игры'!A$3:A877=A59,'Все игры'!C$3:C877 &lt; 1,'Все игры'!B$3:B877=""Шериф""))"),1)</f>
        <v>1</v>
      </c>
      <c r="O59" s="120" t="n">
        <f aca="false">COUNTIFS('Все игры'!A$3:A877,A59,'Все игры'!C$3:C877,"&gt;0",'Все игры'!B$3:B877,"Дон")</f>
        <v>0</v>
      </c>
      <c r="P59" s="122" t="n">
        <f aca="false">IFERROR(__xludf.dummyfunction("COUNTBLANK(FILTER('Все игры'!A$3:C877,'Все игры'!A$3:A877=A59,'Все игры'!C$3:C877 &lt; 1,'Все игры'!B$3:B877=""Дон""))"),0)</f>
        <v>0</v>
      </c>
      <c r="Q59" s="120" t="n">
        <f aca="false">COUNTIFS('Все игры'!A$3:A877,A59,'Все игры'!C$3:C877,"&gt;0",'Все игры'!B$3:B877,"Мирный")</f>
        <v>0</v>
      </c>
      <c r="R59" s="120" t="n">
        <f aca="false">IFERROR(__xludf.dummyfunction("COUNTBLANK(FILTER('Все игры'!A$3:C877,'Все игры'!A$3:A877=A59,'Все игры'!C$3:C877 &lt; 1,'Все игры'!B$3:B877=""Мирный""))"),6)</f>
        <v>6</v>
      </c>
      <c r="S59" s="123" t="n">
        <f aca="false">IFERROR((K59+M59+O59+Q59)/(I59+J59), )</f>
        <v>0</v>
      </c>
      <c r="T59" s="123" t="n">
        <f aca="false">IFERROR((M59+Q59)/I59, )</f>
        <v>0</v>
      </c>
      <c r="U59" s="123" t="n">
        <f aca="false">IFERROR((K59+O59)/J59, )</f>
        <v>0</v>
      </c>
      <c r="V59" s="123" t="n">
        <f aca="false">IFERROR(K59/(K59+L59), )</f>
        <v>0</v>
      </c>
      <c r="W59" s="123" t="n">
        <f aca="false">IFERROR(M59/(M59+N59), )</f>
        <v>0</v>
      </c>
      <c r="X59" s="123" t="n">
        <f aca="false">IFERROR(O59/(O59+P59), )</f>
        <v>0</v>
      </c>
      <c r="Y59" s="123" t="n">
        <f aca="false">IFERROR(Q59/(Q59+R59), )</f>
        <v>0</v>
      </c>
      <c r="Z59" s="124" t="n">
        <f aca="false">SUMIFS('Все игры'!D$3:D877,'Все игры'!A$3:A877,A59)</f>
        <v>0</v>
      </c>
      <c r="AA59" s="124" t="n">
        <f aca="false">SUMIFS('Все игры'!D$3:D877,'Все игры'!A$3:A877,A59,'Все игры'!B$3:B877,"Мафия")</f>
        <v>0</v>
      </c>
      <c r="AB59" s="124" t="n">
        <f aca="false">SUMIFS('Все игры'!D$3:D877,'Все игры'!A$3:A877,A59,'Все игры'!B$3:B877,"Шериф")</f>
        <v>0</v>
      </c>
      <c r="AC59" s="124" t="n">
        <f aca="false">SUMIFS('Все игры'!D$3:D877,'Все игры'!A$3:A877,A59,'Все игры'!B$3:B877,"Дон")</f>
        <v>0</v>
      </c>
      <c r="AD59" s="124" t="n">
        <f aca="false">SUMIFS('Все игры'!D$3:D877,'Все игры'!A$3:A877,A59,'Все игры'!B$3:B877,"Мирный")</f>
        <v>0</v>
      </c>
      <c r="AE59" s="124" t="n">
        <f aca="false">IFERROR(Z59/B59,0)</f>
        <v>0</v>
      </c>
      <c r="AF59" s="124" t="n">
        <f aca="false">IFERROR(AA59/(K59+L59),0)</f>
        <v>0</v>
      </c>
      <c r="AG59" s="124" t="n">
        <f aca="false">IFERROR(AB59/(M59+N59),0)</f>
        <v>0</v>
      </c>
      <c r="AH59" s="124" t="n">
        <f aca="false">IFERROR(AC59/(O59+P59),0)</f>
        <v>0</v>
      </c>
      <c r="AI59" s="124" t="n">
        <f aca="false">IFERROR(AD59/(Q59+R59),0)</f>
        <v>0</v>
      </c>
    </row>
    <row r="60" customFormat="false" ht="15.75" hidden="false" customHeight="false" outlineLevel="0" collapsed="false">
      <c r="A60" s="216" t="s">
        <v>37</v>
      </c>
      <c r="B60" s="120" t="n">
        <f aca="false">SUM(I60:J60)</f>
        <v>7</v>
      </c>
      <c r="C60" s="4" t="str">
        <f aca="false">IF(COUNTIFS('Все игры'!A$3:A877,A60,'Все игры'!F$3:F877,"=1")=0, "", COUNTIFS('Все игры'!A$3:A877,A60,'Все игры'!F$3:F877,"=1"))</f>
        <v/>
      </c>
      <c r="D60" s="76" t="str">
        <f aca="false">IF(COUNTIFS('Все игры'!A$3:A877,A60,'Все игры'!F$3:F877,"=0,50")=0, "", COUNTIFS('Все игры'!A$3:A877,A60,'Все игры'!F$3:F877,"=0,50"))</f>
        <v/>
      </c>
      <c r="E60" s="76" t="str">
        <f aca="false">IF(COUNTIFS('Все игры'!A$3:A877,A60,'Все игры'!E$3:E877,"ПУ")=0, "", COUNTIFS('Все игры'!A$3:A877,A60,'Все игры'!E$3:E877,"ПУ"))</f>
        <v/>
      </c>
      <c r="F60" s="121" t="n">
        <f aca="false">IFERROR(E60/I60,0)</f>
        <v>0</v>
      </c>
      <c r="G60" s="76" t="str">
        <f aca="false">IF(COUNTIFS('Все игры'!A$3:A877,A60,'Все игры'!E$3:E877,"У/Победа")=0, "",COUNTIFS('Все игры'!A$3:A877,A60,'Все игры'!E$3:E877,"У/Победа") )</f>
        <v/>
      </c>
      <c r="H60" s="76" t="str">
        <f aca="false">IF(COUNTIFS('Все игры'!A$3:A877,A60,'Все игры'!E$3:E877,"У/Проигрыш")=0, "",COUNTIFS('Все игры'!A$3:A877,A60,'Все игры'!E$3:E877,"У/Проигрыш") )</f>
        <v/>
      </c>
      <c r="I60" s="120" t="n">
        <f aca="false">M60+N60+Q60+R60</f>
        <v>6</v>
      </c>
      <c r="J60" s="120" t="n">
        <f aca="false">K60+L60+O60+P60</f>
        <v>1</v>
      </c>
      <c r="K60" s="120" t="n">
        <f aca="false">COUNTIFS('Все игры'!A$3:A877,A60,'Все игры'!C$3:C877,"&gt;0",'Все игры'!B$3:B877,"Мафия")</f>
        <v>0</v>
      </c>
      <c r="L60" s="120" t="n">
        <f aca="false">IFERROR(__xludf.dummyfunction("COUNTBLANK(FILTER('Все игры'!A$3:C877,'Все игры'!A$3:A877=A60,'Все игры'!C$3:C877 &lt; 1,'Все игры'!B$3:B877=""Мафия""))"),1)</f>
        <v>1</v>
      </c>
      <c r="M60" s="120" t="n">
        <f aca="false">COUNTIFS('Все игры'!A$3:A877,A60,'Все игры'!C$3:C877,"&gt;0",'Все игры'!B$3:B877,"Шериф")</f>
        <v>0</v>
      </c>
      <c r="N60" s="120" t="n">
        <f aca="false">IFERROR(__xludf.dummyfunction("COUNTBLANK(FILTER('Все игры'!A$3:C877,'Все игры'!A$3:A877=A60,'Все игры'!C$3:C877 &lt; 1,'Все игры'!B$3:B877=""Шериф""))"),1)</f>
        <v>1</v>
      </c>
      <c r="O60" s="120" t="n">
        <f aca="false">COUNTIFS('Все игры'!A$3:A877,A60,'Все игры'!C$3:C877,"&gt;0",'Все игры'!B$3:B877,"Дон")</f>
        <v>0</v>
      </c>
      <c r="P60" s="122" t="n">
        <f aca="false">IFERROR(__xludf.dummyfunction("COUNTBLANK(FILTER('Все игры'!A$3:C877,'Все игры'!A$3:A877=A60,'Все игры'!C$3:C877 &lt; 1,'Все игры'!B$3:B877=""Дон""))"),0)</f>
        <v>0</v>
      </c>
      <c r="Q60" s="120" t="n">
        <f aca="false">COUNTIFS('Все игры'!A$3:A877,A60,'Все игры'!C$3:C877,"&gt;0",'Все игры'!B$3:B877,"Мирный")</f>
        <v>0</v>
      </c>
      <c r="R60" s="120" t="n">
        <f aca="false">IFERROR(__xludf.dummyfunction("COUNTBLANK(FILTER('Все игры'!A$3:C877,'Все игры'!A$3:A877=A60,'Все игры'!C$3:C877 &lt; 1,'Все игры'!B$3:B877=""Мирный""))"),5)</f>
        <v>5</v>
      </c>
      <c r="S60" s="123" t="n">
        <f aca="false">IFERROR((K60+M60+O60+Q60)/(I60+J60), )</f>
        <v>0</v>
      </c>
      <c r="T60" s="123" t="n">
        <f aca="false">IFERROR((M60+Q60)/I60, )</f>
        <v>0</v>
      </c>
      <c r="U60" s="123" t="n">
        <f aca="false">IFERROR((K60+O60)/J60, )</f>
        <v>0</v>
      </c>
      <c r="V60" s="123" t="n">
        <f aca="false">IFERROR(K60/(K60+L60), )</f>
        <v>0</v>
      </c>
      <c r="W60" s="123" t="n">
        <f aca="false">IFERROR(M60/(M60+N60), )</f>
        <v>0</v>
      </c>
      <c r="X60" s="123" t="n">
        <f aca="false">IFERROR(O60/(O60+P60), )</f>
        <v>0</v>
      </c>
      <c r="Y60" s="123" t="n">
        <f aca="false">IFERROR(Q60/(Q60+R60), )</f>
        <v>0</v>
      </c>
      <c r="Z60" s="124" t="n">
        <f aca="false">SUMIFS('Все игры'!D$3:D877,'Все игры'!A$3:A877,A60)</f>
        <v>0</v>
      </c>
      <c r="AA60" s="124" t="n">
        <f aca="false">SUMIFS('Все игры'!D$3:D877,'Все игры'!A$3:A877,A60,'Все игры'!B$3:B877,"Мафия")</f>
        <v>0</v>
      </c>
      <c r="AB60" s="124" t="n">
        <f aca="false">SUMIFS('Все игры'!D$3:D877,'Все игры'!A$3:A877,A60,'Все игры'!B$3:B877,"Шериф")</f>
        <v>0</v>
      </c>
      <c r="AC60" s="124" t="n">
        <f aca="false">SUMIFS('Все игры'!D$3:D877,'Все игры'!A$3:A877,A60,'Все игры'!B$3:B877,"Дон")</f>
        <v>0</v>
      </c>
      <c r="AD60" s="124" t="n">
        <f aca="false">SUMIFS('Все игры'!D$3:D877,'Все игры'!A$3:A877,A60,'Все игры'!B$3:B877,"Мирный")</f>
        <v>0</v>
      </c>
      <c r="AE60" s="124" t="n">
        <f aca="false">IFERROR(Z60/B60,0)</f>
        <v>0</v>
      </c>
      <c r="AF60" s="124" t="n">
        <f aca="false">IFERROR(AA60/(K60+L60),0)</f>
        <v>0</v>
      </c>
      <c r="AG60" s="124" t="n">
        <f aca="false">IFERROR(AB60/(M60+N60),0)</f>
        <v>0</v>
      </c>
      <c r="AH60" s="124" t="n">
        <f aca="false">IFERROR(AC60/(O60+P60),0)</f>
        <v>0</v>
      </c>
      <c r="AI60" s="124" t="n">
        <f aca="false">IFERROR(AD60/(Q60+R60),0)</f>
        <v>0</v>
      </c>
    </row>
    <row r="61" customFormat="false" ht="15.75" hidden="false" customHeight="false" outlineLevel="0" collapsed="false">
      <c r="A61" s="216" t="s">
        <v>67</v>
      </c>
      <c r="B61" s="120" t="n">
        <f aca="false">SUM(I61:J61)</f>
        <v>6</v>
      </c>
      <c r="C61" s="4" t="str">
        <f aca="false">IF(COUNTIFS('Все игры'!A$3:A877,A61,'Все игры'!F$3:F877,"=1")=0, "", COUNTIFS('Все игры'!A$3:A877,A61,'Все игры'!F$3:F877,"=1"))</f>
        <v/>
      </c>
      <c r="D61" s="76" t="str">
        <f aca="false">IF(COUNTIFS('Все игры'!A$3:A877,A61,'Все игры'!F$3:F877,"=0,50")=0, "", COUNTIFS('Все игры'!A$3:A877,A61,'Все игры'!F$3:F877,"=0,50"))</f>
        <v/>
      </c>
      <c r="E61" s="76" t="str">
        <f aca="false">IF(COUNTIFS('Все игры'!A$3:A877,A61,'Все игры'!E$3:E877,"ПУ")=0, "", COUNTIFS('Все игры'!A$3:A877,A61,'Все игры'!E$3:E877,"ПУ"))</f>
        <v/>
      </c>
      <c r="F61" s="121" t="n">
        <f aca="false">IFERROR(E61/I61,0)</f>
        <v>0</v>
      </c>
      <c r="G61" s="76" t="str">
        <f aca="false">IF(COUNTIFS('Все игры'!A$3:A877,A61,'Все игры'!E$3:E877,"У/Победа")=0, "",COUNTIFS('Все игры'!A$3:A877,A61,'Все игры'!E$3:E877,"У/Победа") )</f>
        <v/>
      </c>
      <c r="H61" s="76" t="str">
        <f aca="false">IF(COUNTIFS('Все игры'!A$3:A877,A61,'Все игры'!E$3:E877,"У/Проигрыш")=0, "",COUNTIFS('Все игры'!A$3:A877,A61,'Все игры'!E$3:E877,"У/Проигрыш") )</f>
        <v/>
      </c>
      <c r="I61" s="120" t="n">
        <f aca="false">M61+N61+Q61+R61</f>
        <v>5</v>
      </c>
      <c r="J61" s="120" t="n">
        <f aca="false">K61+L61+O61+P61</f>
        <v>1</v>
      </c>
      <c r="K61" s="120" t="n">
        <f aca="false">COUNTIFS('Все игры'!A$3:A877,A61,'Все игры'!C$3:C877,"&gt;0",'Все игры'!B$3:B877,"Мафия")</f>
        <v>0</v>
      </c>
      <c r="L61" s="120" t="n">
        <f aca="false">IFERROR(__xludf.dummyfunction("COUNTBLANK(FILTER('Все игры'!A$3:C877,'Все игры'!A$3:A877=A61,'Все игры'!C$3:C877 &lt; 1,'Все игры'!B$3:B877=""Мафия""))"),1)</f>
        <v>1</v>
      </c>
      <c r="M61" s="120" t="n">
        <f aca="false">COUNTIFS('Все игры'!A$3:A877,A61,'Все игры'!C$3:C877,"&gt;0",'Все игры'!B$3:B877,"Шериф")</f>
        <v>0</v>
      </c>
      <c r="N61" s="120" t="n">
        <f aca="false">IFERROR(__xludf.dummyfunction("COUNTBLANK(FILTER('Все игры'!A$3:C877,'Все игры'!A$3:A877=A61,'Все игры'!C$3:C877 &lt; 1,'Все игры'!B$3:B877=""Шериф""))"),0)</f>
        <v>0</v>
      </c>
      <c r="O61" s="120" t="n">
        <f aca="false">COUNTIFS('Все игры'!A$3:A877,A61,'Все игры'!C$3:C877,"&gt;0",'Все игры'!B$3:B877,"Дон")</f>
        <v>0</v>
      </c>
      <c r="P61" s="122" t="n">
        <f aca="false">IFERROR(__xludf.dummyfunction("COUNTBLANK(FILTER('Все игры'!A$3:C877,'Все игры'!A$3:A877=A61,'Все игры'!C$3:C877 &lt; 1,'Все игры'!B$3:B877=""Дон""))"),0)</f>
        <v>0</v>
      </c>
      <c r="Q61" s="120" t="n">
        <f aca="false">COUNTIFS('Все игры'!A$3:A877,A61,'Все игры'!C$3:C877,"&gt;0",'Все игры'!B$3:B877,"Мирный")</f>
        <v>0</v>
      </c>
      <c r="R61" s="120" t="n">
        <f aca="false">IFERROR(__xludf.dummyfunction("COUNTBLANK(FILTER('Все игры'!A$3:C877,'Все игры'!A$3:A877=A61,'Все игры'!C$3:C877 &lt; 1,'Все игры'!B$3:B877=""Мирный""))"),5)</f>
        <v>5</v>
      </c>
      <c r="S61" s="123" t="n">
        <f aca="false">IFERROR((K61+M61+O61+Q61)/(I61+J61), )</f>
        <v>0</v>
      </c>
      <c r="T61" s="123" t="n">
        <f aca="false">IFERROR((M61+Q61)/I61, )</f>
        <v>0</v>
      </c>
      <c r="U61" s="123" t="n">
        <f aca="false">IFERROR((K61+O61)/J61, )</f>
        <v>0</v>
      </c>
      <c r="V61" s="123" t="n">
        <f aca="false">IFERROR(K61/(K61+L61), )</f>
        <v>0</v>
      </c>
      <c r="W61" s="123" t="n">
        <f aca="false">IFERROR(M61/(M61+N61), )</f>
        <v>0</v>
      </c>
      <c r="X61" s="123" t="n">
        <f aca="false">IFERROR(O61/(O61+P61), )</f>
        <v>0</v>
      </c>
      <c r="Y61" s="123" t="n">
        <f aca="false">IFERROR(Q61/(Q61+R61), )</f>
        <v>0</v>
      </c>
      <c r="Z61" s="124" t="n">
        <f aca="false">SUMIFS('Все игры'!D$3:D877,'Все игры'!A$3:A877,A61)</f>
        <v>0</v>
      </c>
      <c r="AA61" s="124" t="n">
        <f aca="false">SUMIFS('Все игры'!D$3:D877,'Все игры'!A$3:A877,A61,'Все игры'!B$3:B877,"Мафия")</f>
        <v>0</v>
      </c>
      <c r="AB61" s="124" t="n">
        <f aca="false">SUMIFS('Все игры'!D$3:D877,'Все игры'!A$3:A877,A61,'Все игры'!B$3:B877,"Шериф")</f>
        <v>0</v>
      </c>
      <c r="AC61" s="124" t="n">
        <f aca="false">SUMIFS('Все игры'!D$3:D877,'Все игры'!A$3:A877,A61,'Все игры'!B$3:B877,"Дон")</f>
        <v>0</v>
      </c>
      <c r="AD61" s="124" t="n">
        <f aca="false">SUMIFS('Все игры'!D$3:D877,'Все игры'!A$3:A877,A61,'Все игры'!B$3:B877,"Мирный")</f>
        <v>0</v>
      </c>
      <c r="AE61" s="124" t="n">
        <f aca="false">IFERROR(Z61/B61,0)</f>
        <v>0</v>
      </c>
      <c r="AF61" s="124" t="n">
        <f aca="false">IFERROR(AA61/(K61+L61),0)</f>
        <v>0</v>
      </c>
      <c r="AG61" s="124" t="n">
        <f aca="false">IFERROR(AB61/(M61+N61),0)</f>
        <v>0</v>
      </c>
      <c r="AH61" s="124" t="n">
        <f aca="false">IFERROR(AC61/(O61+P61),0)</f>
        <v>0</v>
      </c>
      <c r="AI61" s="124" t="n">
        <f aca="false">IFERROR(AD61/(Q61+R61),0)</f>
        <v>0</v>
      </c>
    </row>
    <row r="62" customFormat="false" ht="15.75" hidden="false" customHeight="false" outlineLevel="0" collapsed="false">
      <c r="A62" s="216" t="s">
        <v>208</v>
      </c>
      <c r="B62" s="120" t="n">
        <f aca="false">SUM(I62:J62)</f>
        <v>7</v>
      </c>
      <c r="C62" s="4" t="str">
        <f aca="false">IF(COUNTIFS('Все игры'!A$3:A877,A62,'Все игры'!F$3:F877,"=1")=0, "", COUNTIFS('Все игры'!A$3:A877,A62,'Все игры'!F$3:F877,"=1"))</f>
        <v/>
      </c>
      <c r="D62" s="76" t="str">
        <f aca="false">IF(COUNTIFS('Все игры'!A$3:A877,A62,'Все игры'!F$3:F877,"=0,50")=0, "", COUNTIFS('Все игры'!A$3:A877,A62,'Все игры'!F$3:F877,"=0,50"))</f>
        <v/>
      </c>
      <c r="E62" s="76" t="str">
        <f aca="false">IF(COUNTIFS('Все игры'!A$3:A877,A62,'Все игры'!E$3:E877,"ПУ")=0, "", COUNTIFS('Все игры'!A$3:A877,A62,'Все игры'!E$3:E877,"ПУ"))</f>
        <v/>
      </c>
      <c r="F62" s="121" t="n">
        <f aca="false">IFERROR(E62/I62,0)</f>
        <v>0</v>
      </c>
      <c r="G62" s="76" t="str">
        <f aca="false">IF(COUNTIFS('Все игры'!A$3:A877,A62,'Все игры'!E$3:E877,"У/Победа")=0, "",COUNTIFS('Все игры'!A$3:A877,A62,'Все игры'!E$3:E877,"У/Победа") )</f>
        <v/>
      </c>
      <c r="H62" s="76" t="str">
        <f aca="false">IF(COUNTIFS('Все игры'!A$3:A877,A62,'Все игры'!E$3:E877,"У/Проигрыш")=0, "",COUNTIFS('Все игры'!A$3:A877,A62,'Все игры'!E$3:E877,"У/Проигрыш") )</f>
        <v/>
      </c>
      <c r="I62" s="120" t="n">
        <f aca="false">M62+N62+Q62+R62</f>
        <v>5</v>
      </c>
      <c r="J62" s="120" t="n">
        <f aca="false">K62+L62+O62+P62</f>
        <v>2</v>
      </c>
      <c r="K62" s="120" t="n">
        <f aca="false">COUNTIFS('Все игры'!A$3:A877,A62,'Все игры'!C$3:C877,"&gt;0",'Все игры'!B$3:B877,"Мафия")</f>
        <v>0</v>
      </c>
      <c r="L62" s="120" t="n">
        <f aca="false">IFERROR(__xludf.dummyfunction("COUNTBLANK(FILTER('Все игры'!A$3:C877,'Все игры'!A$3:A877=A62,'Все игры'!C$3:C877 &lt; 1,'Все игры'!B$3:B877=""Мафия""))"),2)</f>
        <v>2</v>
      </c>
      <c r="M62" s="120" t="n">
        <f aca="false">COUNTIFS('Все игры'!A$3:A877,A62,'Все игры'!C$3:C877,"&gt;0",'Все игры'!B$3:B877,"Шериф")</f>
        <v>0</v>
      </c>
      <c r="N62" s="120" t="n">
        <f aca="false">IFERROR(__xludf.dummyfunction("COUNTBLANK(FILTER('Все игры'!A$3:C877,'Все игры'!A$3:A877=A62,'Все игры'!C$3:C877 &lt; 1,'Все игры'!B$3:B877=""Шериф""))"),0)</f>
        <v>0</v>
      </c>
      <c r="O62" s="120" t="n">
        <f aca="false">COUNTIFS('Все игры'!A$3:A877,A62,'Все игры'!C$3:C877,"&gt;0",'Все игры'!B$3:B877,"Дон")</f>
        <v>0</v>
      </c>
      <c r="P62" s="122" t="n">
        <f aca="false">IFERROR(__xludf.dummyfunction("COUNTBLANK(FILTER('Все игры'!A$3:C877,'Все игры'!A$3:A877=A62,'Все игры'!C$3:C877 &lt; 1,'Все игры'!B$3:B877=""Дон""))"),0)</f>
        <v>0</v>
      </c>
      <c r="Q62" s="120" t="n">
        <f aca="false">COUNTIFS('Все игры'!A$3:A877,A62,'Все игры'!C$3:C877,"&gt;0",'Все игры'!B$3:B877,"Мирный")</f>
        <v>0</v>
      </c>
      <c r="R62" s="120" t="n">
        <f aca="false">IFERROR(__xludf.dummyfunction("COUNTBLANK(FILTER('Все игры'!A$3:C877,'Все игры'!A$3:A877=A62,'Все игры'!C$3:C877 &lt; 1,'Все игры'!B$3:B877=""Мирный""))"),5)</f>
        <v>5</v>
      </c>
      <c r="S62" s="123" t="n">
        <f aca="false">IFERROR((K62+M62+O62+Q62)/(I62+J62), )</f>
        <v>0</v>
      </c>
      <c r="T62" s="123" t="n">
        <f aca="false">IFERROR((M62+Q62)/I62, )</f>
        <v>0</v>
      </c>
      <c r="U62" s="123" t="n">
        <f aca="false">IFERROR((K62+O62)/J62, )</f>
        <v>0</v>
      </c>
      <c r="V62" s="123" t="n">
        <f aca="false">IFERROR(K62/(K62+L62), )</f>
        <v>0</v>
      </c>
      <c r="W62" s="123" t="n">
        <f aca="false">IFERROR(M62/(M62+N62), )</f>
        <v>0</v>
      </c>
      <c r="X62" s="123" t="n">
        <f aca="false">IFERROR(O62/(O62+P62), )</f>
        <v>0</v>
      </c>
      <c r="Y62" s="123" t="n">
        <f aca="false">IFERROR(Q62/(Q62+R62), )</f>
        <v>0</v>
      </c>
      <c r="Z62" s="124" t="n">
        <f aca="false">SUMIFS('Все игры'!D$3:D877,'Все игры'!A$3:A877,A62)</f>
        <v>0</v>
      </c>
      <c r="AA62" s="124" t="n">
        <f aca="false">SUMIFS('Все игры'!D$3:D877,'Все игры'!A$3:A877,A62,'Все игры'!B$3:B877,"Мафия")</f>
        <v>0</v>
      </c>
      <c r="AB62" s="124" t="n">
        <f aca="false">SUMIFS('Все игры'!D$3:D877,'Все игры'!A$3:A877,A62,'Все игры'!B$3:B877,"Шериф")</f>
        <v>0</v>
      </c>
      <c r="AC62" s="124" t="n">
        <f aca="false">SUMIFS('Все игры'!D$3:D877,'Все игры'!A$3:A877,A62,'Все игры'!B$3:B877,"Дон")</f>
        <v>0</v>
      </c>
      <c r="AD62" s="124" t="n">
        <f aca="false">SUMIFS('Все игры'!D$3:D877,'Все игры'!A$3:A877,A62,'Все игры'!B$3:B877,"Мирный")</f>
        <v>0</v>
      </c>
      <c r="AE62" s="124" t="n">
        <f aca="false">IFERROR(Z62/B62,0)</f>
        <v>0</v>
      </c>
      <c r="AF62" s="124" t="n">
        <f aca="false">IFERROR(AA62/(K62+L62),0)</f>
        <v>0</v>
      </c>
      <c r="AG62" s="124" t="n">
        <f aca="false">IFERROR(AB62/(M62+N62),0)</f>
        <v>0</v>
      </c>
      <c r="AH62" s="124" t="n">
        <f aca="false">IFERROR(AC62/(O62+P62),0)</f>
        <v>0</v>
      </c>
      <c r="AI62" s="124" t="n">
        <f aca="false">IFERROR(AD62/(Q62+R62),0)</f>
        <v>0</v>
      </c>
    </row>
    <row r="63" customFormat="false" ht="15.75" hidden="false" customHeight="false" outlineLevel="0" collapsed="false">
      <c r="A63" s="216" t="s">
        <v>206</v>
      </c>
      <c r="B63" s="120" t="n">
        <f aca="false">SUM(I63:J63)</f>
        <v>7</v>
      </c>
      <c r="C63" s="4" t="str">
        <f aca="false">IF(COUNTIFS('Все игры'!A$3:A877,A63,'Все игры'!F$3:F877,"=1")=0, "", COUNTIFS('Все игры'!A$3:A877,A63,'Все игры'!F$3:F877,"=1"))</f>
        <v/>
      </c>
      <c r="D63" s="76" t="str">
        <f aca="false">IF(COUNTIFS('Все игры'!A$3:A877,A63,'Все игры'!F$3:F877,"=0,50")=0, "", COUNTIFS('Все игры'!A$3:A877,A63,'Все игры'!F$3:F877,"=0,50"))</f>
        <v/>
      </c>
      <c r="E63" s="76" t="str">
        <f aca="false">IF(COUNTIFS('Все игры'!A$3:A877,A63,'Все игры'!E$3:E877,"ПУ")=0, "", COUNTIFS('Все игры'!A$3:A877,A63,'Все игры'!E$3:E877,"ПУ"))</f>
        <v/>
      </c>
      <c r="F63" s="121" t="n">
        <f aca="false">IFERROR(E63/I63,0)</f>
        <v>0</v>
      </c>
      <c r="G63" s="76" t="str">
        <f aca="false">IF(COUNTIFS('Все игры'!A$3:A877,A63,'Все игры'!E$3:E877,"У/Победа")=0, "",COUNTIFS('Все игры'!A$3:A877,A63,'Все игры'!E$3:E877,"У/Победа") )</f>
        <v/>
      </c>
      <c r="H63" s="76" t="str">
        <f aca="false">IF(COUNTIFS('Все игры'!A$3:A877,A63,'Все игры'!E$3:E877,"У/Проигрыш")=0, "",COUNTIFS('Все игры'!A$3:A877,A63,'Все игры'!E$3:E877,"У/Проигрыш") )</f>
        <v/>
      </c>
      <c r="I63" s="120" t="n">
        <f aca="false">M63+N63+Q63+R63</f>
        <v>4</v>
      </c>
      <c r="J63" s="120" t="n">
        <f aca="false">K63+L63+O63+P63</f>
        <v>3</v>
      </c>
      <c r="K63" s="120" t="n">
        <f aca="false">COUNTIFS('Все игры'!A$3:A877,A63,'Все игры'!C$3:C877,"&gt;0",'Все игры'!B$3:B877,"Мафия")</f>
        <v>0</v>
      </c>
      <c r="L63" s="120" t="n">
        <f aca="false">IFERROR(__xludf.dummyfunction("COUNTBLANK(FILTER('Все игры'!A$3:C877,'Все игры'!A$3:A877=A63,'Все игры'!C$3:C877 &lt; 1,'Все игры'!B$3:B877=""Мафия""))"),1)</f>
        <v>1</v>
      </c>
      <c r="M63" s="120" t="n">
        <f aca="false">COUNTIFS('Все игры'!A$3:A877,A63,'Все игры'!C$3:C877,"&gt;0",'Все игры'!B$3:B877,"Шериф")</f>
        <v>0</v>
      </c>
      <c r="N63" s="120" t="n">
        <f aca="false">IFERROR(__xludf.dummyfunction("COUNTBLANK(FILTER('Все игры'!A$3:C877,'Все игры'!A$3:A877=A63,'Все игры'!C$3:C877 &lt; 1,'Все игры'!B$3:B877=""Шериф""))"),1)</f>
        <v>1</v>
      </c>
      <c r="O63" s="120" t="n">
        <f aca="false">COUNTIFS('Все игры'!A$3:A877,A63,'Все игры'!C$3:C877,"&gt;0",'Все игры'!B$3:B877,"Дон")</f>
        <v>0</v>
      </c>
      <c r="P63" s="122" t="n">
        <f aca="false">IFERROR(__xludf.dummyfunction("COUNTBLANK(FILTER('Все игры'!A$3:C877,'Все игры'!A$3:A877=A63,'Все игры'!C$3:C877 &lt; 1,'Все игры'!B$3:B877=""Дон""))"),2)</f>
        <v>2</v>
      </c>
      <c r="Q63" s="120" t="n">
        <f aca="false">COUNTIFS('Все игры'!A$3:A877,A63,'Все игры'!C$3:C877,"&gt;0",'Все игры'!B$3:B877,"Мирный")</f>
        <v>0</v>
      </c>
      <c r="R63" s="120" t="n">
        <f aca="false">IFERROR(__xludf.dummyfunction("COUNTBLANK(FILTER('Все игры'!A$3:C877,'Все игры'!A$3:A877=A63,'Все игры'!C$3:C877 &lt; 1,'Все игры'!B$3:B877=""Мирный""))"),3)</f>
        <v>3</v>
      </c>
      <c r="S63" s="123" t="n">
        <f aca="false">IFERROR((K63+M63+O63+Q63)/(I63+J63), )</f>
        <v>0</v>
      </c>
      <c r="T63" s="123" t="n">
        <f aca="false">IFERROR((M63+Q63)/I63, )</f>
        <v>0</v>
      </c>
      <c r="U63" s="123" t="n">
        <f aca="false">IFERROR((K63+O63)/J63, )</f>
        <v>0</v>
      </c>
      <c r="V63" s="123" t="n">
        <f aca="false">IFERROR(K63/(K63+L63), )</f>
        <v>0</v>
      </c>
      <c r="W63" s="123" t="n">
        <f aca="false">IFERROR(M63/(M63+N63), )</f>
        <v>0</v>
      </c>
      <c r="X63" s="123" t="n">
        <f aca="false">IFERROR(O63/(O63+P63), )</f>
        <v>0</v>
      </c>
      <c r="Y63" s="123" t="n">
        <f aca="false">IFERROR(Q63/(Q63+R63), )</f>
        <v>0</v>
      </c>
      <c r="Z63" s="124" t="n">
        <f aca="false">SUMIFS('Все игры'!D$3:D877,'Все игры'!A$3:A877,A63)</f>
        <v>0</v>
      </c>
      <c r="AA63" s="124" t="n">
        <f aca="false">SUMIFS('Все игры'!D$3:D877,'Все игры'!A$3:A877,A63,'Все игры'!B$3:B877,"Мафия")</f>
        <v>0</v>
      </c>
      <c r="AB63" s="124" t="n">
        <f aca="false">SUMIFS('Все игры'!D$3:D877,'Все игры'!A$3:A877,A63,'Все игры'!B$3:B877,"Шериф")</f>
        <v>0</v>
      </c>
      <c r="AC63" s="124" t="n">
        <f aca="false">SUMIFS('Все игры'!D$3:D877,'Все игры'!A$3:A877,A63,'Все игры'!B$3:B877,"Дон")</f>
        <v>0</v>
      </c>
      <c r="AD63" s="124" t="n">
        <f aca="false">SUMIFS('Все игры'!D$3:D877,'Все игры'!A$3:A877,A63,'Все игры'!B$3:B877,"Мирный")</f>
        <v>0</v>
      </c>
      <c r="AE63" s="124" t="n">
        <f aca="false">IFERROR(Z63/B63,0)</f>
        <v>0</v>
      </c>
      <c r="AF63" s="124" t="n">
        <f aca="false">IFERROR(AA63/(K63+L63),0)</f>
        <v>0</v>
      </c>
      <c r="AG63" s="124" t="n">
        <f aca="false">IFERROR(AB63/(M63+N63),0)</f>
        <v>0</v>
      </c>
      <c r="AH63" s="124" t="n">
        <f aca="false">IFERROR(AC63/(O63+P63),0)</f>
        <v>0</v>
      </c>
      <c r="AI63" s="124" t="n">
        <f aca="false">IFERROR(AD63/(Q63+R63),0)</f>
        <v>0</v>
      </c>
    </row>
    <row r="64" customFormat="false" ht="15.75" hidden="false" customHeight="false" outlineLevel="0" collapsed="false">
      <c r="A64" s="216" t="s">
        <v>207</v>
      </c>
      <c r="B64" s="120" t="n">
        <f aca="false">SUM(I64:J64)</f>
        <v>9</v>
      </c>
      <c r="C64" s="4" t="str">
        <f aca="false">IF(COUNTIFS('Все игры'!A$3:A877,A64,'Все игры'!F$3:F877,"=1")=0, "", COUNTIFS('Все игры'!A$3:A877,A64,'Все игры'!F$3:F877,"=1"))</f>
        <v/>
      </c>
      <c r="D64" s="76" t="str">
        <f aca="false">IF(COUNTIFS('Все игры'!A$3:A877,A64,'Все игры'!F$3:F877,"=0,50")=0, "", COUNTIFS('Все игры'!A$3:A877,A64,'Все игры'!F$3:F877,"=0,50"))</f>
        <v/>
      </c>
      <c r="E64" s="76" t="str">
        <f aca="false">IF(COUNTIFS('Все игры'!A$3:A877,A64,'Все игры'!E$3:E877,"ПУ")=0, "", COUNTIFS('Все игры'!A$3:A877,A64,'Все игры'!E$3:E877,"ПУ"))</f>
        <v/>
      </c>
      <c r="F64" s="121" t="n">
        <f aca="false">IFERROR(E64/I64,0)</f>
        <v>0</v>
      </c>
      <c r="G64" s="76" t="str">
        <f aca="false">IF(COUNTIFS('Все игры'!A$3:A877,A64,'Все игры'!E$3:E877,"У/Победа")=0, "",COUNTIFS('Все игры'!A$3:A877,A64,'Все игры'!E$3:E877,"У/Победа") )</f>
        <v/>
      </c>
      <c r="H64" s="76" t="str">
        <f aca="false">IF(COUNTIFS('Все игры'!A$3:A877,A64,'Все игры'!E$3:E877,"У/Проигрыш")=0, "",COUNTIFS('Все игры'!A$3:A877,A64,'Все игры'!E$3:E877,"У/Проигрыш") )</f>
        <v/>
      </c>
      <c r="I64" s="120" t="n">
        <f aca="false">M64+N64+Q64+R64</f>
        <v>5</v>
      </c>
      <c r="J64" s="120" t="n">
        <f aca="false">K64+L64+O64+P64</f>
        <v>4</v>
      </c>
      <c r="K64" s="120" t="n">
        <f aca="false">COUNTIFS('Все игры'!A$3:A877,A64,'Все игры'!C$3:C877,"&gt;0",'Все игры'!B$3:B877,"Мафия")</f>
        <v>0</v>
      </c>
      <c r="L64" s="120" t="n">
        <f aca="false">IFERROR(__xludf.dummyfunction("COUNTBLANK(FILTER('Все игры'!A$3:C877,'Все игры'!A$3:A877=A64,'Все игры'!C$3:C877 &lt; 1,'Все игры'!B$3:B877=""Мафия""))"),4)</f>
        <v>4</v>
      </c>
      <c r="M64" s="120" t="n">
        <f aca="false">COUNTIFS('Все игры'!A$3:A877,A64,'Все игры'!C$3:C877,"&gt;0",'Все игры'!B$3:B877,"Шериф")</f>
        <v>0</v>
      </c>
      <c r="N64" s="120" t="n">
        <f aca="false">IFERROR(__xludf.dummyfunction("COUNTBLANK(FILTER('Все игры'!A$3:C877,'Все игры'!A$3:A877=A64,'Все игры'!C$3:C877 &lt; 1,'Все игры'!B$3:B877=""Шериф""))"),1)</f>
        <v>1</v>
      </c>
      <c r="O64" s="120" t="n">
        <f aca="false">COUNTIFS('Все игры'!A$3:A877,A64,'Все игры'!C$3:C877,"&gt;0",'Все игры'!B$3:B877,"Дон")</f>
        <v>0</v>
      </c>
      <c r="P64" s="122" t="n">
        <f aca="false">IFERROR(__xludf.dummyfunction("COUNTBLANK(FILTER('Все игры'!A$3:C877,'Все игры'!A$3:A877=A64,'Все игры'!C$3:C877 &lt; 1,'Все игры'!B$3:B877=""Дон""))"),0)</f>
        <v>0</v>
      </c>
      <c r="Q64" s="120" t="n">
        <f aca="false">COUNTIFS('Все игры'!A$3:A877,A64,'Все игры'!C$3:C877,"&gt;0",'Все игры'!B$3:B877,"Мирный")</f>
        <v>0</v>
      </c>
      <c r="R64" s="120" t="n">
        <f aca="false">IFERROR(__xludf.dummyfunction("COUNTBLANK(FILTER('Все игры'!A$3:C877,'Все игры'!A$3:A877=A64,'Все игры'!C$3:C877 &lt; 1,'Все игры'!B$3:B877=""Мирный""))"),4)</f>
        <v>4</v>
      </c>
      <c r="S64" s="123" t="n">
        <f aca="false">IFERROR((K64+M64+O64+Q64)/(I64+J64), )</f>
        <v>0</v>
      </c>
      <c r="T64" s="123" t="n">
        <f aca="false">IFERROR((M64+Q64)/I64, )</f>
        <v>0</v>
      </c>
      <c r="U64" s="123" t="n">
        <f aca="false">IFERROR((K64+O64)/J64, )</f>
        <v>0</v>
      </c>
      <c r="V64" s="123" t="n">
        <f aca="false">IFERROR(K64/(K64+L64), )</f>
        <v>0</v>
      </c>
      <c r="W64" s="123" t="n">
        <f aca="false">IFERROR(M64/(M64+N64), )</f>
        <v>0</v>
      </c>
      <c r="X64" s="123" t="n">
        <f aca="false">IFERROR(O64/(O64+P64), )</f>
        <v>0</v>
      </c>
      <c r="Y64" s="123" t="n">
        <f aca="false">IFERROR(Q64/(Q64+R64), )</f>
        <v>0</v>
      </c>
      <c r="Z64" s="124" t="n">
        <f aca="false">SUMIFS('Все игры'!D$3:D877,'Все игры'!A$3:A877,A64)</f>
        <v>0</v>
      </c>
      <c r="AA64" s="124" t="n">
        <f aca="false">SUMIFS('Все игры'!D$3:D877,'Все игры'!A$3:A877,A64,'Все игры'!B$3:B877,"Мафия")</f>
        <v>0</v>
      </c>
      <c r="AB64" s="124" t="n">
        <f aca="false">SUMIFS('Все игры'!D$3:D877,'Все игры'!A$3:A877,A64,'Все игры'!B$3:B877,"Шериф")</f>
        <v>0</v>
      </c>
      <c r="AC64" s="124" t="n">
        <f aca="false">SUMIFS('Все игры'!D$3:D877,'Все игры'!A$3:A877,A64,'Все игры'!B$3:B877,"Дон")</f>
        <v>0</v>
      </c>
      <c r="AD64" s="124" t="n">
        <f aca="false">SUMIFS('Все игры'!D$3:D877,'Все игры'!A$3:A877,A64,'Все игры'!B$3:B877,"Мирный")</f>
        <v>0</v>
      </c>
      <c r="AE64" s="124" t="n">
        <f aca="false">IFERROR(Z64/B64,0)</f>
        <v>0</v>
      </c>
      <c r="AF64" s="124" t="n">
        <f aca="false">IFERROR(AA64/(K64+L64),0)</f>
        <v>0</v>
      </c>
      <c r="AG64" s="124" t="n">
        <f aca="false">IFERROR(AB64/(M64+N64),0)</f>
        <v>0</v>
      </c>
      <c r="AH64" s="124" t="n">
        <f aca="false">IFERROR(AC64/(O64+P64),0)</f>
        <v>0</v>
      </c>
      <c r="AI64" s="124" t="n">
        <f aca="false">IFERROR(AD64/(Q64+R64),0)</f>
        <v>0</v>
      </c>
    </row>
    <row r="65" customFormat="false" ht="15.75" hidden="false" customHeight="false" outlineLevel="0" collapsed="false">
      <c r="A65" s="216" t="s">
        <v>221</v>
      </c>
      <c r="B65" s="120" t="n">
        <f aca="false">SUM(I65:J65)</f>
        <v>8</v>
      </c>
      <c r="C65" s="4" t="str">
        <f aca="false">IF(COUNTIFS('Все игры'!A$3:A877,A65,'Все игры'!F$3:F877,"=1")=0, "", COUNTIFS('Все игры'!A$3:A877,A65,'Все игры'!F$3:F877,"=1"))</f>
        <v/>
      </c>
      <c r="D65" s="76" t="str">
        <f aca="false">IF(COUNTIFS('Все игры'!A$3:A877,A65,'Все игры'!F$3:F877,"=0,50")=0, "", COUNTIFS('Все игры'!A$3:A877,A65,'Все игры'!F$3:F877,"=0,50"))</f>
        <v/>
      </c>
      <c r="E65" s="76" t="str">
        <f aca="false">IF(COUNTIFS('Все игры'!A$3:A877,A65,'Все игры'!E$3:E877,"ПУ")=0, "", COUNTIFS('Все игры'!A$3:A877,A65,'Все игры'!E$3:E877,"ПУ"))</f>
        <v/>
      </c>
      <c r="F65" s="121" t="n">
        <f aca="false">IFERROR(E65/I65,0)</f>
        <v>0</v>
      </c>
      <c r="G65" s="76" t="str">
        <f aca="false">IF(COUNTIFS('Все игры'!A$3:A877,A65,'Все игры'!E$3:E877,"У/Победа")=0, "",COUNTIFS('Все игры'!A$3:A877,A65,'Все игры'!E$3:E877,"У/Победа") )</f>
        <v/>
      </c>
      <c r="H65" s="76" t="str">
        <f aca="false">IF(COUNTIFS('Все игры'!A$3:A877,A65,'Все игры'!E$3:E877,"У/Проигрыш")=0, "",COUNTIFS('Все игры'!A$3:A877,A65,'Все игры'!E$3:E877,"У/Проигрыш") )</f>
        <v/>
      </c>
      <c r="I65" s="120" t="n">
        <f aca="false">M65+N65+Q65+R65</f>
        <v>7</v>
      </c>
      <c r="J65" s="120" t="n">
        <f aca="false">K65+L65+O65+P65</f>
        <v>1</v>
      </c>
      <c r="K65" s="120" t="n">
        <f aca="false">COUNTIFS('Все игры'!A$3:A877,A65,'Все игры'!C$3:C877,"&gt;0",'Все игры'!B$3:B877,"Мафия")</f>
        <v>0</v>
      </c>
      <c r="L65" s="120" t="n">
        <f aca="false">IFERROR(__xludf.dummyfunction("COUNTBLANK(FILTER('Все игры'!A$3:C877,'Все игры'!A$3:A877=A65,'Все игры'!C$3:C877 &lt; 1,'Все игры'!B$3:B877=""Мафия""))"),1)</f>
        <v>1</v>
      </c>
      <c r="M65" s="120" t="n">
        <f aca="false">COUNTIFS('Все игры'!A$3:A877,A65,'Все игры'!C$3:C877,"&gt;0",'Все игры'!B$3:B877,"Шериф")</f>
        <v>0</v>
      </c>
      <c r="N65" s="120" t="n">
        <f aca="false">IFERROR(__xludf.dummyfunction("COUNTBLANK(FILTER('Все игры'!A$3:C877,'Все игры'!A$3:A877=A65,'Все игры'!C$3:C877 &lt; 1,'Все игры'!B$3:B877=""Шериф""))"),3)</f>
        <v>3</v>
      </c>
      <c r="O65" s="120" t="n">
        <f aca="false">COUNTIFS('Все игры'!A$3:A877,A65,'Все игры'!C$3:C877,"&gt;0",'Все игры'!B$3:B877,"Дон")</f>
        <v>0</v>
      </c>
      <c r="P65" s="122" t="n">
        <f aca="false">IFERROR(__xludf.dummyfunction("COUNTBLANK(FILTER('Все игры'!A$3:C877,'Все игры'!A$3:A877=A65,'Все игры'!C$3:C877 &lt; 1,'Все игры'!B$3:B877=""Дон""))"),0)</f>
        <v>0</v>
      </c>
      <c r="Q65" s="120" t="n">
        <f aca="false">COUNTIFS('Все игры'!A$3:A877,A65,'Все игры'!C$3:C877,"&gt;0",'Все игры'!B$3:B877,"Мирный")</f>
        <v>0</v>
      </c>
      <c r="R65" s="120" t="n">
        <f aca="false">IFERROR(__xludf.dummyfunction("COUNTBLANK(FILTER('Все игры'!A$3:C877,'Все игры'!A$3:A877=A65,'Все игры'!C$3:C877 &lt; 1,'Все игры'!B$3:B877=""Мирный""))"),4)</f>
        <v>4</v>
      </c>
      <c r="S65" s="123" t="n">
        <f aca="false">IFERROR((K65+M65+O65+Q65)/(I65+J65), )</f>
        <v>0</v>
      </c>
      <c r="T65" s="123" t="n">
        <f aca="false">IFERROR((M65+Q65)/I65, )</f>
        <v>0</v>
      </c>
      <c r="U65" s="123" t="n">
        <f aca="false">IFERROR((K65+O65)/J65, )</f>
        <v>0</v>
      </c>
      <c r="V65" s="123" t="n">
        <f aca="false">IFERROR(K65/(K65+L65), )</f>
        <v>0</v>
      </c>
      <c r="W65" s="123" t="n">
        <f aca="false">IFERROR(M65/(M65+N65), )</f>
        <v>0</v>
      </c>
      <c r="X65" s="123" t="n">
        <f aca="false">IFERROR(O65/(O65+P65), )</f>
        <v>0</v>
      </c>
      <c r="Y65" s="123" t="n">
        <f aca="false">IFERROR(Q65/(Q65+R65), )</f>
        <v>0</v>
      </c>
      <c r="Z65" s="124" t="n">
        <f aca="false">SUMIFS('Все игры'!D$3:D877,'Все игры'!A$3:A877,A65)</f>
        <v>0</v>
      </c>
      <c r="AA65" s="124" t="n">
        <f aca="false">SUMIFS('Все игры'!D$3:D877,'Все игры'!A$3:A877,A65,'Все игры'!B$3:B877,"Мафия")</f>
        <v>0</v>
      </c>
      <c r="AB65" s="124" t="n">
        <f aca="false">SUMIFS('Все игры'!D$3:D877,'Все игры'!A$3:A877,A65,'Все игры'!B$3:B877,"Шериф")</f>
        <v>0</v>
      </c>
      <c r="AC65" s="124" t="n">
        <f aca="false">SUMIFS('Все игры'!D$3:D877,'Все игры'!A$3:A877,A65,'Все игры'!B$3:B877,"Дон")</f>
        <v>0</v>
      </c>
      <c r="AD65" s="124" t="n">
        <f aca="false">SUMIFS('Все игры'!D$3:D877,'Все игры'!A$3:A877,A65,'Все игры'!B$3:B877,"Мирный")</f>
        <v>0</v>
      </c>
      <c r="AE65" s="124" t="n">
        <f aca="false">IFERROR(Z65/B65,0)</f>
        <v>0</v>
      </c>
      <c r="AF65" s="124" t="n">
        <f aca="false">IFERROR(AA65/(K65+L65),0)</f>
        <v>0</v>
      </c>
      <c r="AG65" s="124" t="n">
        <f aca="false">IFERROR(AB65/(M65+N65),0)</f>
        <v>0</v>
      </c>
      <c r="AH65" s="124" t="n">
        <f aca="false">IFERROR(AC65/(O65+P65),0)</f>
        <v>0</v>
      </c>
      <c r="AI65" s="124" t="n">
        <f aca="false">IFERROR(AD65/(Q65+R65),0)</f>
        <v>0</v>
      </c>
    </row>
    <row r="66" customFormat="false" ht="15.75" hidden="false" customHeight="false" outlineLevel="0" collapsed="false">
      <c r="A66" s="216" t="s">
        <v>223</v>
      </c>
      <c r="B66" s="120" t="n">
        <f aca="false">SUM(I66:J66)</f>
        <v>8</v>
      </c>
      <c r="C66" s="4" t="str">
        <f aca="false">IF(COUNTIFS('Все игры'!A$3:A877,A66,'Все игры'!F$3:F877,"=1")=0, "", COUNTIFS('Все игры'!A$3:A877,A66,'Все игры'!F$3:F877,"=1"))</f>
        <v/>
      </c>
      <c r="D66" s="76" t="str">
        <f aca="false">IF(COUNTIFS('Все игры'!A$3:A877,A66,'Все игры'!F$3:F877,"=0,50")=0, "", COUNTIFS('Все игры'!A$3:A877,A66,'Все игры'!F$3:F877,"=0,50"))</f>
        <v/>
      </c>
      <c r="E66" s="76" t="str">
        <f aca="false">IF(COUNTIFS('Все игры'!A$3:A877,A66,'Все игры'!E$3:E877,"ПУ")=0, "", COUNTIFS('Все игры'!A$3:A877,A66,'Все игры'!E$3:E877,"ПУ"))</f>
        <v/>
      </c>
      <c r="F66" s="121" t="n">
        <f aca="false">IFERROR(E66/I66,0)</f>
        <v>0</v>
      </c>
      <c r="G66" s="76" t="str">
        <f aca="false">IF(COUNTIFS('Все игры'!A$3:A877,A66,'Все игры'!E$3:E877,"У/Победа")=0, "",COUNTIFS('Все игры'!A$3:A877,A66,'Все игры'!E$3:E877,"У/Победа") )</f>
        <v/>
      </c>
      <c r="H66" s="76" t="str">
        <f aca="false">IF(COUNTIFS('Все игры'!A$3:A877,A66,'Все игры'!E$3:E877,"У/Проигрыш")=0, "",COUNTIFS('Все игры'!A$3:A877,A66,'Все игры'!E$3:E877,"У/Проигрыш") )</f>
        <v/>
      </c>
      <c r="I66" s="120" t="n">
        <f aca="false">M66+N66+Q66+R66</f>
        <v>7</v>
      </c>
      <c r="J66" s="120" t="n">
        <f aca="false">K66+L66+O66+P66</f>
        <v>1</v>
      </c>
      <c r="K66" s="120" t="n">
        <f aca="false">COUNTIFS('Все игры'!A$3:A877,A66,'Все игры'!C$3:C877,"&gt;0",'Все игры'!B$3:B877,"Мафия")</f>
        <v>0</v>
      </c>
      <c r="L66" s="120" t="n">
        <f aca="false">IFERROR(__xludf.dummyfunction("COUNTBLANK(FILTER('Все игры'!A$3:C877,'Все игры'!A$3:A877=A66,'Все игры'!C$3:C877 &lt; 1,'Все игры'!B$3:B877=""Мафия""))"),1)</f>
        <v>1</v>
      </c>
      <c r="M66" s="120" t="n">
        <f aca="false">COUNTIFS('Все игры'!A$3:A877,A66,'Все игры'!C$3:C877,"&gt;0",'Все игры'!B$3:B877,"Шериф")</f>
        <v>0</v>
      </c>
      <c r="N66" s="120" t="n">
        <f aca="false">IFERROR(__xludf.dummyfunction("COUNTBLANK(FILTER('Все игры'!A$3:C877,'Все игры'!A$3:A877=A66,'Все игры'!C$3:C877 &lt; 1,'Все игры'!B$3:B877=""Шериф""))"),1)</f>
        <v>1</v>
      </c>
      <c r="O66" s="120" t="n">
        <f aca="false">COUNTIFS('Все игры'!A$3:A877,A66,'Все игры'!C$3:C877,"&gt;0",'Все игры'!B$3:B877,"Дон")</f>
        <v>0</v>
      </c>
      <c r="P66" s="122" t="n">
        <f aca="false">IFERROR(__xludf.dummyfunction("COUNTBLANK(FILTER('Все игры'!A$3:C877,'Все игры'!A$3:A877=A66,'Все игры'!C$3:C877 &lt; 1,'Все игры'!B$3:B877=""Дон""))"),0)</f>
        <v>0</v>
      </c>
      <c r="Q66" s="120" t="n">
        <f aca="false">COUNTIFS('Все игры'!A$3:A877,A66,'Все игры'!C$3:C877,"&gt;0",'Все игры'!B$3:B877,"Мирный")</f>
        <v>0</v>
      </c>
      <c r="R66" s="120" t="n">
        <f aca="false">IFERROR(__xludf.dummyfunction("COUNTBLANK(FILTER('Все игры'!A$3:C877,'Все игры'!A$3:A877=A66,'Все игры'!C$3:C877 &lt; 1,'Все игры'!B$3:B877=""Мирный""))"),6)</f>
        <v>6</v>
      </c>
      <c r="S66" s="123" t="n">
        <f aca="false">IFERROR((K66+M66+O66+Q66)/(I66+J66), )</f>
        <v>0</v>
      </c>
      <c r="T66" s="123" t="n">
        <f aca="false">IFERROR((M66+Q66)/I66, )</f>
        <v>0</v>
      </c>
      <c r="U66" s="123" t="n">
        <f aca="false">IFERROR((K66+O66)/J66, )</f>
        <v>0</v>
      </c>
      <c r="V66" s="123" t="n">
        <f aca="false">IFERROR(K66/(K66+L66), )</f>
        <v>0</v>
      </c>
      <c r="W66" s="123" t="n">
        <f aca="false">IFERROR(M66/(M66+N66), )</f>
        <v>0</v>
      </c>
      <c r="X66" s="123" t="n">
        <f aca="false">IFERROR(O66/(O66+P66), )</f>
        <v>0</v>
      </c>
      <c r="Y66" s="123" t="n">
        <f aca="false">IFERROR(Q66/(Q66+R66), )</f>
        <v>0</v>
      </c>
      <c r="Z66" s="124" t="n">
        <f aca="false">SUMIFS('Все игры'!D$3:D877,'Все игры'!A$3:A877,A66)</f>
        <v>0</v>
      </c>
      <c r="AA66" s="124" t="n">
        <f aca="false">SUMIFS('Все игры'!D$3:D877,'Все игры'!A$3:A877,A66,'Все игры'!B$3:B877,"Мафия")</f>
        <v>0</v>
      </c>
      <c r="AB66" s="124" t="n">
        <f aca="false">SUMIFS('Все игры'!D$3:D877,'Все игры'!A$3:A877,A66,'Все игры'!B$3:B877,"Шериф")</f>
        <v>0</v>
      </c>
      <c r="AC66" s="124" t="n">
        <f aca="false">SUMIFS('Все игры'!D$3:D877,'Все игры'!A$3:A877,A66,'Все игры'!B$3:B877,"Дон")</f>
        <v>0</v>
      </c>
      <c r="AD66" s="124" t="n">
        <f aca="false">SUMIFS('Все игры'!D$3:D877,'Все игры'!A$3:A877,A66,'Все игры'!B$3:B877,"Мирный")</f>
        <v>0</v>
      </c>
      <c r="AE66" s="124" t="n">
        <f aca="false">IFERROR(Z66/B66,0)</f>
        <v>0</v>
      </c>
      <c r="AF66" s="124" t="n">
        <f aca="false">IFERROR(AA66/(K66+L66),0)</f>
        <v>0</v>
      </c>
      <c r="AG66" s="124" t="n">
        <f aca="false">IFERROR(AB66/(M66+N66),0)</f>
        <v>0</v>
      </c>
      <c r="AH66" s="124" t="n">
        <f aca="false">IFERROR(AC66/(O66+P66),0)</f>
        <v>0</v>
      </c>
      <c r="AI66" s="124" t="n">
        <f aca="false">IFERROR(AD66/(Q66+R66),0)</f>
        <v>0</v>
      </c>
    </row>
    <row r="67" customFormat="false" ht="15.75" hidden="false" customHeight="false" outlineLevel="0" collapsed="false">
      <c r="A67" s="216" t="s">
        <v>224</v>
      </c>
      <c r="B67" s="120" t="n">
        <f aca="false">SUM(I67:J67)</f>
        <v>3</v>
      </c>
      <c r="C67" s="4" t="str">
        <f aca="false">IF(COUNTIFS('Все игры'!A$3:A877,A67,'Все игры'!F$3:F877,"=1")=0, "", COUNTIFS('Все игры'!A$3:A877,A67,'Все игры'!F$3:F877,"=1"))</f>
        <v/>
      </c>
      <c r="D67" s="76" t="str">
        <f aca="false">IF(COUNTIFS('Все игры'!A$3:A877,A67,'Все игры'!F$3:F877,"=0,50")=0, "", COUNTIFS('Все игры'!A$3:A877,A67,'Все игры'!F$3:F877,"=0,50"))</f>
        <v/>
      </c>
      <c r="E67" s="76" t="str">
        <f aca="false">IF(COUNTIFS('Все игры'!A$3:A877,A67,'Все игры'!E$3:E877,"ПУ")=0, "", COUNTIFS('Все игры'!A$3:A877,A67,'Все игры'!E$3:E877,"ПУ"))</f>
        <v/>
      </c>
      <c r="F67" s="121" t="n">
        <f aca="false">IFERROR(E67/I67,0)</f>
        <v>0</v>
      </c>
      <c r="G67" s="76" t="str">
        <f aca="false">IF(COUNTIFS('Все игры'!A$3:A877,A67,'Все игры'!E$3:E877,"У/Победа")=0, "",COUNTIFS('Все игры'!A$3:A877,A67,'Все игры'!E$3:E877,"У/Победа") )</f>
        <v/>
      </c>
      <c r="H67" s="76" t="str">
        <f aca="false">IF(COUNTIFS('Все игры'!A$3:A877,A67,'Все игры'!E$3:E877,"У/Проигрыш")=0, "",COUNTIFS('Все игры'!A$3:A877,A67,'Все игры'!E$3:E877,"У/Проигрыш") )</f>
        <v/>
      </c>
      <c r="I67" s="120" t="n">
        <f aca="false">M67+N67+Q67+R67</f>
        <v>2</v>
      </c>
      <c r="J67" s="120" t="n">
        <f aca="false">K67+L67+O67+P67</f>
        <v>1</v>
      </c>
      <c r="K67" s="120" t="n">
        <f aca="false">COUNTIFS('Все игры'!A$3:A877,A67,'Все игры'!C$3:C877,"&gt;0",'Все игры'!B$3:B877,"Мафия")</f>
        <v>0</v>
      </c>
      <c r="L67" s="120" t="n">
        <f aca="false">IFERROR(__xludf.dummyfunction("COUNTBLANK(FILTER('Все игры'!A$3:C877,'Все игры'!A$3:A877=A67,'Все игры'!C$3:C877 &lt; 1,'Все игры'!B$3:B877=""Мафия""))"),0)</f>
        <v>0</v>
      </c>
      <c r="M67" s="120" t="n">
        <f aca="false">COUNTIFS('Все игры'!A$3:A877,A67,'Все игры'!C$3:C877,"&gt;0",'Все игры'!B$3:B877,"Шериф")</f>
        <v>0</v>
      </c>
      <c r="N67" s="120" t="n">
        <f aca="false">IFERROR(__xludf.dummyfunction("COUNTBLANK(FILTER('Все игры'!A$3:C877,'Все игры'!A$3:A877=A67,'Все игры'!C$3:C877 &lt; 1,'Все игры'!B$3:B877=""Шериф""))"),0)</f>
        <v>0</v>
      </c>
      <c r="O67" s="120" t="n">
        <f aca="false">COUNTIFS('Все игры'!A$3:A877,A67,'Все игры'!C$3:C877,"&gt;0",'Все игры'!B$3:B877,"Дон")</f>
        <v>0</v>
      </c>
      <c r="P67" s="122" t="n">
        <f aca="false">IFERROR(__xludf.dummyfunction("COUNTBLANK(FILTER('Все игры'!A$3:C877,'Все игры'!A$3:A877=A67,'Все игры'!C$3:C877 &lt; 1,'Все игры'!B$3:B877=""Дон""))"),1)</f>
        <v>1</v>
      </c>
      <c r="Q67" s="120" t="n">
        <f aca="false">COUNTIFS('Все игры'!A$3:A877,A67,'Все игры'!C$3:C877,"&gt;0",'Все игры'!B$3:B877,"Мирный")</f>
        <v>0</v>
      </c>
      <c r="R67" s="120" t="n">
        <f aca="false">IFERROR(__xludf.dummyfunction("COUNTBLANK(FILTER('Все игры'!A$3:C877,'Все игры'!A$3:A877=A67,'Все игры'!C$3:C877 &lt; 1,'Все игры'!B$3:B877=""Мирный""))"),2)</f>
        <v>2</v>
      </c>
      <c r="S67" s="123" t="n">
        <f aca="false">IFERROR((K67+M67+O67+Q67)/(I67+J67), )</f>
        <v>0</v>
      </c>
      <c r="T67" s="123" t="n">
        <f aca="false">IFERROR((M67+Q67)/I67, )</f>
        <v>0</v>
      </c>
      <c r="U67" s="123" t="n">
        <f aca="false">IFERROR((K67+O67)/J67, )</f>
        <v>0</v>
      </c>
      <c r="V67" s="123" t="n">
        <f aca="false">IFERROR(K67/(K67+L67), )</f>
        <v>0</v>
      </c>
      <c r="W67" s="123" t="n">
        <f aca="false">IFERROR(M67/(M67+N67), )</f>
        <v>0</v>
      </c>
      <c r="X67" s="123" t="n">
        <f aca="false">IFERROR(O67/(O67+P67), )</f>
        <v>0</v>
      </c>
      <c r="Y67" s="123" t="n">
        <f aca="false">IFERROR(Q67/(Q67+R67), )</f>
        <v>0</v>
      </c>
      <c r="Z67" s="124" t="n">
        <f aca="false">SUMIFS('Все игры'!D$3:D877,'Все игры'!A$3:A877,A67)</f>
        <v>0</v>
      </c>
      <c r="AA67" s="124" t="n">
        <f aca="false">SUMIFS('Все игры'!D$3:D877,'Все игры'!A$3:A877,A67,'Все игры'!B$3:B877,"Мафия")</f>
        <v>0</v>
      </c>
      <c r="AB67" s="124" t="n">
        <f aca="false">SUMIFS('Все игры'!D$3:D877,'Все игры'!A$3:A877,A67,'Все игры'!B$3:B877,"Шериф")</f>
        <v>0</v>
      </c>
      <c r="AC67" s="124" t="n">
        <f aca="false">SUMIFS('Все игры'!D$3:D877,'Все игры'!A$3:A877,A67,'Все игры'!B$3:B877,"Дон")</f>
        <v>0</v>
      </c>
      <c r="AD67" s="124" t="n">
        <f aca="false">SUMIFS('Все игры'!D$3:D877,'Все игры'!A$3:A877,A67,'Все игры'!B$3:B877,"Мирный")</f>
        <v>0</v>
      </c>
      <c r="AE67" s="124" t="n">
        <f aca="false">IFERROR(Z67/B67,0)</f>
        <v>0</v>
      </c>
      <c r="AF67" s="124" t="n">
        <f aca="false">IFERROR(AA67/(K67+L67),0)</f>
        <v>0</v>
      </c>
      <c r="AG67" s="124" t="n">
        <f aca="false">IFERROR(AB67/(M67+N67),0)</f>
        <v>0</v>
      </c>
      <c r="AH67" s="124" t="n">
        <f aca="false">IFERROR(AC67/(O67+P67),0)</f>
        <v>0</v>
      </c>
      <c r="AI67" s="124" t="n">
        <f aca="false">IFERROR(AD67/(Q67+R67),0)</f>
        <v>0</v>
      </c>
    </row>
    <row r="68" customFormat="false" ht="15.75" hidden="false" customHeight="false" outlineLevel="0" collapsed="false">
      <c r="A68" s="216" t="s">
        <v>222</v>
      </c>
      <c r="B68" s="120" t="n">
        <f aca="false">SUM(I68:J68)</f>
        <v>3</v>
      </c>
      <c r="C68" s="4" t="str">
        <f aca="false">IF(COUNTIFS('Все игры'!A$3:A877,A68,'Все игры'!F$3:F877,"=1")=0, "", COUNTIFS('Все игры'!A$3:A877,A68,'Все игры'!F$3:F877,"=1"))</f>
        <v/>
      </c>
      <c r="D68" s="76" t="str">
        <f aca="false">IF(COUNTIFS('Все игры'!A$3:A877,A68,'Все игры'!F$3:F877,"=0,50")=0, "", COUNTIFS('Все игры'!A$3:A877,A68,'Все игры'!F$3:F877,"=0,50"))</f>
        <v/>
      </c>
      <c r="E68" s="76" t="str">
        <f aca="false">IF(COUNTIFS('Все игры'!A$3:A877,A68,'Все игры'!E$3:E877,"ПУ")=0, "", COUNTIFS('Все игры'!A$3:A877,A68,'Все игры'!E$3:E877,"ПУ"))</f>
        <v/>
      </c>
      <c r="F68" s="121" t="n">
        <f aca="false">IFERROR(E68/I68,0)</f>
        <v>0</v>
      </c>
      <c r="G68" s="76" t="str">
        <f aca="false">IF(COUNTIFS('Все игры'!A$3:A877,A68,'Все игры'!E$3:E877,"У/Победа")=0, "",COUNTIFS('Все игры'!A$3:A877,A68,'Все игры'!E$3:E877,"У/Победа") )</f>
        <v/>
      </c>
      <c r="H68" s="76" t="str">
        <f aca="false">IF(COUNTIFS('Все игры'!A$3:A877,A68,'Все игры'!E$3:E877,"У/Проигрыш")=0, "",COUNTIFS('Все игры'!A$3:A877,A68,'Все игры'!E$3:E877,"У/Проигрыш") )</f>
        <v/>
      </c>
      <c r="I68" s="120" t="n">
        <f aca="false">M68+N68+Q68+R68</f>
        <v>2</v>
      </c>
      <c r="J68" s="120" t="n">
        <f aca="false">K68+L68+O68+P68</f>
        <v>1</v>
      </c>
      <c r="K68" s="120" t="n">
        <f aca="false">COUNTIFS('Все игры'!A$3:A877,A68,'Все игры'!C$3:C877,"&gt;0",'Все игры'!B$3:B877,"Мафия")</f>
        <v>0</v>
      </c>
      <c r="L68" s="120" t="n">
        <f aca="false">IFERROR(__xludf.dummyfunction("COUNTBLANK(FILTER('Все игры'!A$3:C877,'Все игры'!A$3:A877=A68,'Все игры'!C$3:C877 &lt; 1,'Все игры'!B$3:B877=""Мафия""))"),1)</f>
        <v>1</v>
      </c>
      <c r="M68" s="120" t="n">
        <f aca="false">COUNTIFS('Все игры'!A$3:A877,A68,'Все игры'!C$3:C877,"&gt;0",'Все игры'!B$3:B877,"Шериф")</f>
        <v>0</v>
      </c>
      <c r="N68" s="120" t="n">
        <f aca="false">IFERROR(__xludf.dummyfunction("COUNTBLANK(FILTER('Все игры'!A$3:C877,'Все игры'!A$3:A877=A68,'Все игры'!C$3:C877 &lt; 1,'Все игры'!B$3:B877=""Шериф""))"),2)</f>
        <v>2</v>
      </c>
      <c r="O68" s="120" t="n">
        <f aca="false">COUNTIFS('Все игры'!A$3:A877,A68,'Все игры'!C$3:C877,"&gt;0",'Все игры'!B$3:B877,"Дон")</f>
        <v>0</v>
      </c>
      <c r="P68" s="122" t="n">
        <f aca="false">IFERROR(__xludf.dummyfunction("COUNTBLANK(FILTER('Все игры'!A$3:C877,'Все игры'!A$3:A877=A68,'Все игры'!C$3:C877 &lt; 1,'Все игры'!B$3:B877=""Дон""))"),0)</f>
        <v>0</v>
      </c>
      <c r="Q68" s="120" t="n">
        <f aca="false">COUNTIFS('Все игры'!A$3:A877,A68,'Все игры'!C$3:C877,"&gt;0",'Все игры'!B$3:B877,"Мирный")</f>
        <v>0</v>
      </c>
      <c r="R68" s="120" t="n">
        <f aca="false">IFERROR(__xludf.dummyfunction("COUNTBLANK(FILTER('Все игры'!A$3:C877,'Все игры'!A$3:A877=A68,'Все игры'!C$3:C877 &lt; 1,'Все игры'!B$3:B877=""Мирный""))"),0)</f>
        <v>0</v>
      </c>
      <c r="S68" s="123" t="n">
        <f aca="false">IFERROR((K68+M68+O68+Q68)/(I68+J68), )</f>
        <v>0</v>
      </c>
      <c r="T68" s="123" t="n">
        <f aca="false">IFERROR((M68+Q68)/I68, )</f>
        <v>0</v>
      </c>
      <c r="U68" s="123" t="n">
        <f aca="false">IFERROR((K68+O68)/J68, )</f>
        <v>0</v>
      </c>
      <c r="V68" s="123" t="n">
        <f aca="false">IFERROR(K68/(K68+L68), )</f>
        <v>0</v>
      </c>
      <c r="W68" s="123" t="n">
        <f aca="false">IFERROR(M68/(M68+N68), )</f>
        <v>0</v>
      </c>
      <c r="X68" s="123" t="n">
        <f aca="false">IFERROR(O68/(O68+P68), )</f>
        <v>0</v>
      </c>
      <c r="Y68" s="123" t="n">
        <f aca="false">IFERROR(Q68/(Q68+R68), )</f>
        <v>0</v>
      </c>
      <c r="Z68" s="124" t="n">
        <f aca="false">SUMIFS('Все игры'!D$3:D877,'Все игры'!A$3:A877,A68)</f>
        <v>0</v>
      </c>
      <c r="AA68" s="124" t="n">
        <f aca="false">SUMIFS('Все игры'!D$3:D877,'Все игры'!A$3:A877,A68,'Все игры'!B$3:B877,"Мафия")</f>
        <v>0</v>
      </c>
      <c r="AB68" s="124" t="n">
        <f aca="false">SUMIFS('Все игры'!D$3:D877,'Все игры'!A$3:A877,A68,'Все игры'!B$3:B877,"Шериф")</f>
        <v>0</v>
      </c>
      <c r="AC68" s="124" t="n">
        <f aca="false">SUMIFS('Все игры'!D$3:D877,'Все игры'!A$3:A877,A68,'Все игры'!B$3:B877,"Дон")</f>
        <v>0</v>
      </c>
      <c r="AD68" s="124" t="n">
        <f aca="false">SUMIFS('Все игры'!D$3:D877,'Все игры'!A$3:A877,A68,'Все игры'!B$3:B877,"Мирный")</f>
        <v>0</v>
      </c>
      <c r="AE68" s="124" t="n">
        <f aca="false">IFERROR(Z68/B68,0)</f>
        <v>0</v>
      </c>
      <c r="AF68" s="124" t="n">
        <f aca="false">IFERROR(AA68/(K68+L68),0)</f>
        <v>0</v>
      </c>
      <c r="AG68" s="124" t="n">
        <f aca="false">IFERROR(AB68/(M68+N68),0)</f>
        <v>0</v>
      </c>
      <c r="AH68" s="124" t="n">
        <f aca="false">IFERROR(AC68/(O68+P68),0)</f>
        <v>0</v>
      </c>
      <c r="AI68" s="124" t="n">
        <f aca="false">IFERROR(AD68/(Q68+R68),0)</f>
        <v>0</v>
      </c>
    </row>
    <row r="69" customFormat="false" ht="15.75" hidden="false" customHeight="false" outlineLevel="0" collapsed="false">
      <c r="A69" s="216" t="s">
        <v>225</v>
      </c>
      <c r="B69" s="120" t="n">
        <f aca="false">SUM(I69:J69)</f>
        <v>4</v>
      </c>
      <c r="C69" s="4" t="str">
        <f aca="false">IF(COUNTIFS('Все игры'!A$3:A877,A69,'Все игры'!F$3:F877,"=1")=0, "", COUNTIFS('Все игры'!A$3:A877,A69,'Все игры'!F$3:F877,"=1"))</f>
        <v/>
      </c>
      <c r="D69" s="76" t="str">
        <f aca="false">IF(COUNTIFS('Все игры'!A$3:A877,A69,'Все игры'!F$3:F877,"=0,50")=0, "", COUNTIFS('Все игры'!A$3:A877,A69,'Все игры'!F$3:F877,"=0,50"))</f>
        <v/>
      </c>
      <c r="E69" s="76" t="str">
        <f aca="false">IF(COUNTIFS('Все игры'!A$3:A877,A69,'Все игры'!E$3:E877,"ПУ")=0, "", COUNTIFS('Все игры'!A$3:A877,A69,'Все игры'!E$3:E877,"ПУ"))</f>
        <v/>
      </c>
      <c r="F69" s="121" t="n">
        <f aca="false">IFERROR(E69/I69,0)</f>
        <v>0</v>
      </c>
      <c r="G69" s="76" t="str">
        <f aca="false">IF(COUNTIFS('Все игры'!A$3:A877,A69,'Все игры'!E$3:E877,"У/Победа")=0, "",COUNTIFS('Все игры'!A$3:A877,A69,'Все игры'!E$3:E877,"У/Победа") )</f>
        <v/>
      </c>
      <c r="H69" s="76" t="str">
        <f aca="false">IF(COUNTIFS('Все игры'!A$3:A877,A69,'Все игры'!E$3:E877,"У/Проигрыш")=0, "",COUNTIFS('Все игры'!A$3:A877,A69,'Все игры'!E$3:E877,"У/Проигрыш") )</f>
        <v/>
      </c>
      <c r="I69" s="120" t="n">
        <f aca="false">M69+N69+Q69+R69</f>
        <v>3</v>
      </c>
      <c r="J69" s="120" t="n">
        <f aca="false">K69+L69+O69+P69</f>
        <v>1</v>
      </c>
      <c r="K69" s="120" t="n">
        <f aca="false">COUNTIFS('Все игры'!A$3:A877,A69,'Все игры'!C$3:C877,"&gt;0",'Все игры'!B$3:B877,"Мафия")</f>
        <v>0</v>
      </c>
      <c r="L69" s="120" t="n">
        <f aca="false">IFERROR(__xludf.dummyfunction("COUNTBLANK(FILTER('Все игры'!A$3:C877,'Все игры'!A$3:A877=A69,'Все игры'!C$3:C877 &lt; 1,'Все игры'!B$3:B877=""Мафия""))"),1)</f>
        <v>1</v>
      </c>
      <c r="M69" s="120" t="n">
        <f aca="false">COUNTIFS('Все игры'!A$3:A877,A69,'Все игры'!C$3:C877,"&gt;0",'Все игры'!B$3:B877,"Шериф")</f>
        <v>0</v>
      </c>
      <c r="N69" s="120" t="n">
        <f aca="false">IFERROR(__xludf.dummyfunction("COUNTBLANK(FILTER('Все игры'!A$3:C877,'Все игры'!A$3:A877=A69,'Все игры'!C$3:C877 &lt; 1,'Все игры'!B$3:B877=""Шериф""))"),0)</f>
        <v>0</v>
      </c>
      <c r="O69" s="120" t="n">
        <f aca="false">COUNTIFS('Все игры'!A$3:A877,A69,'Все игры'!C$3:C877,"&gt;0",'Все игры'!B$3:B877,"Дон")</f>
        <v>0</v>
      </c>
      <c r="P69" s="122" t="n">
        <f aca="false">IFERROR(__xludf.dummyfunction("COUNTBLANK(FILTER('Все игры'!A$3:C877,'Все игры'!A$3:A877=A69,'Все игры'!C$3:C877 &lt; 1,'Все игры'!B$3:B877=""Дон""))"),0)</f>
        <v>0</v>
      </c>
      <c r="Q69" s="120" t="n">
        <f aca="false">COUNTIFS('Все игры'!A$3:A877,A69,'Все игры'!C$3:C877,"&gt;0",'Все игры'!B$3:B877,"Мирный")</f>
        <v>0</v>
      </c>
      <c r="R69" s="120" t="n">
        <f aca="false">IFERROR(__xludf.dummyfunction("COUNTBLANK(FILTER('Все игры'!A$3:C877,'Все игры'!A$3:A877=A69,'Все игры'!C$3:C877 &lt; 1,'Все игры'!B$3:B877=""Мирный""))"),3)</f>
        <v>3</v>
      </c>
      <c r="S69" s="123" t="n">
        <f aca="false">IFERROR((K69+M69+O69+Q69)/(I69+J69), )</f>
        <v>0</v>
      </c>
      <c r="T69" s="123" t="n">
        <f aca="false">IFERROR((M69+Q69)/I69, )</f>
        <v>0</v>
      </c>
      <c r="U69" s="123" t="n">
        <f aca="false">IFERROR((K69+O69)/J69, )</f>
        <v>0</v>
      </c>
      <c r="V69" s="123" t="n">
        <f aca="false">IFERROR(K69/(K69+L69), )</f>
        <v>0</v>
      </c>
      <c r="W69" s="123" t="n">
        <f aca="false">IFERROR(M69/(M69+N69), )</f>
        <v>0</v>
      </c>
      <c r="X69" s="123" t="n">
        <f aca="false">IFERROR(O69/(O69+P69), )</f>
        <v>0</v>
      </c>
      <c r="Y69" s="123" t="n">
        <f aca="false">IFERROR(Q69/(Q69+R69), )</f>
        <v>0</v>
      </c>
      <c r="Z69" s="124" t="n">
        <f aca="false">SUMIFS('Все игры'!D$3:D877,'Все игры'!A$3:A877,A69)</f>
        <v>0</v>
      </c>
      <c r="AA69" s="124" t="n">
        <f aca="false">SUMIFS('Все игры'!D$3:D877,'Все игры'!A$3:A877,A69,'Все игры'!B$3:B877,"Мафия")</f>
        <v>0</v>
      </c>
      <c r="AB69" s="124" t="n">
        <f aca="false">SUMIFS('Все игры'!D$3:D877,'Все игры'!A$3:A877,A69,'Все игры'!B$3:B877,"Шериф")</f>
        <v>0</v>
      </c>
      <c r="AC69" s="124" t="n">
        <f aca="false">SUMIFS('Все игры'!D$3:D877,'Все игры'!A$3:A877,A69,'Все игры'!B$3:B877,"Дон")</f>
        <v>0</v>
      </c>
      <c r="AD69" s="124" t="n">
        <f aca="false">SUMIFS('Все игры'!D$3:D877,'Все игры'!A$3:A877,A69,'Все игры'!B$3:B877,"Мирный")</f>
        <v>0</v>
      </c>
      <c r="AE69" s="124" t="n">
        <f aca="false">IFERROR(Z69/B69,0)</f>
        <v>0</v>
      </c>
      <c r="AF69" s="124" t="n">
        <f aca="false">IFERROR(AA69/(K69+L69),0)</f>
        <v>0</v>
      </c>
      <c r="AG69" s="124" t="n">
        <f aca="false">IFERROR(AB69/(M69+N69),0)</f>
        <v>0</v>
      </c>
      <c r="AH69" s="124" t="n">
        <f aca="false">IFERROR(AC69/(O69+P69),0)</f>
        <v>0</v>
      </c>
      <c r="AI69" s="124" t="n">
        <f aca="false">IFERROR(AD69/(Q69+R69),0)</f>
        <v>0</v>
      </c>
    </row>
    <row r="70" customFormat="false" ht="15.75" hidden="false" customHeight="false" outlineLevel="0" collapsed="false">
      <c r="A70" s="216" t="s">
        <v>219</v>
      </c>
      <c r="B70" s="120" t="n">
        <f aca="false">SUM(I70:J70)</f>
        <v>8</v>
      </c>
      <c r="C70" s="4" t="str">
        <f aca="false">IF(COUNTIFS('Все игры'!A$3:A877,A70,'Все игры'!F$3:F877,"=1")=0, "", COUNTIFS('Все игры'!A$3:A877,A70,'Все игры'!F$3:F877,"=1"))</f>
        <v/>
      </c>
      <c r="D70" s="76" t="str">
        <f aca="false">IF(COUNTIFS('Все игры'!A$3:A877,A70,'Все игры'!F$3:F877,"=0,50")=0, "", COUNTIFS('Все игры'!A$3:A877,A70,'Все игры'!F$3:F877,"=0,50"))</f>
        <v/>
      </c>
      <c r="E70" s="76" t="str">
        <f aca="false">IF(COUNTIFS('Все игры'!A$3:A877,A70,'Все игры'!E$3:E877,"ПУ")=0, "", COUNTIFS('Все игры'!A$3:A877,A70,'Все игры'!E$3:E877,"ПУ"))</f>
        <v/>
      </c>
      <c r="F70" s="121" t="n">
        <f aca="false">IFERROR(E70/I70,0)</f>
        <v>0</v>
      </c>
      <c r="G70" s="76" t="str">
        <f aca="false">IF(COUNTIFS('Все игры'!A$3:A877,A70,'Все игры'!E$3:E877,"У/Победа")=0, "",COUNTIFS('Все игры'!A$3:A877,A70,'Все игры'!E$3:E877,"У/Победа") )</f>
        <v/>
      </c>
      <c r="H70" s="76" t="str">
        <f aca="false">IF(COUNTIFS('Все игры'!A$3:A877,A70,'Все игры'!E$3:E877,"У/Проигрыш")=0, "",COUNTIFS('Все игры'!A$3:A877,A70,'Все игры'!E$3:E877,"У/Проигрыш") )</f>
        <v/>
      </c>
      <c r="I70" s="120" t="n">
        <f aca="false">M70+N70+Q70+R70</f>
        <v>6</v>
      </c>
      <c r="J70" s="120" t="n">
        <f aca="false">K70+L70+O70+P70</f>
        <v>2</v>
      </c>
      <c r="K70" s="120" t="n">
        <f aca="false">COUNTIFS('Все игры'!A$3:A877,A70,'Все игры'!C$3:C877,"&gt;0",'Все игры'!B$3:B877,"Мафия")</f>
        <v>0</v>
      </c>
      <c r="L70" s="120" t="n">
        <f aca="false">IFERROR(__xludf.dummyfunction("COUNTBLANK(FILTER('Все игры'!A$3:C877,'Все игры'!A$3:A877=A70,'Все игры'!C$3:C877 &lt; 1,'Все игры'!B$3:B877=""Мафия""))"),0)</f>
        <v>0</v>
      </c>
      <c r="M70" s="120" t="n">
        <f aca="false">COUNTIFS('Все игры'!A$3:A877,A70,'Все игры'!C$3:C877,"&gt;0",'Все игры'!B$3:B877,"Шериф")</f>
        <v>0</v>
      </c>
      <c r="N70" s="120" t="n">
        <f aca="false">IFERROR(__xludf.dummyfunction("COUNTBLANK(FILTER('Все игры'!A$3:C877,'Все игры'!A$3:A877=A70,'Все игры'!C$3:C877 &lt; 1,'Все игры'!B$3:B877=""Шериф""))"),1)</f>
        <v>1</v>
      </c>
      <c r="O70" s="120" t="n">
        <f aca="false">COUNTIFS('Все игры'!A$3:A877,A70,'Все игры'!C$3:C877,"&gt;0",'Все игры'!B$3:B877,"Дон")</f>
        <v>0</v>
      </c>
      <c r="P70" s="122" t="n">
        <f aca="false">IFERROR(__xludf.dummyfunction("COUNTBLANK(FILTER('Все игры'!A$3:C877,'Все игры'!A$3:A877=A70,'Все игры'!C$3:C877 &lt; 1,'Все игры'!B$3:B877=""Дон""))"),2)</f>
        <v>2</v>
      </c>
      <c r="Q70" s="120" t="n">
        <f aca="false">COUNTIFS('Все игры'!A$3:A877,A70,'Все игры'!C$3:C877,"&gt;0",'Все игры'!B$3:B877,"Мирный")</f>
        <v>0</v>
      </c>
      <c r="R70" s="120" t="n">
        <f aca="false">IFERROR(__xludf.dummyfunction("COUNTBLANK(FILTER('Все игры'!A$3:C877,'Все игры'!A$3:A877=A70,'Все игры'!C$3:C877 &lt; 1,'Все игры'!B$3:B877=""Мирный""))"),5)</f>
        <v>5</v>
      </c>
      <c r="S70" s="123" t="n">
        <f aca="false">IFERROR((K70+M70+O70+Q70)/(I70+J70), )</f>
        <v>0</v>
      </c>
      <c r="T70" s="123" t="n">
        <f aca="false">IFERROR((M70+Q70)/I70, )</f>
        <v>0</v>
      </c>
      <c r="U70" s="123" t="n">
        <f aca="false">IFERROR((K70+O70)/J70, )</f>
        <v>0</v>
      </c>
      <c r="V70" s="123" t="n">
        <f aca="false">IFERROR(K70/(K70+L70), )</f>
        <v>0</v>
      </c>
      <c r="W70" s="123" t="n">
        <f aca="false">IFERROR(M70/(M70+N70), )</f>
        <v>0</v>
      </c>
      <c r="X70" s="123" t="n">
        <f aca="false">IFERROR(O70/(O70+P70), )</f>
        <v>0</v>
      </c>
      <c r="Y70" s="123" t="n">
        <f aca="false">IFERROR(Q70/(Q70+R70), )</f>
        <v>0</v>
      </c>
      <c r="Z70" s="124" t="n">
        <f aca="false">SUMIFS('Все игры'!D$3:D877,'Все игры'!A$3:A877,A70)</f>
        <v>0</v>
      </c>
      <c r="AA70" s="124" t="n">
        <f aca="false">SUMIFS('Все игры'!D$3:D877,'Все игры'!A$3:A877,A70,'Все игры'!B$3:B877,"Мафия")</f>
        <v>0</v>
      </c>
      <c r="AB70" s="124" t="n">
        <f aca="false">SUMIFS('Все игры'!D$3:D877,'Все игры'!A$3:A877,A70,'Все игры'!B$3:B877,"Шериф")</f>
        <v>0</v>
      </c>
      <c r="AC70" s="124" t="n">
        <f aca="false">SUMIFS('Все игры'!D$3:D877,'Все игры'!A$3:A877,A70,'Все игры'!B$3:B877,"Дон")</f>
        <v>0</v>
      </c>
      <c r="AD70" s="124" t="n">
        <f aca="false">SUMIFS('Все игры'!D$3:D877,'Все игры'!A$3:A877,A70,'Все игры'!B$3:B877,"Мирный")</f>
        <v>0</v>
      </c>
      <c r="AE70" s="124" t="n">
        <f aca="false">IFERROR(Z70/B70,0)</f>
        <v>0</v>
      </c>
      <c r="AF70" s="124" t="n">
        <f aca="false">IFERROR(AA70/(K70+L70),0)</f>
        <v>0</v>
      </c>
      <c r="AG70" s="124" t="n">
        <f aca="false">IFERROR(AB70/(M70+N70),0)</f>
        <v>0</v>
      </c>
      <c r="AH70" s="124" t="n">
        <f aca="false">IFERROR(AC70/(O70+P70),0)</f>
        <v>0</v>
      </c>
      <c r="AI70" s="124" t="n">
        <f aca="false">IFERROR(AD70/(Q70+R70),0)</f>
        <v>0</v>
      </c>
    </row>
    <row r="71" customFormat="false" ht="15.75" hidden="false" customHeight="false" outlineLevel="0" collapsed="false">
      <c r="A71" s="216" t="s">
        <v>220</v>
      </c>
      <c r="B71" s="120" t="n">
        <f aca="false">SUM(I71:J71)</f>
        <v>3</v>
      </c>
      <c r="C71" s="4" t="str">
        <f aca="false">IF(COUNTIFS('Все игры'!A$3:A877,A71,'Все игры'!F$3:F877,"=1")=0, "", COUNTIFS('Все игры'!A$3:A877,A71,'Все игры'!F$3:F877,"=1"))</f>
        <v/>
      </c>
      <c r="D71" s="76" t="str">
        <f aca="false">IF(COUNTIFS('Все игры'!A$3:A877,A71,'Все игры'!F$3:F877,"=0,50")=0, "", COUNTIFS('Все игры'!A$3:A877,A71,'Все игры'!F$3:F877,"=0,50"))</f>
        <v/>
      </c>
      <c r="E71" s="76" t="str">
        <f aca="false">IF(COUNTIFS('Все игры'!A$3:A877,A71,'Все игры'!E$3:E877,"ПУ")=0, "", COUNTIFS('Все игры'!A$3:A877,A71,'Все игры'!E$3:E877,"ПУ"))</f>
        <v/>
      </c>
      <c r="F71" s="121" t="n">
        <f aca="false">IFERROR(E71/I71,0)</f>
        <v>0</v>
      </c>
      <c r="G71" s="76" t="str">
        <f aca="false">IF(COUNTIFS('Все игры'!A$3:A877,A71,'Все игры'!E$3:E877,"У/Победа")=0, "",COUNTIFS('Все игры'!A$3:A877,A71,'Все игры'!E$3:E877,"У/Победа") )</f>
        <v/>
      </c>
      <c r="H71" s="76" t="str">
        <f aca="false">IF(COUNTIFS('Все игры'!A$3:A877,A71,'Все игры'!E$3:E877,"У/Проигрыш")=0, "",COUNTIFS('Все игры'!A$3:A877,A71,'Все игры'!E$3:E877,"У/Проигрыш") )</f>
        <v/>
      </c>
      <c r="I71" s="120" t="n">
        <f aca="false">M71+N71+Q71+R71</f>
        <v>3</v>
      </c>
      <c r="J71" s="120" t="n">
        <f aca="false">K71+L71+O71+P71</f>
        <v>0</v>
      </c>
      <c r="K71" s="120" t="n">
        <f aca="false">COUNTIFS('Все игры'!A$3:A877,A71,'Все игры'!C$3:C877,"&gt;0",'Все игры'!B$3:B877,"Мафия")</f>
        <v>0</v>
      </c>
      <c r="L71" s="120" t="n">
        <f aca="false">IFERROR(__xludf.dummyfunction("COUNTBLANK(FILTER('Все игры'!A$3:C877,'Все игры'!A$3:A877=A71,'Все игры'!C$3:C877 &lt; 1,'Все игры'!B$3:B877=""Мафия""))"),0)</f>
        <v>0</v>
      </c>
      <c r="M71" s="120" t="n">
        <f aca="false">COUNTIFS('Все игры'!A$3:A877,A71,'Все игры'!C$3:C877,"&gt;0",'Все игры'!B$3:B877,"Шериф")</f>
        <v>0</v>
      </c>
      <c r="N71" s="120" t="n">
        <f aca="false">IFERROR(__xludf.dummyfunction("COUNTBLANK(FILTER('Все игры'!A$3:C877,'Все игры'!A$3:A877=A71,'Все игры'!C$3:C877 &lt; 1,'Все игры'!B$3:B877=""Шериф""))"),0)</f>
        <v>0</v>
      </c>
      <c r="O71" s="120" t="n">
        <f aca="false">COUNTIFS('Все игры'!A$3:A877,A71,'Все игры'!C$3:C877,"&gt;0",'Все игры'!B$3:B877,"Дон")</f>
        <v>0</v>
      </c>
      <c r="P71" s="122" t="n">
        <f aca="false">IFERROR(__xludf.dummyfunction("COUNTBLANK(FILTER('Все игры'!A$3:C877,'Все игры'!A$3:A877=A71,'Все игры'!C$3:C877 &lt; 1,'Все игры'!B$3:B877=""Дон""))"),0)</f>
        <v>0</v>
      </c>
      <c r="Q71" s="120" t="n">
        <f aca="false">COUNTIFS('Все игры'!A$3:A877,A71,'Все игры'!C$3:C877,"&gt;0",'Все игры'!B$3:B877,"Мирный")</f>
        <v>0</v>
      </c>
      <c r="R71" s="120" t="n">
        <f aca="false">IFERROR(__xludf.dummyfunction("COUNTBLANK(FILTER('Все игры'!A$3:C877,'Все игры'!A$3:A877=A71,'Все игры'!C$3:C877 &lt; 1,'Все игры'!B$3:B877=""Мирный""))"),3)</f>
        <v>3</v>
      </c>
      <c r="S71" s="123" t="n">
        <f aca="false">IFERROR((K71+M71+O71+Q71)/(I71+J71), )</f>
        <v>0</v>
      </c>
      <c r="T71" s="123" t="n">
        <f aca="false">IFERROR((M71+Q71)/I71, )</f>
        <v>0</v>
      </c>
      <c r="U71" s="123" t="n">
        <f aca="false">IFERROR((K71+O71)/J71, )</f>
        <v>0</v>
      </c>
      <c r="V71" s="123" t="n">
        <f aca="false">IFERROR(K71/(K71+L71), )</f>
        <v>0</v>
      </c>
      <c r="W71" s="123" t="n">
        <f aca="false">IFERROR(M71/(M71+N71), )</f>
        <v>0</v>
      </c>
      <c r="X71" s="123" t="n">
        <f aca="false">IFERROR(O71/(O71+P71), )</f>
        <v>0</v>
      </c>
      <c r="Y71" s="123" t="n">
        <f aca="false">IFERROR(Q71/(Q71+R71), )</f>
        <v>0</v>
      </c>
      <c r="Z71" s="124" t="n">
        <f aca="false">SUMIFS('Все игры'!D$3:D877,'Все игры'!A$3:A877,A71)</f>
        <v>0</v>
      </c>
      <c r="AA71" s="124" t="n">
        <f aca="false">SUMIFS('Все игры'!D$3:D877,'Все игры'!A$3:A877,A71,'Все игры'!B$3:B877,"Мафия")</f>
        <v>0</v>
      </c>
      <c r="AB71" s="124" t="n">
        <f aca="false">SUMIFS('Все игры'!D$3:D877,'Все игры'!A$3:A877,A71,'Все игры'!B$3:B877,"Шериф")</f>
        <v>0</v>
      </c>
      <c r="AC71" s="124" t="n">
        <f aca="false">SUMIFS('Все игры'!D$3:D877,'Все игры'!A$3:A877,A71,'Все игры'!B$3:B877,"Дон")</f>
        <v>0</v>
      </c>
      <c r="AD71" s="124" t="n">
        <f aca="false">SUMIFS('Все игры'!D$3:D877,'Все игры'!A$3:A877,A71,'Все игры'!B$3:B877,"Мирный")</f>
        <v>0</v>
      </c>
      <c r="AE71" s="124" t="n">
        <f aca="false">IFERROR(Z71/B71,0)</f>
        <v>0</v>
      </c>
      <c r="AF71" s="124" t="n">
        <f aca="false">IFERROR(AA71/(K71+L71),0)</f>
        <v>0</v>
      </c>
      <c r="AG71" s="124" t="n">
        <f aca="false">IFERROR(AB71/(M71+N71),0)</f>
        <v>0</v>
      </c>
      <c r="AH71" s="124" t="n">
        <f aca="false">IFERROR(AC71/(O71+P71),0)</f>
        <v>0</v>
      </c>
      <c r="AI71" s="124" t="n">
        <f aca="false">IFERROR(AD71/(Q71+R71),0)</f>
        <v>0</v>
      </c>
    </row>
    <row r="72" customFormat="false" ht="15.75" hidden="false" customHeight="false" outlineLevel="0" collapsed="false">
      <c r="A72" s="216" t="s">
        <v>78</v>
      </c>
      <c r="B72" s="120" t="n">
        <f aca="false">SUM(I72:J72)</f>
        <v>7</v>
      </c>
      <c r="C72" s="4" t="str">
        <f aca="false">IF(COUNTIFS('Все игры'!A$3:A877,A72,'Все игры'!F$3:F877,"=1")=0, "", COUNTIFS('Все игры'!A$3:A877,A72,'Все игры'!F$3:F877,"=1"))</f>
        <v/>
      </c>
      <c r="D72" s="76" t="str">
        <f aca="false">IF(COUNTIFS('Все игры'!A$3:A877,A72,'Все игры'!F$3:F877,"=0,50")=0, "", COUNTIFS('Все игры'!A$3:A877,A72,'Все игры'!F$3:F877,"=0,50"))</f>
        <v/>
      </c>
      <c r="E72" s="76" t="str">
        <f aca="false">IF(COUNTIFS('Все игры'!A$3:A877,A72,'Все игры'!E$3:E877,"ПУ")=0, "", COUNTIFS('Все игры'!A$3:A877,A72,'Все игры'!E$3:E877,"ПУ"))</f>
        <v/>
      </c>
      <c r="F72" s="121" t="n">
        <f aca="false">IFERROR(E72/I72,0)</f>
        <v>0</v>
      </c>
      <c r="G72" s="76" t="str">
        <f aca="false">IF(COUNTIFS('Все игры'!A$3:A877,A72,'Все игры'!E$3:E877,"У/Победа")=0, "",COUNTIFS('Все игры'!A$3:A877,A72,'Все игры'!E$3:E877,"У/Победа") )</f>
        <v/>
      </c>
      <c r="H72" s="76" t="str">
        <f aca="false">IF(COUNTIFS('Все игры'!A$3:A877,A72,'Все игры'!E$3:E877,"У/Проигрыш")=0, "",COUNTIFS('Все игры'!A$3:A877,A72,'Все игры'!E$3:E877,"У/Проигрыш") )</f>
        <v/>
      </c>
      <c r="I72" s="120" t="n">
        <f aca="false">M72+N72+Q72+R72</f>
        <v>5</v>
      </c>
      <c r="J72" s="120" t="n">
        <f aca="false">K72+L72+O72+P72</f>
        <v>2</v>
      </c>
      <c r="K72" s="120" t="n">
        <f aca="false">COUNTIFS('Все игры'!A$3:A877,A72,'Все игры'!C$3:C877,"&gt;0",'Все игры'!B$3:B877,"Мафия")</f>
        <v>0</v>
      </c>
      <c r="L72" s="120" t="n">
        <f aca="false">IFERROR(__xludf.dummyfunction("COUNTBLANK(FILTER('Все игры'!A$3:C877,'Все игры'!A$3:A877=A72,'Все игры'!C$3:C877 &lt; 1,'Все игры'!B$3:B877=""Мафия""))"),1)</f>
        <v>1</v>
      </c>
      <c r="M72" s="120" t="n">
        <f aca="false">COUNTIFS('Все игры'!A$3:A877,A72,'Все игры'!C$3:C877,"&gt;0",'Все игры'!B$3:B877,"Шериф")</f>
        <v>0</v>
      </c>
      <c r="N72" s="120" t="n">
        <f aca="false">IFERROR(__xludf.dummyfunction("COUNTBLANK(FILTER('Все игры'!A$3:C877,'Все игры'!A$3:A877=A72,'Все игры'!C$3:C877 &lt; 1,'Все игры'!B$3:B877=""Шериф""))"),0)</f>
        <v>0</v>
      </c>
      <c r="O72" s="120" t="n">
        <f aca="false">COUNTIFS('Все игры'!A$3:A877,A72,'Все игры'!C$3:C877,"&gt;0",'Все игры'!B$3:B877,"Дон")</f>
        <v>0</v>
      </c>
      <c r="P72" s="122" t="n">
        <f aca="false">IFERROR(__xludf.dummyfunction("COUNTBLANK(FILTER('Все игры'!A$3:C877,'Все игры'!A$3:A877=A72,'Все игры'!C$3:C877 &lt; 1,'Все игры'!B$3:B877=""Дон""))"),1)</f>
        <v>1</v>
      </c>
      <c r="Q72" s="120" t="n">
        <f aca="false">COUNTIFS('Все игры'!A$3:A877,A72,'Все игры'!C$3:C877,"&gt;0",'Все игры'!B$3:B877,"Мирный")</f>
        <v>0</v>
      </c>
      <c r="R72" s="120" t="n">
        <f aca="false">IFERROR(__xludf.dummyfunction("COUNTBLANK(FILTER('Все игры'!A$3:C877,'Все игры'!A$3:A877=A72,'Все игры'!C$3:C877 &lt; 1,'Все игры'!B$3:B877=""Мирный""))"),5)</f>
        <v>5</v>
      </c>
      <c r="S72" s="123" t="n">
        <f aca="false">IFERROR((K72+M72+O72+Q72)/(I72+J72), )</f>
        <v>0</v>
      </c>
      <c r="T72" s="123" t="n">
        <f aca="false">IFERROR((M72+Q72)/I72, )</f>
        <v>0</v>
      </c>
      <c r="U72" s="123" t="n">
        <f aca="false">IFERROR((K72+O72)/J72, )</f>
        <v>0</v>
      </c>
      <c r="V72" s="123" t="n">
        <f aca="false">IFERROR(K72/(K72+L72), )</f>
        <v>0</v>
      </c>
      <c r="W72" s="123" t="n">
        <f aca="false">IFERROR(M72/(M72+N72), )</f>
        <v>0</v>
      </c>
      <c r="X72" s="123" t="n">
        <f aca="false">IFERROR(O72/(O72+P72), )</f>
        <v>0</v>
      </c>
      <c r="Y72" s="123" t="n">
        <f aca="false">IFERROR(Q72/(Q72+R72), )</f>
        <v>0</v>
      </c>
      <c r="Z72" s="124" t="n">
        <f aca="false">SUMIFS('Все игры'!D$3:D877,'Все игры'!A$3:A877,A72)</f>
        <v>0</v>
      </c>
      <c r="AA72" s="124" t="n">
        <f aca="false">SUMIFS('Все игры'!D$3:D877,'Все игры'!A$3:A877,A72,'Все игры'!B$3:B877,"Мафия")</f>
        <v>0</v>
      </c>
      <c r="AB72" s="124" t="n">
        <f aca="false">SUMIFS('Все игры'!D$3:D877,'Все игры'!A$3:A877,A72,'Все игры'!B$3:B877,"Шериф")</f>
        <v>0</v>
      </c>
      <c r="AC72" s="124" t="n">
        <f aca="false">SUMIFS('Все игры'!D$3:D877,'Все игры'!A$3:A877,A72,'Все игры'!B$3:B877,"Дон")</f>
        <v>0</v>
      </c>
      <c r="AD72" s="124" t="n">
        <f aca="false">SUMIFS('Все игры'!D$3:D877,'Все игры'!A$3:A877,A72,'Все игры'!B$3:B877,"Мирный")</f>
        <v>0</v>
      </c>
      <c r="AE72" s="124" t="n">
        <f aca="false">IFERROR(Z72/B72,0)</f>
        <v>0</v>
      </c>
      <c r="AF72" s="124" t="n">
        <f aca="false">IFERROR(AA72/(K72+L72),0)</f>
        <v>0</v>
      </c>
      <c r="AG72" s="124" t="n">
        <f aca="false">IFERROR(AB72/(M72+N72),0)</f>
        <v>0</v>
      </c>
      <c r="AH72" s="124" t="n">
        <f aca="false">IFERROR(AC72/(O72+P72),0)</f>
        <v>0</v>
      </c>
      <c r="AI72" s="124" t="n">
        <f aca="false">IFERROR(AD72/(Q72+R72),0)</f>
        <v>0</v>
      </c>
    </row>
    <row r="73" customFormat="false" ht="15.75" hidden="false" customHeight="false" outlineLevel="0" collapsed="false">
      <c r="A73" s="216" t="s">
        <v>39</v>
      </c>
      <c r="B73" s="120" t="n">
        <f aca="false">SUM(I73:J73)</f>
        <v>5</v>
      </c>
      <c r="C73" s="4" t="str">
        <f aca="false">IF(COUNTIFS('Все игры'!A$3:A877,A73,'Все игры'!F$3:F877,"=1")=0, "", COUNTIFS('Все игры'!A$3:A877,A73,'Все игры'!F$3:F877,"=1"))</f>
        <v/>
      </c>
      <c r="D73" s="76" t="str">
        <f aca="false">IF(COUNTIFS('Все игры'!A$3:A877,A73,'Все игры'!F$3:F877,"=0,50")=0, "", COUNTIFS('Все игры'!A$3:A877,A73,'Все игры'!F$3:F877,"=0,50"))</f>
        <v/>
      </c>
      <c r="E73" s="76" t="str">
        <f aca="false">IF(COUNTIFS('Все игры'!A$3:A877,A73,'Все игры'!E$3:E877,"ПУ")=0, "", COUNTIFS('Все игры'!A$3:A877,A73,'Все игры'!E$3:E877,"ПУ"))</f>
        <v/>
      </c>
      <c r="F73" s="121" t="n">
        <f aca="false">IFERROR(E73/I73,0)</f>
        <v>0</v>
      </c>
      <c r="G73" s="76" t="str">
        <f aca="false">IF(COUNTIFS('Все игры'!A$3:A877,A73,'Все игры'!E$3:E877,"У/Победа")=0, "",COUNTIFS('Все игры'!A$3:A877,A73,'Все игры'!E$3:E877,"У/Победа") )</f>
        <v/>
      </c>
      <c r="H73" s="76" t="str">
        <f aca="false">IF(COUNTIFS('Все игры'!A$3:A877,A73,'Все игры'!E$3:E877,"У/Проигрыш")=0, "",COUNTIFS('Все игры'!A$3:A877,A73,'Все игры'!E$3:E877,"У/Проигрыш") )</f>
        <v/>
      </c>
      <c r="I73" s="120" t="n">
        <f aca="false">M73+N73+Q73+R73</f>
        <v>3</v>
      </c>
      <c r="J73" s="120" t="n">
        <f aca="false">K73+L73+O73+P73</f>
        <v>2</v>
      </c>
      <c r="K73" s="120" t="n">
        <f aca="false">COUNTIFS('Все игры'!A$3:A877,A73,'Все игры'!C$3:C877,"&gt;0",'Все игры'!B$3:B877,"Мафия")</f>
        <v>0</v>
      </c>
      <c r="L73" s="120" t="n">
        <f aca="false">IFERROR(__xludf.dummyfunction("COUNTBLANK(FILTER('Все игры'!A$3:C877,'Все игры'!A$3:A877=A73,'Все игры'!C$3:C877 &lt; 1,'Все игры'!B$3:B877=""Мафия""))"),2)</f>
        <v>2</v>
      </c>
      <c r="M73" s="120" t="n">
        <f aca="false">COUNTIFS('Все игры'!A$3:A877,A73,'Все игры'!C$3:C877,"&gt;0",'Все игры'!B$3:B877,"Шериф")</f>
        <v>0</v>
      </c>
      <c r="N73" s="120" t="n">
        <f aca="false">IFERROR(__xludf.dummyfunction("COUNTBLANK(FILTER('Все игры'!A$3:C877,'Все игры'!A$3:A877=A73,'Все игры'!C$3:C877 &lt; 1,'Все игры'!B$3:B877=""Шериф""))"),0)</f>
        <v>0</v>
      </c>
      <c r="O73" s="120" t="n">
        <f aca="false">COUNTIFS('Все игры'!A$3:A877,A73,'Все игры'!C$3:C877,"&gt;0",'Все игры'!B$3:B877,"Дон")</f>
        <v>0</v>
      </c>
      <c r="P73" s="122" t="n">
        <f aca="false">IFERROR(__xludf.dummyfunction("COUNTBLANK(FILTER('Все игры'!A$3:C877,'Все игры'!A$3:A877=A73,'Все игры'!C$3:C877 &lt; 1,'Все игры'!B$3:B877=""Дон""))"),0)</f>
        <v>0</v>
      </c>
      <c r="Q73" s="120" t="n">
        <f aca="false">COUNTIFS('Все игры'!A$3:A877,A73,'Все игры'!C$3:C877,"&gt;0",'Все игры'!B$3:B877,"Мирный")</f>
        <v>0</v>
      </c>
      <c r="R73" s="120" t="n">
        <f aca="false">IFERROR(__xludf.dummyfunction("COUNTBLANK(FILTER('Все игры'!A$3:C877,'Все игры'!A$3:A877=A73,'Все игры'!C$3:C877 &lt; 1,'Все игры'!B$3:B877=""Мирный""))"),3)</f>
        <v>3</v>
      </c>
      <c r="S73" s="123" t="n">
        <f aca="false">IFERROR((K73+M73+O73+Q73)/(I73+J73), )</f>
        <v>0</v>
      </c>
      <c r="T73" s="123" t="n">
        <f aca="false">IFERROR((M73+Q73)/I73, )</f>
        <v>0</v>
      </c>
      <c r="U73" s="123" t="n">
        <f aca="false">IFERROR((K73+O73)/J73, )</f>
        <v>0</v>
      </c>
      <c r="V73" s="123" t="n">
        <f aca="false">IFERROR(K73/(K73+L73), )</f>
        <v>0</v>
      </c>
      <c r="W73" s="123" t="n">
        <f aca="false">IFERROR(M73/(M73+N73), )</f>
        <v>0</v>
      </c>
      <c r="X73" s="123" t="n">
        <f aca="false">IFERROR(O73/(O73+P73), )</f>
        <v>0</v>
      </c>
      <c r="Y73" s="123" t="n">
        <f aca="false">IFERROR(Q73/(Q73+R73), )</f>
        <v>0</v>
      </c>
      <c r="Z73" s="124" t="n">
        <f aca="false">SUMIFS('Все игры'!D$3:D877,'Все игры'!A$3:A877,A73)</f>
        <v>0</v>
      </c>
      <c r="AA73" s="124" t="n">
        <f aca="false">SUMIFS('Все игры'!D$3:D877,'Все игры'!A$3:A877,A73,'Все игры'!B$3:B877,"Мафия")</f>
        <v>0</v>
      </c>
      <c r="AB73" s="124" t="n">
        <f aca="false">SUMIFS('Все игры'!D$3:D877,'Все игры'!A$3:A877,A73,'Все игры'!B$3:B877,"Шериф")</f>
        <v>0</v>
      </c>
      <c r="AC73" s="124" t="n">
        <f aca="false">SUMIFS('Все игры'!D$3:D877,'Все игры'!A$3:A877,A73,'Все игры'!B$3:B877,"Дон")</f>
        <v>0</v>
      </c>
      <c r="AD73" s="124" t="n">
        <f aca="false">SUMIFS('Все игры'!D$3:D877,'Все игры'!A$3:A877,A73,'Все игры'!B$3:B877,"Мирный")</f>
        <v>0</v>
      </c>
      <c r="AE73" s="124" t="n">
        <f aca="false">IFERROR(Z73/B73,0)</f>
        <v>0</v>
      </c>
      <c r="AF73" s="124" t="n">
        <f aca="false">IFERROR(AA73/(K73+L73),0)</f>
        <v>0</v>
      </c>
      <c r="AG73" s="124" t="n">
        <f aca="false">IFERROR(AB73/(M73+N73),0)</f>
        <v>0</v>
      </c>
      <c r="AH73" s="124" t="n">
        <f aca="false">IFERROR(AC73/(O73+P73),0)</f>
        <v>0</v>
      </c>
      <c r="AI73" s="124" t="n">
        <f aca="false">IFERROR(AD73/(Q73+R73),0)</f>
        <v>0</v>
      </c>
    </row>
    <row r="74" customFormat="false" ht="15.75" hidden="false" customHeight="false" outlineLevel="0" collapsed="false">
      <c r="A74" s="216" t="s">
        <v>229</v>
      </c>
      <c r="B74" s="120" t="n">
        <f aca="false">SUM(I74:J74)</f>
        <v>3</v>
      </c>
      <c r="C74" s="4" t="str">
        <f aca="false">IF(COUNTIFS('Все игры'!A$3:A877,A74,'Все игры'!F$3:F877,"=1")=0, "", COUNTIFS('Все игры'!A$3:A877,A74,'Все игры'!F$3:F877,"=1"))</f>
        <v/>
      </c>
      <c r="D74" s="76" t="str">
        <f aca="false">IF(COUNTIFS('Все игры'!A$3:A877,A74,'Все игры'!F$3:F877,"=0,50")=0, "", COUNTIFS('Все игры'!A$3:A877,A74,'Все игры'!F$3:F877,"=0,50"))</f>
        <v/>
      </c>
      <c r="E74" s="76" t="str">
        <f aca="false">IF(COUNTIFS('Все игры'!A$3:A877,A74,'Все игры'!E$3:E877,"ПУ")=0, "", COUNTIFS('Все игры'!A$3:A877,A74,'Все игры'!E$3:E877,"ПУ"))</f>
        <v/>
      </c>
      <c r="F74" s="121" t="n">
        <f aca="false">IFERROR(E74/I74,0)</f>
        <v>0</v>
      </c>
      <c r="G74" s="76" t="str">
        <f aca="false">IF(COUNTIFS('Все игры'!A$3:A877,A74,'Все игры'!E$3:E877,"У/Победа")=0, "",COUNTIFS('Все игры'!A$3:A877,A74,'Все игры'!E$3:E877,"У/Победа") )</f>
        <v/>
      </c>
      <c r="H74" s="76" t="str">
        <f aca="false">IF(COUNTIFS('Все игры'!A$3:A877,A74,'Все игры'!E$3:E877,"У/Проигрыш")=0, "",COUNTIFS('Все игры'!A$3:A877,A74,'Все игры'!E$3:E877,"У/Проигрыш") )</f>
        <v/>
      </c>
      <c r="I74" s="120" t="n">
        <f aca="false">M74+N74+Q74+R74</f>
        <v>3</v>
      </c>
      <c r="J74" s="120" t="n">
        <f aca="false">K74+L74+O74+P74</f>
        <v>0</v>
      </c>
      <c r="K74" s="120" t="n">
        <f aca="false">COUNTIFS('Все игры'!A$3:A877,A74,'Все игры'!C$3:C877,"&gt;0",'Все игры'!B$3:B877,"Мафия")</f>
        <v>0</v>
      </c>
      <c r="L74" s="120" t="n">
        <f aca="false">IFERROR(__xludf.dummyfunction("COUNTBLANK(FILTER('Все игры'!A$3:C877,'Все игры'!A$3:A877=A74,'Все игры'!C$3:C877 &lt; 1,'Все игры'!B$3:B877=""Мафия""))"),0)</f>
        <v>0</v>
      </c>
      <c r="M74" s="120" t="n">
        <f aca="false">COUNTIFS('Все игры'!A$3:A877,A74,'Все игры'!C$3:C877,"&gt;0",'Все игры'!B$3:B877,"Шериф")</f>
        <v>0</v>
      </c>
      <c r="N74" s="120" t="n">
        <f aca="false">IFERROR(__xludf.dummyfunction("COUNTBLANK(FILTER('Все игры'!A$3:C877,'Все игры'!A$3:A877=A74,'Все игры'!C$3:C877 &lt; 1,'Все игры'!B$3:B877=""Шериф""))"),0)</f>
        <v>0</v>
      </c>
      <c r="O74" s="120" t="n">
        <f aca="false">COUNTIFS('Все игры'!A$3:A877,A74,'Все игры'!C$3:C877,"&gt;0",'Все игры'!B$3:B877,"Дон")</f>
        <v>0</v>
      </c>
      <c r="P74" s="122" t="n">
        <f aca="false">IFERROR(__xludf.dummyfunction("COUNTBLANK(FILTER('Все игры'!A$3:C877,'Все игры'!A$3:A877=A74,'Все игры'!C$3:C877 &lt; 1,'Все игры'!B$3:B877=""Дон""))"),0)</f>
        <v>0</v>
      </c>
      <c r="Q74" s="120" t="n">
        <f aca="false">COUNTIFS('Все игры'!A$3:A877,A74,'Все игры'!C$3:C877,"&gt;0",'Все игры'!B$3:B877,"Мирный")</f>
        <v>0</v>
      </c>
      <c r="R74" s="120" t="n">
        <f aca="false">IFERROR(__xludf.dummyfunction("COUNTBLANK(FILTER('Все игры'!A$3:C877,'Все игры'!A$3:A877=A74,'Все игры'!C$3:C877 &lt; 1,'Все игры'!B$3:B877=""Мирный""))"),3)</f>
        <v>3</v>
      </c>
      <c r="S74" s="123" t="n">
        <f aca="false">IFERROR((K74+M74+O74+Q74)/(I74+J74), )</f>
        <v>0</v>
      </c>
      <c r="T74" s="123" t="n">
        <f aca="false">IFERROR((M74+Q74)/I74, )</f>
        <v>0</v>
      </c>
      <c r="U74" s="123" t="n">
        <f aca="false">IFERROR((K74+O74)/J74, )</f>
        <v>0</v>
      </c>
      <c r="V74" s="123" t="n">
        <f aca="false">IFERROR(K74/(K74+L74), )</f>
        <v>0</v>
      </c>
      <c r="W74" s="123" t="n">
        <f aca="false">IFERROR(M74/(M74+N74), )</f>
        <v>0</v>
      </c>
      <c r="X74" s="123" t="n">
        <f aca="false">IFERROR(O74/(O74+P74), )</f>
        <v>0</v>
      </c>
      <c r="Y74" s="123" t="n">
        <f aca="false">IFERROR(Q74/(Q74+R74), )</f>
        <v>0</v>
      </c>
      <c r="Z74" s="124" t="n">
        <f aca="false">SUMIFS('Все игры'!D$3:D877,'Все игры'!A$3:A877,A74)</f>
        <v>0</v>
      </c>
      <c r="AA74" s="124" t="n">
        <f aca="false">SUMIFS('Все игры'!D$3:D877,'Все игры'!A$3:A877,A74,'Все игры'!B$3:B877,"Мафия")</f>
        <v>0</v>
      </c>
      <c r="AB74" s="124" t="n">
        <f aca="false">SUMIFS('Все игры'!D$3:D877,'Все игры'!A$3:A877,A74,'Все игры'!B$3:B877,"Шериф")</f>
        <v>0</v>
      </c>
      <c r="AC74" s="124" t="n">
        <f aca="false">SUMIFS('Все игры'!D$3:D877,'Все игры'!A$3:A877,A74,'Все игры'!B$3:B877,"Дон")</f>
        <v>0</v>
      </c>
      <c r="AD74" s="124" t="n">
        <f aca="false">SUMIFS('Все игры'!D$3:D877,'Все игры'!A$3:A877,A74,'Все игры'!B$3:B877,"Мирный")</f>
        <v>0</v>
      </c>
      <c r="AE74" s="124" t="n">
        <f aca="false">IFERROR(Z74/B74,0)</f>
        <v>0</v>
      </c>
      <c r="AF74" s="124" t="n">
        <f aca="false">IFERROR(AA74/(K74+L74),0)</f>
        <v>0</v>
      </c>
      <c r="AG74" s="124" t="n">
        <f aca="false">IFERROR(AB74/(M74+N74),0)</f>
        <v>0</v>
      </c>
      <c r="AH74" s="124" t="n">
        <f aca="false">IFERROR(AC74/(O74+P74),0)</f>
        <v>0</v>
      </c>
      <c r="AI74" s="124" t="n">
        <f aca="false">IFERROR(AD74/(Q74+R74),0)</f>
        <v>0</v>
      </c>
    </row>
    <row r="75" customFormat="false" ht="15.75" hidden="false" customHeight="false" outlineLevel="0" collapsed="false">
      <c r="A75" s="216" t="s">
        <v>230</v>
      </c>
      <c r="B75" s="120" t="n">
        <f aca="false">SUM(I75:J75)</f>
        <v>3</v>
      </c>
      <c r="C75" s="4" t="str">
        <f aca="false">IF(COUNTIFS('Все игры'!A$3:A877,A75,'Все игры'!F$3:F877,"=1")=0, "", COUNTIFS('Все игры'!A$3:A877,A75,'Все игры'!F$3:F877,"=1"))</f>
        <v/>
      </c>
      <c r="D75" s="76" t="str">
        <f aca="false">IF(COUNTIFS('Все игры'!A$3:A877,A75,'Все игры'!F$3:F877,"=0,50")=0, "", COUNTIFS('Все игры'!A$3:A877,A75,'Все игры'!F$3:F877,"=0,50"))</f>
        <v/>
      </c>
      <c r="E75" s="76" t="str">
        <f aca="false">IF(COUNTIFS('Все игры'!A$3:A877,A75,'Все игры'!E$3:E877,"ПУ")=0, "", COUNTIFS('Все игры'!A$3:A877,A75,'Все игры'!E$3:E877,"ПУ"))</f>
        <v/>
      </c>
      <c r="F75" s="121" t="n">
        <f aca="false">IFERROR(E75/I75,0)</f>
        <v>0</v>
      </c>
      <c r="G75" s="76" t="str">
        <f aca="false">IF(COUNTIFS('Все игры'!A$3:A877,A75,'Все игры'!E$3:E877,"У/Победа")=0, "",COUNTIFS('Все игры'!A$3:A877,A75,'Все игры'!E$3:E877,"У/Победа") )</f>
        <v/>
      </c>
      <c r="H75" s="76" t="str">
        <f aca="false">IF(COUNTIFS('Все игры'!A$3:A877,A75,'Все игры'!E$3:E877,"У/Проигрыш")=0, "",COUNTIFS('Все игры'!A$3:A877,A75,'Все игры'!E$3:E877,"У/Проигрыш") )</f>
        <v/>
      </c>
      <c r="I75" s="120" t="n">
        <f aca="false">M75+N75+Q75+R75</f>
        <v>3</v>
      </c>
      <c r="J75" s="120" t="n">
        <f aca="false">K75+L75+O75+P75</f>
        <v>0</v>
      </c>
      <c r="K75" s="120" t="n">
        <f aca="false">COUNTIFS('Все игры'!A$3:A877,A75,'Все игры'!C$3:C877,"&gt;0",'Все игры'!B$3:B877,"Мафия")</f>
        <v>0</v>
      </c>
      <c r="L75" s="120" t="n">
        <f aca="false">IFERROR(__xludf.dummyfunction("COUNTBLANK(FILTER('Все игры'!A$3:C877,'Все игры'!A$3:A877=A75,'Все игры'!C$3:C877 &lt; 1,'Все игры'!B$3:B877=""Мафия""))"),0)</f>
        <v>0</v>
      </c>
      <c r="M75" s="120" t="n">
        <f aca="false">COUNTIFS('Все игры'!A$3:A877,A75,'Все игры'!C$3:C877,"&gt;0",'Все игры'!B$3:B877,"Шериф")</f>
        <v>0</v>
      </c>
      <c r="N75" s="120" t="n">
        <f aca="false">IFERROR(__xludf.dummyfunction("COUNTBLANK(FILTER('Все игры'!A$3:C877,'Все игры'!A$3:A877=A75,'Все игры'!C$3:C877 &lt; 1,'Все игры'!B$3:B877=""Шериф""))"),1)</f>
        <v>1</v>
      </c>
      <c r="O75" s="120" t="n">
        <f aca="false">COUNTIFS('Все игры'!A$3:A877,A75,'Все игры'!C$3:C877,"&gt;0",'Все игры'!B$3:B877,"Дон")</f>
        <v>0</v>
      </c>
      <c r="P75" s="122" t="n">
        <f aca="false">IFERROR(__xludf.dummyfunction("COUNTBLANK(FILTER('Все игры'!A$3:C877,'Все игры'!A$3:A877=A75,'Все игры'!C$3:C877 &lt; 1,'Все игры'!B$3:B877=""Дон""))"),0)</f>
        <v>0</v>
      </c>
      <c r="Q75" s="120" t="n">
        <f aca="false">COUNTIFS('Все игры'!A$3:A877,A75,'Все игры'!C$3:C877,"&gt;0",'Все игры'!B$3:B877,"Мирный")</f>
        <v>0</v>
      </c>
      <c r="R75" s="120" t="n">
        <f aca="false">IFERROR(__xludf.dummyfunction("COUNTBLANK(FILTER('Все игры'!A$3:C877,'Все игры'!A$3:A877=A75,'Все игры'!C$3:C877 &lt; 1,'Все игры'!B$3:B877=""Мирный""))"),2)</f>
        <v>2</v>
      </c>
      <c r="S75" s="123" t="n">
        <f aca="false">IFERROR((K75+M75+O75+Q75)/(I75+J75), )</f>
        <v>0</v>
      </c>
      <c r="T75" s="123" t="n">
        <f aca="false">IFERROR((M75+Q75)/I75, )</f>
        <v>0</v>
      </c>
      <c r="U75" s="123" t="n">
        <f aca="false">IFERROR((K75+O75)/J75, )</f>
        <v>0</v>
      </c>
      <c r="V75" s="123" t="n">
        <f aca="false">IFERROR(K75/(K75+L75), )</f>
        <v>0</v>
      </c>
      <c r="W75" s="123" t="n">
        <f aca="false">IFERROR(M75/(M75+N75), )</f>
        <v>0</v>
      </c>
      <c r="X75" s="123" t="n">
        <f aca="false">IFERROR(O75/(O75+P75), )</f>
        <v>0</v>
      </c>
      <c r="Y75" s="123" t="n">
        <f aca="false">IFERROR(Q75/(Q75+R75), )</f>
        <v>0</v>
      </c>
      <c r="Z75" s="124" t="n">
        <f aca="false">SUMIFS('Все игры'!D$3:D877,'Все игры'!A$3:A877,A75)</f>
        <v>0</v>
      </c>
      <c r="AA75" s="124" t="n">
        <f aca="false">SUMIFS('Все игры'!D$3:D877,'Все игры'!A$3:A877,A75,'Все игры'!B$3:B877,"Мафия")</f>
        <v>0</v>
      </c>
      <c r="AB75" s="124" t="n">
        <f aca="false">SUMIFS('Все игры'!D$3:D877,'Все игры'!A$3:A877,A75,'Все игры'!B$3:B877,"Шериф")</f>
        <v>0</v>
      </c>
      <c r="AC75" s="124" t="n">
        <f aca="false">SUMIFS('Все игры'!D$3:D877,'Все игры'!A$3:A877,A75,'Все игры'!B$3:B877,"Дон")</f>
        <v>0</v>
      </c>
      <c r="AD75" s="124" t="n">
        <f aca="false">SUMIFS('Все игры'!D$3:D877,'Все игры'!A$3:A877,A75,'Все игры'!B$3:B877,"Мирный")</f>
        <v>0</v>
      </c>
      <c r="AE75" s="124" t="n">
        <f aca="false">IFERROR(Z75/B75,0)</f>
        <v>0</v>
      </c>
      <c r="AF75" s="124" t="n">
        <f aca="false">IFERROR(AA75/(K75+L75),0)</f>
        <v>0</v>
      </c>
      <c r="AG75" s="124" t="n">
        <f aca="false">IFERROR(AB75/(M75+N75),0)</f>
        <v>0</v>
      </c>
      <c r="AH75" s="124" t="n">
        <f aca="false">IFERROR(AC75/(O75+P75),0)</f>
        <v>0</v>
      </c>
      <c r="AI75" s="124" t="n">
        <f aca="false">IFERROR(AD75/(Q75+R75),0)</f>
        <v>0</v>
      </c>
    </row>
    <row r="76" customFormat="false" ht="15.75" hidden="false" customHeight="false" outlineLevel="0" collapsed="false">
      <c r="A76" s="216" t="s">
        <v>185</v>
      </c>
      <c r="B76" s="120" t="n">
        <f aca="false">SUM(I76:J76)</f>
        <v>11</v>
      </c>
      <c r="C76" s="4" t="str">
        <f aca="false">IF(COUNTIFS('Все игры'!A$3:A877,A76,'Все игры'!F$3:F877,"=1")=0, "", COUNTIFS('Все игры'!A$3:A877,A76,'Все игры'!F$3:F877,"=1"))</f>
        <v/>
      </c>
      <c r="D76" s="76" t="str">
        <f aca="false">IF(COUNTIFS('Все игры'!A$3:A877,A76,'Все игры'!F$3:F877,"=0,50")=0, "", COUNTIFS('Все игры'!A$3:A877,A76,'Все игры'!F$3:F877,"=0,50"))</f>
        <v/>
      </c>
      <c r="E76" s="76" t="str">
        <f aca="false">IF(COUNTIFS('Все игры'!A$3:A877,A76,'Все игры'!E$3:E877,"ПУ")=0, "", COUNTIFS('Все игры'!A$3:A877,A76,'Все игры'!E$3:E877,"ПУ"))</f>
        <v/>
      </c>
      <c r="F76" s="121" t="n">
        <f aca="false">IFERROR(E76/I76,0)</f>
        <v>0</v>
      </c>
      <c r="G76" s="76" t="str">
        <f aca="false">IF(COUNTIFS('Все игры'!A$3:A877,A76,'Все игры'!E$3:E877,"У/Победа")=0, "",COUNTIFS('Все игры'!A$3:A877,A76,'Все игры'!E$3:E877,"У/Победа") )</f>
        <v/>
      </c>
      <c r="H76" s="76" t="str">
        <f aca="false">IF(COUNTIFS('Все игры'!A$3:A877,A76,'Все игры'!E$3:E877,"У/Проигрыш")=0, "",COUNTIFS('Все игры'!A$3:A877,A76,'Все игры'!E$3:E877,"У/Проигрыш") )</f>
        <v/>
      </c>
      <c r="I76" s="120" t="n">
        <f aca="false">M76+N76+Q76+R76</f>
        <v>7</v>
      </c>
      <c r="J76" s="120" t="n">
        <f aca="false">K76+L76+O76+P76</f>
        <v>4</v>
      </c>
      <c r="K76" s="120" t="n">
        <f aca="false">COUNTIFS('Все игры'!A$3:A877,A76,'Все игры'!C$3:C877,"&gt;0",'Все игры'!B$3:B877,"Мафия")</f>
        <v>0</v>
      </c>
      <c r="L76" s="120" t="n">
        <f aca="false">IFERROR(__xludf.dummyfunction("COUNTBLANK(FILTER('Все игры'!A$3:C877,'Все игры'!A$3:A877=A76,'Все игры'!C$3:C877 &lt; 1,'Все игры'!B$3:B877=""Мафия""))"),3)</f>
        <v>3</v>
      </c>
      <c r="M76" s="120" t="n">
        <f aca="false">COUNTIFS('Все игры'!A$3:A877,A76,'Все игры'!C$3:C877,"&gt;0",'Все игры'!B$3:B877,"Шериф")</f>
        <v>0</v>
      </c>
      <c r="N76" s="120" t="n">
        <f aca="false">IFERROR(__xludf.dummyfunction("COUNTBLANK(FILTER('Все игры'!A$3:C877,'Все игры'!A$3:A877=A76,'Все игры'!C$3:C877 &lt; 1,'Все игры'!B$3:B877=""Шериф""))"),1)</f>
        <v>1</v>
      </c>
      <c r="O76" s="120" t="n">
        <f aca="false">COUNTIFS('Все игры'!A$3:A877,A76,'Все игры'!C$3:C877,"&gt;0",'Все игры'!B$3:B877,"Дон")</f>
        <v>0</v>
      </c>
      <c r="P76" s="122" t="n">
        <f aca="false">IFERROR(__xludf.dummyfunction("COUNTBLANK(FILTER('Все игры'!A$3:C877,'Все игры'!A$3:A877=A76,'Все игры'!C$3:C877 &lt; 1,'Все игры'!B$3:B877=""Дон""))"),1)</f>
        <v>1</v>
      </c>
      <c r="Q76" s="120" t="n">
        <f aca="false">COUNTIFS('Все игры'!A$3:A877,A76,'Все игры'!C$3:C877,"&gt;0",'Все игры'!B$3:B877,"Мирный")</f>
        <v>0</v>
      </c>
      <c r="R76" s="120" t="n">
        <f aca="false">IFERROR(__xludf.dummyfunction("COUNTBLANK(FILTER('Все игры'!A$3:C877,'Все игры'!A$3:A877=A76,'Все игры'!C$3:C877 &lt; 1,'Все игры'!B$3:B877=""Мирный""))"),6)</f>
        <v>6</v>
      </c>
      <c r="S76" s="123" t="n">
        <f aca="false">IFERROR((K76+M76+O76+Q76)/(I76+J76), )</f>
        <v>0</v>
      </c>
      <c r="T76" s="123" t="n">
        <f aca="false">IFERROR((M76+Q76)/I76, )</f>
        <v>0</v>
      </c>
      <c r="U76" s="123" t="n">
        <f aca="false">IFERROR((K76+O76)/J76, )</f>
        <v>0</v>
      </c>
      <c r="V76" s="123" t="n">
        <f aca="false">IFERROR(K76/(K76+L76), )</f>
        <v>0</v>
      </c>
      <c r="W76" s="123" t="n">
        <f aca="false">IFERROR(M76/(M76+N76), )</f>
        <v>0</v>
      </c>
      <c r="X76" s="123" t="n">
        <f aca="false">IFERROR(O76/(O76+P76), )</f>
        <v>0</v>
      </c>
      <c r="Y76" s="123" t="n">
        <f aca="false">IFERROR(Q76/(Q76+R76), )</f>
        <v>0</v>
      </c>
      <c r="Z76" s="124" t="n">
        <f aca="false">SUMIFS('Все игры'!D$3:D877,'Все игры'!A$3:A877,A76)</f>
        <v>0</v>
      </c>
      <c r="AA76" s="124" t="n">
        <f aca="false">SUMIFS('Все игры'!D$3:D877,'Все игры'!A$3:A877,A76,'Все игры'!B$3:B877,"Мафия")</f>
        <v>0</v>
      </c>
      <c r="AB76" s="124" t="n">
        <f aca="false">SUMIFS('Все игры'!D$3:D877,'Все игры'!A$3:A877,A76,'Все игры'!B$3:B877,"Шериф")</f>
        <v>0</v>
      </c>
      <c r="AC76" s="124" t="n">
        <f aca="false">SUMIFS('Все игры'!D$3:D877,'Все игры'!A$3:A877,A76,'Все игры'!B$3:B877,"Дон")</f>
        <v>0</v>
      </c>
      <c r="AD76" s="124" t="n">
        <f aca="false">SUMIFS('Все игры'!D$3:D877,'Все игры'!A$3:A877,A76,'Все игры'!B$3:B877,"Мирный")</f>
        <v>0</v>
      </c>
      <c r="AE76" s="124" t="n">
        <f aca="false">IFERROR(Z76/B76,0)</f>
        <v>0</v>
      </c>
      <c r="AF76" s="124" t="n">
        <f aca="false">IFERROR(AA76/(K76+L76),0)</f>
        <v>0</v>
      </c>
      <c r="AG76" s="124" t="n">
        <f aca="false">IFERROR(AB76/(M76+N76),0)</f>
        <v>0</v>
      </c>
      <c r="AH76" s="124" t="n">
        <f aca="false">IFERROR(AC76/(O76+P76),0)</f>
        <v>0</v>
      </c>
      <c r="AI76" s="124" t="n">
        <f aca="false">IFERROR(AD76/(Q76+R76),0)</f>
        <v>0</v>
      </c>
    </row>
    <row r="77" customFormat="false" ht="15.75" hidden="false" customHeight="false" outlineLevel="0" collapsed="false">
      <c r="A77" s="216" t="s">
        <v>241</v>
      </c>
      <c r="B77" s="120" t="n">
        <f aca="false">SUM(I77:J77)</f>
        <v>9</v>
      </c>
      <c r="C77" s="4" t="str">
        <f aca="false">IF(COUNTIFS('Все игры'!A$3:A877,A77,'Все игры'!F$3:F877,"=1")=0, "", COUNTIFS('Все игры'!A$3:A877,A77,'Все игры'!F$3:F877,"=1"))</f>
        <v/>
      </c>
      <c r="D77" s="76" t="str">
        <f aca="false">IF(COUNTIFS('Все игры'!A$3:A877,A77,'Все игры'!F$3:F877,"=0,50")=0, "", COUNTIFS('Все игры'!A$3:A877,A77,'Все игры'!F$3:F877,"=0,50"))</f>
        <v/>
      </c>
      <c r="E77" s="76" t="str">
        <f aca="false">IF(COUNTIFS('Все игры'!A$3:A877,A77,'Все игры'!E$3:E877,"ПУ")=0, "", COUNTIFS('Все игры'!A$3:A877,A77,'Все игры'!E$3:E877,"ПУ"))</f>
        <v/>
      </c>
      <c r="F77" s="121" t="n">
        <f aca="false">IFERROR(E77/I77,0)</f>
        <v>0</v>
      </c>
      <c r="G77" s="76" t="str">
        <f aca="false">IF(COUNTIFS('Все игры'!A$3:A877,A77,'Все игры'!E$3:E877,"У/Победа")=0, "",COUNTIFS('Все игры'!A$3:A877,A77,'Все игры'!E$3:E877,"У/Победа") )</f>
        <v/>
      </c>
      <c r="H77" s="76" t="str">
        <f aca="false">IF(COUNTIFS('Все игры'!A$3:A877,A77,'Все игры'!E$3:E877,"У/Проигрыш")=0, "",COUNTIFS('Все игры'!A$3:A877,A77,'Все игры'!E$3:E877,"У/Проигрыш") )</f>
        <v/>
      </c>
      <c r="I77" s="120" t="n">
        <f aca="false">M77+N77+Q77+R77</f>
        <v>7</v>
      </c>
      <c r="J77" s="120" t="n">
        <f aca="false">K77+L77+O77+P77</f>
        <v>2</v>
      </c>
      <c r="K77" s="120" t="n">
        <f aca="false">COUNTIFS('Все игры'!A$3:A877,A77,'Все игры'!C$3:C877,"&gt;0",'Все игры'!B$3:B877,"Мафия")</f>
        <v>0</v>
      </c>
      <c r="L77" s="120" t="n">
        <f aca="false">IFERROR(__xludf.dummyfunction("COUNTBLANK(FILTER('Все игры'!A$3:C877,'Все игры'!A$3:A877=A77,'Все игры'!C$3:C877 &lt; 1,'Все игры'!B$3:B877=""Мафия""))"),2)</f>
        <v>2</v>
      </c>
      <c r="M77" s="120" t="n">
        <f aca="false">COUNTIFS('Все игры'!A$3:A877,A77,'Все игры'!C$3:C877,"&gt;0",'Все игры'!B$3:B877,"Шериф")</f>
        <v>0</v>
      </c>
      <c r="N77" s="120" t="n">
        <f aca="false">IFERROR(__xludf.dummyfunction("COUNTBLANK(FILTER('Все игры'!A$3:C877,'Все игры'!A$3:A877=A77,'Все игры'!C$3:C877 &lt; 1,'Все игры'!B$3:B877=""Шериф""))"),5)</f>
        <v>5</v>
      </c>
      <c r="O77" s="120" t="n">
        <f aca="false">COUNTIFS('Все игры'!A$3:A877,A77,'Все игры'!C$3:C877,"&gt;0",'Все игры'!B$3:B877,"Дон")</f>
        <v>0</v>
      </c>
      <c r="P77" s="122" t="n">
        <f aca="false">IFERROR(__xludf.dummyfunction("COUNTBLANK(FILTER('Все игры'!A$3:C877,'Все игры'!A$3:A877=A77,'Все игры'!C$3:C877 &lt; 1,'Все игры'!B$3:B877=""Дон""))"),0)</f>
        <v>0</v>
      </c>
      <c r="Q77" s="120" t="n">
        <f aca="false">COUNTIFS('Все игры'!A$3:A877,A77,'Все игры'!C$3:C877,"&gt;0",'Все игры'!B$3:B877,"Мирный")</f>
        <v>0</v>
      </c>
      <c r="R77" s="120" t="n">
        <f aca="false">IFERROR(__xludf.dummyfunction("COUNTBLANK(FILTER('Все игры'!A$3:C877,'Все игры'!A$3:A877=A77,'Все игры'!C$3:C877 &lt; 1,'Все игры'!B$3:B877=""Мирный""))"),2)</f>
        <v>2</v>
      </c>
      <c r="S77" s="123" t="n">
        <f aca="false">IFERROR((K77+M77+O77+Q77)/(I77+J77), )</f>
        <v>0</v>
      </c>
      <c r="T77" s="123" t="n">
        <f aca="false">IFERROR((M77+Q77)/I77, )</f>
        <v>0</v>
      </c>
      <c r="U77" s="123" t="n">
        <f aca="false">IFERROR((K77+O77)/J77, )</f>
        <v>0</v>
      </c>
      <c r="V77" s="123" t="n">
        <f aca="false">IFERROR(K77/(K77+L77), )</f>
        <v>0</v>
      </c>
      <c r="W77" s="123" t="n">
        <f aca="false">IFERROR(M77/(M77+N77), )</f>
        <v>0</v>
      </c>
      <c r="X77" s="123" t="n">
        <f aca="false">IFERROR(O77/(O77+P77), )</f>
        <v>0</v>
      </c>
      <c r="Y77" s="123" t="n">
        <f aca="false">IFERROR(Q77/(Q77+R77), )</f>
        <v>0</v>
      </c>
      <c r="Z77" s="124" t="n">
        <f aca="false">SUMIFS('Все игры'!D$3:D877,'Все игры'!A$3:A877,A77)</f>
        <v>0</v>
      </c>
      <c r="AA77" s="124" t="n">
        <f aca="false">SUMIFS('Все игры'!D$3:D877,'Все игры'!A$3:A877,A77,'Все игры'!B$3:B877,"Мафия")</f>
        <v>0</v>
      </c>
      <c r="AB77" s="124" t="n">
        <f aca="false">SUMIFS('Все игры'!D$3:D877,'Все игры'!A$3:A877,A77,'Все игры'!B$3:B877,"Шериф")</f>
        <v>0</v>
      </c>
      <c r="AC77" s="124" t="n">
        <f aca="false">SUMIFS('Все игры'!D$3:D877,'Все игры'!A$3:A877,A77,'Все игры'!B$3:B877,"Дон")</f>
        <v>0</v>
      </c>
      <c r="AD77" s="124" t="n">
        <f aca="false">SUMIFS('Все игры'!D$3:D877,'Все игры'!A$3:A877,A77,'Все игры'!B$3:B877,"Мирный")</f>
        <v>0</v>
      </c>
      <c r="AE77" s="124" t="n">
        <f aca="false">IFERROR(Z77/B77,0)</f>
        <v>0</v>
      </c>
      <c r="AF77" s="124" t="n">
        <f aca="false">IFERROR(AA77/(K77+L77),0)</f>
        <v>0</v>
      </c>
      <c r="AG77" s="124" t="n">
        <f aca="false">IFERROR(AB77/(M77+N77),0)</f>
        <v>0</v>
      </c>
      <c r="AH77" s="124" t="n">
        <f aca="false">IFERROR(AC77/(O77+P77),0)</f>
        <v>0</v>
      </c>
      <c r="AI77" s="124" t="n">
        <f aca="false">IFERROR(AD77/(Q77+R77),0)</f>
        <v>0</v>
      </c>
    </row>
    <row r="78" customFormat="false" ht="15.75" hidden="false" customHeight="false" outlineLevel="0" collapsed="false">
      <c r="A78" s="216" t="s">
        <v>197</v>
      </c>
      <c r="B78" s="120" t="n">
        <f aca="false">SUM(I78:J78)</f>
        <v>6</v>
      </c>
      <c r="C78" s="4" t="str">
        <f aca="false">IF(COUNTIFS('Все игры'!A$3:A877,A78,'Все игры'!F$3:F877,"=1")=0, "", COUNTIFS('Все игры'!A$3:A877,A78,'Все игры'!F$3:F877,"=1"))</f>
        <v/>
      </c>
      <c r="D78" s="76" t="str">
        <f aca="false">IF(COUNTIFS('Все игры'!A$3:A877,A78,'Все игры'!F$3:F877,"=0,50")=0, "", COUNTIFS('Все игры'!A$3:A877,A78,'Все игры'!F$3:F877,"=0,50"))</f>
        <v/>
      </c>
      <c r="E78" s="76" t="str">
        <f aca="false">IF(COUNTIFS('Все игры'!A$3:A877,A78,'Все игры'!E$3:E877,"ПУ")=0, "", COUNTIFS('Все игры'!A$3:A877,A78,'Все игры'!E$3:E877,"ПУ"))</f>
        <v/>
      </c>
      <c r="F78" s="121" t="n">
        <f aca="false">IFERROR(E78/I78,0)</f>
        <v>0</v>
      </c>
      <c r="G78" s="76" t="str">
        <f aca="false">IF(COUNTIFS('Все игры'!A$3:A877,A78,'Все игры'!E$3:E877,"У/Победа")=0, "",COUNTIFS('Все игры'!A$3:A877,A78,'Все игры'!E$3:E877,"У/Победа") )</f>
        <v/>
      </c>
      <c r="H78" s="76" t="str">
        <f aca="false">IF(COUNTIFS('Все игры'!A$3:A877,A78,'Все игры'!E$3:E877,"У/Проигрыш")=0, "",COUNTIFS('Все игры'!A$3:A877,A78,'Все игры'!E$3:E877,"У/Проигрыш") )</f>
        <v/>
      </c>
      <c r="I78" s="120" t="n">
        <f aca="false">M78+N78+Q78+R78</f>
        <v>5</v>
      </c>
      <c r="J78" s="120" t="n">
        <f aca="false">K78+L78+O78+P78</f>
        <v>1</v>
      </c>
      <c r="K78" s="120" t="n">
        <f aca="false">COUNTIFS('Все игры'!A$3:A877,A78,'Все игры'!C$3:C877,"&gt;0",'Все игры'!B$3:B877,"Мафия")</f>
        <v>0</v>
      </c>
      <c r="L78" s="120" t="n">
        <f aca="false">IFERROR(__xludf.dummyfunction("COUNTBLANK(FILTER('Все игры'!A$3:C877,'Все игры'!A$3:A877=A78,'Все игры'!C$3:C877 &lt; 1,'Все игры'!B$3:B877=""Мафия""))"),0)</f>
        <v>0</v>
      </c>
      <c r="M78" s="120" t="n">
        <f aca="false">COUNTIFS('Все игры'!A$3:A877,A78,'Все игры'!C$3:C877,"&gt;0",'Все игры'!B$3:B877,"Шериф")</f>
        <v>0</v>
      </c>
      <c r="N78" s="120" t="n">
        <f aca="false">IFERROR(__xludf.dummyfunction("COUNTBLANK(FILTER('Все игры'!A$3:C877,'Все игры'!A$3:A877=A78,'Все игры'!C$3:C877 &lt; 1,'Все игры'!B$3:B877=""Шериф""))"),0)</f>
        <v>0</v>
      </c>
      <c r="O78" s="120" t="n">
        <f aca="false">COUNTIFS('Все игры'!A$3:A877,A78,'Все игры'!C$3:C877,"&gt;0",'Все игры'!B$3:B877,"Дон")</f>
        <v>0</v>
      </c>
      <c r="P78" s="122" t="n">
        <f aca="false">IFERROR(__xludf.dummyfunction("COUNTBLANK(FILTER('Все игры'!A$3:C877,'Все игры'!A$3:A877=A78,'Все игры'!C$3:C877 &lt; 1,'Все игры'!B$3:B877=""Дон""))"),1)</f>
        <v>1</v>
      </c>
      <c r="Q78" s="120" t="n">
        <f aca="false">COUNTIFS('Все игры'!A$3:A877,A78,'Все игры'!C$3:C877,"&gt;0",'Все игры'!B$3:B877,"Мирный")</f>
        <v>0</v>
      </c>
      <c r="R78" s="120" t="n">
        <f aca="false">IFERROR(__xludf.dummyfunction("COUNTBLANK(FILTER('Все игры'!A$3:C877,'Все игры'!A$3:A877=A78,'Все игры'!C$3:C877 &lt; 1,'Все игры'!B$3:B877=""Мирный""))"),5)</f>
        <v>5</v>
      </c>
      <c r="S78" s="123" t="n">
        <f aca="false">IFERROR((K78+M78+O78+Q78)/(I78+J78), )</f>
        <v>0</v>
      </c>
      <c r="T78" s="123" t="n">
        <f aca="false">IFERROR((M78+Q78)/I78, )</f>
        <v>0</v>
      </c>
      <c r="U78" s="123" t="n">
        <f aca="false">IFERROR((K78+O78)/J78, )</f>
        <v>0</v>
      </c>
      <c r="V78" s="123" t="n">
        <f aca="false">IFERROR(K78/(K78+L78), )</f>
        <v>0</v>
      </c>
      <c r="W78" s="123" t="n">
        <f aca="false">IFERROR(M78/(M78+N78), )</f>
        <v>0</v>
      </c>
      <c r="X78" s="123" t="n">
        <f aca="false">IFERROR(O78/(O78+P78), )</f>
        <v>0</v>
      </c>
      <c r="Y78" s="123" t="n">
        <f aca="false">IFERROR(Q78/(Q78+R78), )</f>
        <v>0</v>
      </c>
      <c r="Z78" s="124" t="n">
        <f aca="false">SUMIFS('Все игры'!D$3:D877,'Все игры'!A$3:A877,A78)</f>
        <v>0</v>
      </c>
      <c r="AA78" s="124" t="n">
        <f aca="false">SUMIFS('Все игры'!D$3:D877,'Все игры'!A$3:A877,A78,'Все игры'!B$3:B877,"Мафия")</f>
        <v>0</v>
      </c>
      <c r="AB78" s="124" t="n">
        <f aca="false">SUMIFS('Все игры'!D$3:D877,'Все игры'!A$3:A877,A78,'Все игры'!B$3:B877,"Шериф")</f>
        <v>0</v>
      </c>
      <c r="AC78" s="124" t="n">
        <f aca="false">SUMIFS('Все игры'!D$3:D877,'Все игры'!A$3:A877,A78,'Все игры'!B$3:B877,"Дон")</f>
        <v>0</v>
      </c>
      <c r="AD78" s="124" t="n">
        <f aca="false">SUMIFS('Все игры'!D$3:D877,'Все игры'!A$3:A877,A78,'Все игры'!B$3:B877,"Мирный")</f>
        <v>0</v>
      </c>
      <c r="AE78" s="124" t="n">
        <f aca="false">IFERROR(Z78/B78,0)</f>
        <v>0</v>
      </c>
      <c r="AF78" s="124" t="n">
        <f aca="false">IFERROR(AA78/(K78+L78),0)</f>
        <v>0</v>
      </c>
      <c r="AG78" s="124" t="n">
        <f aca="false">IFERROR(AB78/(M78+N78),0)</f>
        <v>0</v>
      </c>
      <c r="AH78" s="124" t="n">
        <f aca="false">IFERROR(AC78/(O78+P78),0)</f>
        <v>0</v>
      </c>
      <c r="AI78" s="124" t="n">
        <f aca="false">IFERROR(AD78/(Q78+R78),0)</f>
        <v>0</v>
      </c>
    </row>
    <row r="79" customFormat="false" ht="15.75" hidden="false" customHeight="false" outlineLevel="0" collapsed="false">
      <c r="A79" s="216" t="s">
        <v>42</v>
      </c>
      <c r="B79" s="120" t="n">
        <f aca="false">SUM(I79:J79)</f>
        <v>9</v>
      </c>
      <c r="C79" s="4" t="str">
        <f aca="false">IF(COUNTIFS('Все игры'!A$3:A877,A79,'Все игры'!F$3:F877,"=1")=0, "", COUNTIFS('Все игры'!A$3:A877,A79,'Все игры'!F$3:F877,"=1"))</f>
        <v/>
      </c>
      <c r="D79" s="76" t="str">
        <f aca="false">IF(COUNTIFS('Все игры'!A$3:A877,A79,'Все игры'!F$3:F877,"=0,50")=0, "", COUNTIFS('Все игры'!A$3:A877,A79,'Все игры'!F$3:F877,"=0,50"))</f>
        <v/>
      </c>
      <c r="E79" s="76" t="str">
        <f aca="false">IF(COUNTIFS('Все игры'!A$3:A877,A79,'Все игры'!E$3:E877,"ПУ")=0, "", COUNTIFS('Все игры'!A$3:A877,A79,'Все игры'!E$3:E877,"ПУ"))</f>
        <v/>
      </c>
      <c r="F79" s="121" t="n">
        <f aca="false">IFERROR(E79/I79,0)</f>
        <v>0</v>
      </c>
      <c r="G79" s="76" t="str">
        <f aca="false">IF(COUNTIFS('Все игры'!A$3:A877,A79,'Все игры'!E$3:E877,"У/Победа")=0, "",COUNTIFS('Все игры'!A$3:A877,A79,'Все игры'!E$3:E877,"У/Победа") )</f>
        <v/>
      </c>
      <c r="H79" s="76" t="str">
        <f aca="false">IF(COUNTIFS('Все игры'!A$3:A877,A79,'Все игры'!E$3:E877,"У/Проигрыш")=0, "",COUNTIFS('Все игры'!A$3:A877,A79,'Все игры'!E$3:E877,"У/Проигрыш") )</f>
        <v/>
      </c>
      <c r="I79" s="120" t="n">
        <f aca="false">M79+N79+Q79+R79</f>
        <v>7</v>
      </c>
      <c r="J79" s="120" t="n">
        <f aca="false">K79+L79+O79+P79</f>
        <v>2</v>
      </c>
      <c r="K79" s="120" t="n">
        <f aca="false">COUNTIFS('Все игры'!A$3:A877,A79,'Все игры'!C$3:C877,"&gt;0",'Все игры'!B$3:B877,"Мафия")</f>
        <v>0</v>
      </c>
      <c r="L79" s="120" t="n">
        <f aca="false">IFERROR(__xludf.dummyfunction("COUNTBLANK(FILTER('Все игры'!A$3:C877,'Все игры'!A$3:A877=A79,'Все игры'!C$3:C877 &lt; 1,'Все игры'!B$3:B877=""Мафия""))"),0)</f>
        <v>0</v>
      </c>
      <c r="M79" s="120" t="n">
        <f aca="false">COUNTIFS('Все игры'!A$3:A877,A79,'Все игры'!C$3:C877,"&gt;0",'Все игры'!B$3:B877,"Шериф")</f>
        <v>0</v>
      </c>
      <c r="N79" s="120" t="n">
        <f aca="false">IFERROR(__xludf.dummyfunction("COUNTBLANK(FILTER('Все игры'!A$3:C877,'Все игры'!A$3:A877=A79,'Все игры'!C$3:C877 &lt; 1,'Все игры'!B$3:B877=""Шериф""))"),1)</f>
        <v>1</v>
      </c>
      <c r="O79" s="120" t="n">
        <f aca="false">COUNTIFS('Все игры'!A$3:A877,A79,'Все игры'!C$3:C877,"&gt;0",'Все игры'!B$3:B877,"Дон")</f>
        <v>0</v>
      </c>
      <c r="P79" s="122" t="n">
        <f aca="false">IFERROR(__xludf.dummyfunction("COUNTBLANK(FILTER('Все игры'!A$3:C877,'Все игры'!A$3:A877=A79,'Все игры'!C$3:C877 &lt; 1,'Все игры'!B$3:B877=""Дон""))"),2)</f>
        <v>2</v>
      </c>
      <c r="Q79" s="120" t="n">
        <f aca="false">COUNTIFS('Все игры'!A$3:A877,A79,'Все игры'!C$3:C877,"&gt;0",'Все игры'!B$3:B877,"Мирный")</f>
        <v>0</v>
      </c>
      <c r="R79" s="120" t="n">
        <f aca="false">IFERROR(__xludf.dummyfunction("COUNTBLANK(FILTER('Все игры'!A$3:C877,'Все игры'!A$3:A877=A79,'Все игры'!C$3:C877 &lt; 1,'Все игры'!B$3:B877=""Мирный""))"),6)</f>
        <v>6</v>
      </c>
      <c r="S79" s="123" t="n">
        <f aca="false">IFERROR((K79+M79+O79+Q79)/(I79+J79), )</f>
        <v>0</v>
      </c>
      <c r="T79" s="123" t="n">
        <f aca="false">IFERROR((M79+Q79)/I79, )</f>
        <v>0</v>
      </c>
      <c r="U79" s="123" t="n">
        <f aca="false">IFERROR((K79+O79)/J79, )</f>
        <v>0</v>
      </c>
      <c r="V79" s="123" t="n">
        <f aca="false">IFERROR(K79/(K79+L79), )</f>
        <v>0</v>
      </c>
      <c r="W79" s="123" t="n">
        <f aca="false">IFERROR(M79/(M79+N79), )</f>
        <v>0</v>
      </c>
      <c r="X79" s="123" t="n">
        <f aca="false">IFERROR(O79/(O79+P79), )</f>
        <v>0</v>
      </c>
      <c r="Y79" s="123" t="n">
        <f aca="false">IFERROR(Q79/(Q79+R79), )</f>
        <v>0</v>
      </c>
      <c r="Z79" s="124" t="n">
        <f aca="false">SUMIFS('Все игры'!D$3:D877,'Все игры'!A$3:A877,A79)</f>
        <v>0</v>
      </c>
      <c r="AA79" s="124" t="n">
        <f aca="false">SUMIFS('Все игры'!D$3:D877,'Все игры'!A$3:A877,A79,'Все игры'!B$3:B877,"Мафия")</f>
        <v>0</v>
      </c>
      <c r="AB79" s="124" t="n">
        <f aca="false">SUMIFS('Все игры'!D$3:D877,'Все игры'!A$3:A877,A79,'Все игры'!B$3:B877,"Шериф")</f>
        <v>0</v>
      </c>
      <c r="AC79" s="124" t="n">
        <f aca="false">SUMIFS('Все игры'!D$3:D877,'Все игры'!A$3:A877,A79,'Все игры'!B$3:B877,"Дон")</f>
        <v>0</v>
      </c>
      <c r="AD79" s="124" t="n">
        <f aca="false">SUMIFS('Все игры'!D$3:D877,'Все игры'!A$3:A877,A79,'Все игры'!B$3:B877,"Мирный")</f>
        <v>0</v>
      </c>
      <c r="AE79" s="124" t="n">
        <f aca="false">IFERROR(Z79/B79,0)</f>
        <v>0</v>
      </c>
      <c r="AF79" s="124" t="n">
        <f aca="false">IFERROR(AA79/(K79+L79),0)</f>
        <v>0</v>
      </c>
      <c r="AG79" s="124" t="n">
        <f aca="false">IFERROR(AB79/(M79+N79),0)</f>
        <v>0</v>
      </c>
      <c r="AH79" s="124" t="n">
        <f aca="false">IFERROR(AC79/(O79+P79),0)</f>
        <v>0</v>
      </c>
      <c r="AI79" s="124" t="n">
        <f aca="false">IFERROR(AD79/(Q79+R79),0)</f>
        <v>0</v>
      </c>
    </row>
    <row r="80" customFormat="false" ht="15.75" hidden="false" customHeight="false" outlineLevel="0" collapsed="false">
      <c r="A80" s="216" t="s">
        <v>240</v>
      </c>
      <c r="B80" s="120" t="n">
        <f aca="false">SUM(I80:J80)</f>
        <v>7</v>
      </c>
      <c r="C80" s="4" t="str">
        <f aca="false">IF(COUNTIFS('Все игры'!A$3:A877,A80,'Все игры'!F$3:F877,"=1")=0, "", COUNTIFS('Все игры'!A$3:A877,A80,'Все игры'!F$3:F877,"=1"))</f>
        <v/>
      </c>
      <c r="D80" s="76" t="str">
        <f aca="false">IF(COUNTIFS('Все игры'!A$3:A877,A80,'Все игры'!F$3:F877,"=0,50")=0, "", COUNTIFS('Все игры'!A$3:A877,A80,'Все игры'!F$3:F877,"=0,50"))</f>
        <v/>
      </c>
      <c r="E80" s="76" t="str">
        <f aca="false">IF(COUNTIFS('Все игры'!A$3:A877,A80,'Все игры'!E$3:E877,"ПУ")=0, "", COUNTIFS('Все игры'!A$3:A877,A80,'Все игры'!E$3:E877,"ПУ"))</f>
        <v/>
      </c>
      <c r="F80" s="121" t="n">
        <f aca="false">IFERROR(E80/I80,0)</f>
        <v>0</v>
      </c>
      <c r="G80" s="76" t="str">
        <f aca="false">IF(COUNTIFS('Все игры'!A$3:A877,A80,'Все игры'!E$3:E877,"У/Победа")=0, "",COUNTIFS('Все игры'!A$3:A877,A80,'Все игры'!E$3:E877,"У/Победа") )</f>
        <v/>
      </c>
      <c r="H80" s="76" t="str">
        <f aca="false">IF(COUNTIFS('Все игры'!A$3:A877,A80,'Все игры'!E$3:E877,"У/Проигрыш")=0, "",COUNTIFS('Все игры'!A$3:A877,A80,'Все игры'!E$3:E877,"У/Проигрыш") )</f>
        <v/>
      </c>
      <c r="I80" s="120" t="n">
        <f aca="false">M80+N80+Q80+R80</f>
        <v>7</v>
      </c>
      <c r="J80" s="120" t="n">
        <f aca="false">K80+L80+O80+P80</f>
        <v>0</v>
      </c>
      <c r="K80" s="120" t="n">
        <f aca="false">COUNTIFS('Все игры'!A$3:A877,A80,'Все игры'!C$3:C877,"&gt;0",'Все игры'!B$3:B877,"Мафия")</f>
        <v>0</v>
      </c>
      <c r="L80" s="120" t="n">
        <f aca="false">IFERROR(__xludf.dummyfunction("COUNTBLANK(FILTER('Все игры'!A$3:C877,'Все игры'!A$3:A877=A80,'Все игры'!C$3:C877 &lt; 1,'Все игры'!B$3:B877=""Мафия""))"),0)</f>
        <v>0</v>
      </c>
      <c r="M80" s="120" t="n">
        <f aca="false">COUNTIFS('Все игры'!A$3:A877,A80,'Все игры'!C$3:C877,"&gt;0",'Все игры'!B$3:B877,"Шериф")</f>
        <v>0</v>
      </c>
      <c r="N80" s="120" t="n">
        <f aca="false">IFERROR(__xludf.dummyfunction("COUNTBLANK(FILTER('Все игры'!A$3:C877,'Все игры'!A$3:A877=A80,'Все игры'!C$3:C877 &lt; 1,'Все игры'!B$3:B877=""Шериф""))"),0)</f>
        <v>0</v>
      </c>
      <c r="O80" s="120" t="n">
        <f aca="false">COUNTIFS('Все игры'!A$3:A877,A80,'Все игры'!C$3:C877,"&gt;0",'Все игры'!B$3:B877,"Дон")</f>
        <v>0</v>
      </c>
      <c r="P80" s="122" t="n">
        <f aca="false">IFERROR(__xludf.dummyfunction("COUNTBLANK(FILTER('Все игры'!A$3:C877,'Все игры'!A$3:A877=A80,'Все игры'!C$3:C877 &lt; 1,'Все игры'!B$3:B877=""Дон""))"),0)</f>
        <v>0</v>
      </c>
      <c r="Q80" s="120" t="n">
        <f aca="false">COUNTIFS('Все игры'!A$3:A877,A80,'Все игры'!C$3:C877,"&gt;0",'Все игры'!B$3:B877,"Мирный")</f>
        <v>0</v>
      </c>
      <c r="R80" s="120" t="n">
        <f aca="false">IFERROR(__xludf.dummyfunction("COUNTBLANK(FILTER('Все игры'!A$3:C877,'Все игры'!A$3:A877=A80,'Все игры'!C$3:C877 &lt; 1,'Все игры'!B$3:B877=""Мирный""))"),7)</f>
        <v>7</v>
      </c>
      <c r="S80" s="123" t="n">
        <f aca="false">IFERROR((K80+M80+O80+Q80)/(I80+J80), )</f>
        <v>0</v>
      </c>
      <c r="T80" s="123" t="n">
        <f aca="false">IFERROR((M80+Q80)/I80, )</f>
        <v>0</v>
      </c>
      <c r="U80" s="123" t="n">
        <f aca="false">IFERROR((K80+O80)/J80, )</f>
        <v>0</v>
      </c>
      <c r="V80" s="123" t="n">
        <f aca="false">IFERROR(K80/(K80+L80), )</f>
        <v>0</v>
      </c>
      <c r="W80" s="123" t="n">
        <f aca="false">IFERROR(M80/(M80+N80), )</f>
        <v>0</v>
      </c>
      <c r="X80" s="123" t="n">
        <f aca="false">IFERROR(O80/(O80+P80), )</f>
        <v>0</v>
      </c>
      <c r="Y80" s="123" t="n">
        <f aca="false">IFERROR(Q80/(Q80+R80), )</f>
        <v>0</v>
      </c>
      <c r="Z80" s="124" t="n">
        <f aca="false">SUMIFS('Все игры'!D$3:D877,'Все игры'!A$3:A877,A80)</f>
        <v>0</v>
      </c>
      <c r="AA80" s="124" t="n">
        <f aca="false">SUMIFS('Все игры'!D$3:D877,'Все игры'!A$3:A877,A80,'Все игры'!B$3:B877,"Мафия")</f>
        <v>0</v>
      </c>
      <c r="AB80" s="124" t="n">
        <f aca="false">SUMIFS('Все игры'!D$3:D877,'Все игры'!A$3:A877,A80,'Все игры'!B$3:B877,"Шериф")</f>
        <v>0</v>
      </c>
      <c r="AC80" s="124" t="n">
        <f aca="false">SUMIFS('Все игры'!D$3:D877,'Все игры'!A$3:A877,A80,'Все игры'!B$3:B877,"Дон")</f>
        <v>0</v>
      </c>
      <c r="AD80" s="124" t="n">
        <f aca="false">SUMIFS('Все игры'!D$3:D877,'Все игры'!A$3:A877,A80,'Все игры'!B$3:B877,"Мирный")</f>
        <v>0</v>
      </c>
      <c r="AE80" s="124" t="n">
        <f aca="false">IFERROR(Z80/B80,0)</f>
        <v>0</v>
      </c>
      <c r="AF80" s="124" t="n">
        <f aca="false">IFERROR(AA80/(K80+L80),0)</f>
        <v>0</v>
      </c>
      <c r="AG80" s="124" t="n">
        <f aca="false">IFERROR(AB80/(M80+N80),0)</f>
        <v>0</v>
      </c>
      <c r="AH80" s="124" t="n">
        <f aca="false">IFERROR(AC80/(O80+P80),0)</f>
        <v>0</v>
      </c>
      <c r="AI80" s="124" t="n">
        <f aca="false">IFERROR(AD80/(Q80+R80),0)</f>
        <v>0</v>
      </c>
    </row>
    <row r="81" customFormat="false" ht="15.75" hidden="false" customHeight="false" outlineLevel="0" collapsed="false">
      <c r="A81" s="216" t="s">
        <v>270</v>
      </c>
      <c r="B81" s="120" t="n">
        <f aca="false">SUM(I81:J81)</f>
        <v>0</v>
      </c>
      <c r="C81" s="4" t="str">
        <f aca="false">IF(COUNTIFS('Все игры'!A$3:A877,A81,'Все игры'!F$3:F877,"=1")=0, "", COUNTIFS('Все игры'!A$3:A877,A81,'Все игры'!F$3:F877,"=1"))</f>
        <v/>
      </c>
      <c r="D81" s="76" t="str">
        <f aca="false">IF(COUNTIFS('Все игры'!A$3:A877,A81,'Все игры'!F$3:F877,"=0,50")=0, "", COUNTIFS('Все игры'!A$3:A877,A81,'Все игры'!F$3:F877,"=0,50"))</f>
        <v/>
      </c>
      <c r="E81" s="76" t="str">
        <f aca="false">IF(COUNTIFS('Все игры'!A$3:A877,A81,'Все игры'!E$3:E877,"ПУ")=0, "", COUNTIFS('Все игры'!A$3:A877,A81,'Все игры'!E$3:E877,"ПУ"))</f>
        <v/>
      </c>
      <c r="F81" s="121" t="n">
        <f aca="false">IFERROR(E81/I81,0)</f>
        <v>0</v>
      </c>
      <c r="G81" s="76" t="str">
        <f aca="false">IF(COUNTIFS('Все игры'!A$3:A877,A81,'Все игры'!E$3:E877,"У/Победа")=0, "",COUNTIFS('Все игры'!A$3:A877,A81,'Все игры'!E$3:E877,"У/Победа") )</f>
        <v/>
      </c>
      <c r="H81" s="76" t="str">
        <f aca="false">IF(COUNTIFS('Все игры'!A$3:A877,A81,'Все игры'!E$3:E877,"У/Проигрыш")=0, "",COUNTIFS('Все игры'!A$3:A877,A81,'Все игры'!E$3:E877,"У/Проигрыш") )</f>
        <v/>
      </c>
      <c r="I81" s="120" t="n">
        <f aca="false">M81+N81+Q81+R81</f>
        <v>0</v>
      </c>
      <c r="J81" s="120" t="n">
        <f aca="false">K81+L81+O81+P81</f>
        <v>0</v>
      </c>
      <c r="K81" s="120" t="n">
        <f aca="false">COUNTIFS('Все игры'!A$3:A877,A81,'Все игры'!C$3:C877,"&gt;0",'Все игры'!B$3:B877,"Мафия")</f>
        <v>0</v>
      </c>
      <c r="L81" s="120" t="n">
        <f aca="false">IFERROR(__xludf.dummyfunction("COUNTBLANK(FILTER('Все игры'!A$3:C877,'Все игры'!A$3:A877=A81,'Все игры'!C$3:C877 &lt; 1,'Все игры'!B$3:B877=""Мафия""))"),0)</f>
        <v>0</v>
      </c>
      <c r="M81" s="120" t="n">
        <f aca="false">COUNTIFS('Все игры'!A$3:A877,A81,'Все игры'!C$3:C877,"&gt;0",'Все игры'!B$3:B877,"Шериф")</f>
        <v>0</v>
      </c>
      <c r="N81" s="120" t="n">
        <f aca="false">IFERROR(__xludf.dummyfunction("COUNTBLANK(FILTER('Все игры'!A$3:C877,'Все игры'!A$3:A877=A81,'Все игры'!C$3:C877 &lt; 1,'Все игры'!B$3:B877=""Шериф""))"),0)</f>
        <v>0</v>
      </c>
      <c r="O81" s="120" t="n">
        <f aca="false">COUNTIFS('Все игры'!A$3:A877,A81,'Все игры'!C$3:C877,"&gt;0",'Все игры'!B$3:B877,"Дон")</f>
        <v>0</v>
      </c>
      <c r="P81" s="122" t="n">
        <f aca="false">IFERROR(__xludf.dummyfunction("COUNTBLANK(FILTER('Все игры'!A$3:C877,'Все игры'!A$3:A877=A81,'Все игры'!C$3:C877 &lt; 1,'Все игры'!B$3:B877=""Дон""))"),0)</f>
        <v>0</v>
      </c>
      <c r="Q81" s="120" t="n">
        <f aca="false">COUNTIFS('Все игры'!A$3:A877,A81,'Все игры'!C$3:C877,"&gt;0",'Все игры'!B$3:B877,"Мирный")</f>
        <v>0</v>
      </c>
      <c r="R81" s="120" t="n">
        <f aca="false">IFERROR(__xludf.dummyfunction("COUNTBLANK(FILTER('Все игры'!A$3:C877,'Все игры'!A$3:A877=A81,'Все игры'!C$3:C877 &lt; 1,'Все игры'!B$3:B877=""Мирный""))"),0)</f>
        <v>0</v>
      </c>
      <c r="S81" s="123" t="n">
        <f aca="false">IFERROR((K81+M81+O81+Q81)/(I81+J81), )</f>
        <v>0</v>
      </c>
      <c r="T81" s="123" t="n">
        <f aca="false">IFERROR((M81+Q81)/I81, )</f>
        <v>0</v>
      </c>
      <c r="U81" s="123" t="n">
        <f aca="false">IFERROR((K81+O81)/J81, )</f>
        <v>0</v>
      </c>
      <c r="V81" s="123" t="n">
        <f aca="false">IFERROR(K81/(K81+L81), )</f>
        <v>0</v>
      </c>
      <c r="W81" s="123" t="n">
        <f aca="false">IFERROR(M81/(M81+N81), )</f>
        <v>0</v>
      </c>
      <c r="X81" s="123" t="n">
        <f aca="false">IFERROR(O81/(O81+P81), )</f>
        <v>0</v>
      </c>
      <c r="Y81" s="123" t="n">
        <f aca="false">IFERROR(Q81/(Q81+R81), )</f>
        <v>0</v>
      </c>
      <c r="Z81" s="124" t="n">
        <f aca="false">SUMIFS('Все игры'!D$3:D877,'Все игры'!A$3:A877,A81)</f>
        <v>0</v>
      </c>
      <c r="AA81" s="124" t="n">
        <f aca="false">SUMIFS('Все игры'!D$3:D877,'Все игры'!A$3:A877,A81,'Все игры'!B$3:B877,"Мафия")</f>
        <v>0</v>
      </c>
      <c r="AB81" s="124" t="n">
        <f aca="false">SUMIFS('Все игры'!D$3:D877,'Все игры'!A$3:A877,A81,'Все игры'!B$3:B877,"Шериф")</f>
        <v>0</v>
      </c>
      <c r="AC81" s="124" t="n">
        <f aca="false">SUMIFS('Все игры'!D$3:D877,'Все игры'!A$3:A877,A81,'Все игры'!B$3:B877,"Дон")</f>
        <v>0</v>
      </c>
      <c r="AD81" s="124" t="n">
        <f aca="false">SUMIFS('Все игры'!D$3:D877,'Все игры'!A$3:A877,A81,'Все игры'!B$3:B877,"Мирный")</f>
        <v>0</v>
      </c>
      <c r="AE81" s="124" t="n">
        <f aca="false">IFERROR(Z81/B81,0)</f>
        <v>0</v>
      </c>
      <c r="AF81" s="124" t="n">
        <f aca="false">IFERROR(AA81/(K81+L81),0)</f>
        <v>0</v>
      </c>
      <c r="AG81" s="124" t="n">
        <f aca="false">IFERROR(AB81/(M81+N81),0)</f>
        <v>0</v>
      </c>
      <c r="AH81" s="124" t="n">
        <f aca="false">IFERROR(AC81/(O81+P81),0)</f>
        <v>0</v>
      </c>
      <c r="AI81" s="124" t="n">
        <f aca="false">IFERROR(AD81/(Q81+R81),0)</f>
        <v>0</v>
      </c>
    </row>
    <row r="82" customFormat="false" ht="15.75" hidden="false" customHeight="false" outlineLevel="0" collapsed="false">
      <c r="A82" s="216" t="s">
        <v>246</v>
      </c>
      <c r="B82" s="120" t="n">
        <f aca="false">SUM(I82:J82)</f>
        <v>4</v>
      </c>
      <c r="C82" s="4" t="str">
        <f aca="false">IF(COUNTIFS('Все игры'!A$3:A877,A82,'Все игры'!F$3:F877,"=1")=0, "", COUNTIFS('Все игры'!A$3:A877,A82,'Все игры'!F$3:F877,"=1"))</f>
        <v/>
      </c>
      <c r="D82" s="76" t="str">
        <f aca="false">IF(COUNTIFS('Все игры'!A$3:A877,A82,'Все игры'!F$3:F877,"=0,50")=0, "", COUNTIFS('Все игры'!A$3:A877,A82,'Все игры'!F$3:F877,"=0,50"))</f>
        <v/>
      </c>
      <c r="E82" s="76" t="str">
        <f aca="false">IF(COUNTIFS('Все игры'!A$3:A877,A82,'Все игры'!E$3:E877,"ПУ")=0, "", COUNTIFS('Все игры'!A$3:A877,A82,'Все игры'!E$3:E877,"ПУ"))</f>
        <v/>
      </c>
      <c r="F82" s="121" t="n">
        <f aca="false">IFERROR(E82/I82,0)</f>
        <v>0</v>
      </c>
      <c r="G82" s="76" t="str">
        <f aca="false">IF(COUNTIFS('Все игры'!A$3:A877,A82,'Все игры'!E$3:E877,"У/Победа")=0, "",COUNTIFS('Все игры'!A$3:A877,A82,'Все игры'!E$3:E877,"У/Победа") )</f>
        <v/>
      </c>
      <c r="H82" s="76" t="str">
        <f aca="false">IF(COUNTIFS('Все игры'!A$3:A877,A82,'Все игры'!E$3:E877,"У/Проигрыш")=0, "",COUNTIFS('Все игры'!A$3:A877,A82,'Все игры'!E$3:E877,"У/Проигрыш") )</f>
        <v/>
      </c>
      <c r="I82" s="120" t="n">
        <f aca="false">M82+N82+Q82+R82</f>
        <v>4</v>
      </c>
      <c r="J82" s="120" t="n">
        <f aca="false">K82+L82+O82+P82</f>
        <v>0</v>
      </c>
      <c r="K82" s="120" t="n">
        <f aca="false">COUNTIFS('Все игры'!A$3:A877,A82,'Все игры'!C$3:C877,"&gt;0",'Все игры'!B$3:B877,"Мафия")</f>
        <v>0</v>
      </c>
      <c r="L82" s="120" t="n">
        <f aca="false">IFERROR(__xludf.dummyfunction("COUNTBLANK(FILTER('Все игры'!A$3:C877,'Все игры'!A$3:A877=A82,'Все игры'!C$3:C877 &lt; 1,'Все игры'!B$3:B877=""Мафия""))"),0)</f>
        <v>0</v>
      </c>
      <c r="M82" s="120" t="n">
        <f aca="false">COUNTIFS('Все игры'!A$3:A877,A82,'Все игры'!C$3:C877,"&gt;0",'Все игры'!B$3:B877,"Шериф")</f>
        <v>0</v>
      </c>
      <c r="N82" s="120" t="n">
        <f aca="false">IFERROR(__xludf.dummyfunction("COUNTBLANK(FILTER('Все игры'!A$3:C877,'Все игры'!A$3:A877=A82,'Все игры'!C$3:C877 &lt; 1,'Все игры'!B$3:B877=""Шериф""))"),1)</f>
        <v>1</v>
      </c>
      <c r="O82" s="120" t="n">
        <f aca="false">COUNTIFS('Все игры'!A$3:A877,A82,'Все игры'!C$3:C877,"&gt;0",'Все игры'!B$3:B877,"Дон")</f>
        <v>0</v>
      </c>
      <c r="P82" s="122" t="n">
        <f aca="false">IFERROR(__xludf.dummyfunction("COUNTBLANK(FILTER('Все игры'!A$3:C877,'Все игры'!A$3:A877=A82,'Все игры'!C$3:C877 &lt; 1,'Все игры'!B$3:B877=""Дон""))"),0)</f>
        <v>0</v>
      </c>
      <c r="Q82" s="120" t="n">
        <f aca="false">COUNTIFS('Все игры'!A$3:A877,A82,'Все игры'!C$3:C877,"&gt;0",'Все игры'!B$3:B877,"Мирный")</f>
        <v>0</v>
      </c>
      <c r="R82" s="120" t="n">
        <f aca="false">IFERROR(__xludf.dummyfunction("COUNTBLANK(FILTER('Все игры'!A$3:C877,'Все игры'!A$3:A877=A82,'Все игры'!C$3:C877 &lt; 1,'Все игры'!B$3:B877=""Мирный""))"),3)</f>
        <v>3</v>
      </c>
      <c r="S82" s="123" t="n">
        <f aca="false">IFERROR((K82+M82+O82+Q82)/(I82+J82), )</f>
        <v>0</v>
      </c>
      <c r="T82" s="123" t="n">
        <f aca="false">IFERROR((M82+Q82)/I82, )</f>
        <v>0</v>
      </c>
      <c r="U82" s="123" t="n">
        <f aca="false">IFERROR((K82+O82)/J82, )</f>
        <v>0</v>
      </c>
      <c r="V82" s="123" t="n">
        <f aca="false">IFERROR(K82/(K82+L82), )</f>
        <v>0</v>
      </c>
      <c r="W82" s="123" t="n">
        <f aca="false">IFERROR(M82/(M82+N82), )</f>
        <v>0</v>
      </c>
      <c r="X82" s="123" t="n">
        <f aca="false">IFERROR(O82/(O82+P82), )</f>
        <v>0</v>
      </c>
      <c r="Y82" s="123" t="n">
        <f aca="false">IFERROR(Q82/(Q82+R82), )</f>
        <v>0</v>
      </c>
      <c r="Z82" s="124" t="n">
        <f aca="false">SUMIFS('Все игры'!D$3:D877,'Все игры'!A$3:A877,A82)</f>
        <v>0</v>
      </c>
      <c r="AA82" s="124" t="n">
        <f aca="false">SUMIFS('Все игры'!D$3:D877,'Все игры'!A$3:A877,A82,'Все игры'!B$3:B877,"Мафия")</f>
        <v>0</v>
      </c>
      <c r="AB82" s="124" t="n">
        <f aca="false">SUMIFS('Все игры'!D$3:D877,'Все игры'!A$3:A877,A82,'Все игры'!B$3:B877,"Шериф")</f>
        <v>0</v>
      </c>
      <c r="AC82" s="124" t="n">
        <f aca="false">SUMIFS('Все игры'!D$3:D877,'Все игры'!A$3:A877,A82,'Все игры'!B$3:B877,"Дон")</f>
        <v>0</v>
      </c>
      <c r="AD82" s="124" t="n">
        <f aca="false">SUMIFS('Все игры'!D$3:D877,'Все игры'!A$3:A877,A82,'Все игры'!B$3:B877,"Мирный")</f>
        <v>0</v>
      </c>
      <c r="AE82" s="124" t="n">
        <f aca="false">IFERROR(Z82/B82,0)</f>
        <v>0</v>
      </c>
      <c r="AF82" s="124" t="n">
        <f aca="false">IFERROR(AA82/(K82+L82),0)</f>
        <v>0</v>
      </c>
      <c r="AG82" s="124" t="n">
        <f aca="false">IFERROR(AB82/(M82+N82),0)</f>
        <v>0</v>
      </c>
      <c r="AH82" s="124" t="n">
        <f aca="false">IFERROR(AC82/(O82+P82),0)</f>
        <v>0</v>
      </c>
      <c r="AI82" s="124" t="n">
        <f aca="false">IFERROR(AD82/(Q82+R82),0)</f>
        <v>0</v>
      </c>
    </row>
    <row r="83" customFormat="false" ht="15.75" hidden="false" customHeight="false" outlineLevel="0" collapsed="false">
      <c r="A83" s="216" t="s">
        <v>271</v>
      </c>
      <c r="B83" s="120" t="n">
        <f aca="false">SUM(I83:J83)</f>
        <v>0</v>
      </c>
      <c r="C83" s="4" t="str">
        <f aca="false">IF(COUNTIFS('Все игры'!A$3:A877,A83,'Все игры'!F$3:F877,"=1")=0, "", COUNTIFS('Все игры'!A$3:A877,A83,'Все игры'!F$3:F877,"=1"))</f>
        <v/>
      </c>
      <c r="D83" s="76" t="str">
        <f aca="false">IF(COUNTIFS('Все игры'!A$3:A877,A83,'Все игры'!F$3:F877,"=0,50")=0, "", COUNTIFS('Все игры'!A$3:A877,A83,'Все игры'!F$3:F877,"=0,50"))</f>
        <v/>
      </c>
      <c r="E83" s="76" t="str">
        <f aca="false">IF(COUNTIFS('Все игры'!A$3:A877,A83,'Все игры'!E$3:E877,"ПУ")=0, "", COUNTIFS('Все игры'!A$3:A877,A83,'Все игры'!E$3:E877,"ПУ"))</f>
        <v/>
      </c>
      <c r="F83" s="121" t="n">
        <f aca="false">IFERROR(E83/I83,0)</f>
        <v>0</v>
      </c>
      <c r="G83" s="76" t="str">
        <f aca="false">IF(COUNTIFS('Все игры'!A$3:A877,A83,'Все игры'!E$3:E877,"У/Победа")=0, "",COUNTIFS('Все игры'!A$3:A877,A83,'Все игры'!E$3:E877,"У/Победа") )</f>
        <v/>
      </c>
      <c r="H83" s="76" t="str">
        <f aca="false">IF(COUNTIFS('Все игры'!A$3:A877,A83,'Все игры'!E$3:E877,"У/Проигрыш")=0, "",COUNTIFS('Все игры'!A$3:A877,A83,'Все игры'!E$3:E877,"У/Проигрыш") )</f>
        <v/>
      </c>
      <c r="I83" s="120" t="n">
        <f aca="false">M83+N83+Q83+R83</f>
        <v>0</v>
      </c>
      <c r="J83" s="120" t="n">
        <f aca="false">K83+L83+O83+P83</f>
        <v>0</v>
      </c>
      <c r="K83" s="120" t="n">
        <f aca="false">COUNTIFS('Все игры'!A$3:A877,A83,'Все игры'!C$3:C877,"&gt;0",'Все игры'!B$3:B877,"Мафия")</f>
        <v>0</v>
      </c>
      <c r="L83" s="120" t="n">
        <f aca="false">IFERROR(__xludf.dummyfunction("COUNTBLANK(FILTER('Все игры'!A$3:C877,'Все игры'!A$3:A877=A83,'Все игры'!C$3:C877 &lt; 1,'Все игры'!B$3:B877=""Мафия""))"),0)</f>
        <v>0</v>
      </c>
      <c r="M83" s="120" t="n">
        <f aca="false">COUNTIFS('Все игры'!A$3:A877,A83,'Все игры'!C$3:C877,"&gt;0",'Все игры'!B$3:B877,"Шериф")</f>
        <v>0</v>
      </c>
      <c r="N83" s="120" t="n">
        <f aca="false">IFERROR(__xludf.dummyfunction("COUNTBLANK(FILTER('Все игры'!A$3:C877,'Все игры'!A$3:A877=A83,'Все игры'!C$3:C877 &lt; 1,'Все игры'!B$3:B877=""Шериф""))"),0)</f>
        <v>0</v>
      </c>
      <c r="O83" s="120" t="n">
        <f aca="false">COUNTIFS('Все игры'!A$3:A877,A83,'Все игры'!C$3:C877,"&gt;0",'Все игры'!B$3:B877,"Дон")</f>
        <v>0</v>
      </c>
      <c r="P83" s="122" t="n">
        <f aca="false">IFERROR(__xludf.dummyfunction("COUNTBLANK(FILTER('Все игры'!A$3:C877,'Все игры'!A$3:A877=A83,'Все игры'!C$3:C877 &lt; 1,'Все игры'!B$3:B877=""Дон""))"),0)</f>
        <v>0</v>
      </c>
      <c r="Q83" s="120" t="n">
        <f aca="false">COUNTIFS('Все игры'!A$3:A877,A83,'Все игры'!C$3:C877,"&gt;0",'Все игры'!B$3:B877,"Мирный")</f>
        <v>0</v>
      </c>
      <c r="R83" s="120" t="n">
        <f aca="false">IFERROR(__xludf.dummyfunction("COUNTBLANK(FILTER('Все игры'!A$3:C877,'Все игры'!A$3:A877=A83,'Все игры'!C$3:C877 &lt; 1,'Все игры'!B$3:B877=""Мирный""))"),0)</f>
        <v>0</v>
      </c>
      <c r="S83" s="123" t="n">
        <f aca="false">IFERROR((K83+M83+O83+Q83)/(I83+J83), )</f>
        <v>0</v>
      </c>
      <c r="T83" s="123" t="n">
        <f aca="false">IFERROR((M83+Q83)/I83, )</f>
        <v>0</v>
      </c>
      <c r="U83" s="123" t="n">
        <f aca="false">IFERROR((K83+O83)/J83, )</f>
        <v>0</v>
      </c>
      <c r="V83" s="123" t="n">
        <f aca="false">IFERROR(K83/(K83+L83), )</f>
        <v>0</v>
      </c>
      <c r="W83" s="123" t="n">
        <f aca="false">IFERROR(M83/(M83+N83), )</f>
        <v>0</v>
      </c>
      <c r="X83" s="123" t="n">
        <f aca="false">IFERROR(O83/(O83+P83), )</f>
        <v>0</v>
      </c>
      <c r="Y83" s="123" t="n">
        <f aca="false">IFERROR(Q83/(Q83+R83), )</f>
        <v>0</v>
      </c>
      <c r="Z83" s="124" t="n">
        <f aca="false">SUMIFS('Все игры'!D$3:D877,'Все игры'!A$3:A877,A83)</f>
        <v>0</v>
      </c>
      <c r="AA83" s="124" t="n">
        <f aca="false">SUMIFS('Все игры'!D$3:D877,'Все игры'!A$3:A877,A83,'Все игры'!B$3:B877,"Мафия")</f>
        <v>0</v>
      </c>
      <c r="AB83" s="124" t="n">
        <f aca="false">SUMIFS('Все игры'!D$3:D877,'Все игры'!A$3:A877,A83,'Все игры'!B$3:B877,"Шериф")</f>
        <v>0</v>
      </c>
      <c r="AC83" s="124" t="n">
        <f aca="false">SUMIFS('Все игры'!D$3:D877,'Все игры'!A$3:A877,A83,'Все игры'!B$3:B877,"Дон")</f>
        <v>0</v>
      </c>
      <c r="AD83" s="124" t="n">
        <f aca="false">SUMIFS('Все игры'!D$3:D877,'Все игры'!A$3:A877,A83,'Все игры'!B$3:B877,"Мирный")</f>
        <v>0</v>
      </c>
      <c r="AE83" s="124" t="n">
        <f aca="false">IFERROR(Z83/B83,0)</f>
        <v>0</v>
      </c>
      <c r="AF83" s="124" t="n">
        <f aca="false">IFERROR(AA83/(K83+L83),0)</f>
        <v>0</v>
      </c>
      <c r="AG83" s="124" t="n">
        <f aca="false">IFERROR(AB83/(M83+N83),0)</f>
        <v>0</v>
      </c>
      <c r="AH83" s="124" t="n">
        <f aca="false">IFERROR(AC83/(O83+P83),0)</f>
        <v>0</v>
      </c>
      <c r="AI83" s="124" t="n">
        <f aca="false">IFERROR(AD83/(Q83+R83),0)</f>
        <v>0</v>
      </c>
    </row>
    <row r="84" customFormat="false" ht="15.75" hidden="false" customHeight="false" outlineLevel="0" collapsed="false">
      <c r="A84" s="217" t="s">
        <v>38</v>
      </c>
      <c r="B84" s="120" t="n">
        <f aca="false">SUM(I84:J84)</f>
        <v>3</v>
      </c>
      <c r="C84" s="4" t="str">
        <f aca="false">IF(COUNTIFS('Все игры'!A$3:A877,A84,'Все игры'!F$3:F877,"=1")=0, "", COUNTIFS('Все игры'!A$3:A877,A84,'Все игры'!F$3:F877,"=1"))</f>
        <v/>
      </c>
      <c r="D84" s="76" t="str">
        <f aca="false">IF(COUNTIFS('Все игры'!A$3:A877,A84,'Все игры'!F$3:F877,"=0,50")=0, "", COUNTIFS('Все игры'!A$3:A877,A84,'Все игры'!F$3:F877,"=0,50"))</f>
        <v/>
      </c>
      <c r="E84" s="76" t="str">
        <f aca="false">IF(COUNTIFS('Все игры'!A$3:A877,A84,'Все игры'!E$3:E877,"ПУ")=0, "", COUNTIFS('Все игры'!A$3:A877,A84,'Все игры'!E$3:E877,"ПУ"))</f>
        <v/>
      </c>
      <c r="F84" s="121" t="n">
        <f aca="false">IFERROR(E84/I84,0)</f>
        <v>0</v>
      </c>
      <c r="G84" s="76" t="str">
        <f aca="false">IF(COUNTIFS('Все игры'!A$3:A877,A84,'Все игры'!E$3:E877,"У/Победа")=0, "",COUNTIFS('Все игры'!A$3:A877,A84,'Все игры'!E$3:E877,"У/Победа") )</f>
        <v/>
      </c>
      <c r="H84" s="76" t="str">
        <f aca="false">IF(COUNTIFS('Все игры'!A$3:A877,A84,'Все игры'!E$3:E877,"У/Проигрыш")=0, "",COUNTIFS('Все игры'!A$3:A877,A84,'Все игры'!E$3:E877,"У/Проигрыш") )</f>
        <v/>
      </c>
      <c r="I84" s="120" t="n">
        <f aca="false">M84+N84+Q84+R84</f>
        <v>3</v>
      </c>
      <c r="J84" s="120" t="n">
        <f aca="false">K84+L84+O84+P84</f>
        <v>0</v>
      </c>
      <c r="K84" s="120" t="n">
        <f aca="false">COUNTIFS('Все игры'!A$3:A877,A84,'Все игры'!C$3:C877,"&gt;0",'Все игры'!B$3:B877,"Мафия")</f>
        <v>0</v>
      </c>
      <c r="L84" s="120" t="n">
        <f aca="false">IFERROR(__xludf.dummyfunction("COUNTBLANK(FILTER('Все игры'!A$3:C877,'Все игры'!A$3:A877=A84,'Все игры'!C$3:C877 &lt; 1,'Все игры'!B$3:B877=""Мафия""))"),0)</f>
        <v>0</v>
      </c>
      <c r="M84" s="120" t="n">
        <f aca="false">COUNTIFS('Все игры'!A$3:A877,A84,'Все игры'!C$3:C877,"&gt;0",'Все игры'!B$3:B877,"Шериф")</f>
        <v>0</v>
      </c>
      <c r="N84" s="120" t="n">
        <f aca="false">IFERROR(__xludf.dummyfunction("COUNTBLANK(FILTER('Все игры'!A$3:C877,'Все игры'!A$3:A877=A84,'Все игры'!C$3:C877 &lt; 1,'Все игры'!B$3:B877=""Шериф""))"),0)</f>
        <v>0</v>
      </c>
      <c r="O84" s="120" t="n">
        <f aca="false">COUNTIFS('Все игры'!A$3:A877,A84,'Все игры'!C$3:C877,"&gt;0",'Все игры'!B$3:B877,"Дон")</f>
        <v>0</v>
      </c>
      <c r="P84" s="122" t="n">
        <f aca="false">IFERROR(__xludf.dummyfunction("COUNTBLANK(FILTER('Все игры'!A$3:C877,'Все игры'!A$3:A877=A84,'Все игры'!C$3:C877 &lt; 1,'Все игры'!B$3:B877=""Дон""))"),0)</f>
        <v>0</v>
      </c>
      <c r="Q84" s="120" t="n">
        <f aca="false">COUNTIFS('Все игры'!A$3:A877,A84,'Все игры'!C$3:C877,"&gt;0",'Все игры'!B$3:B877,"Мирный")</f>
        <v>0</v>
      </c>
      <c r="R84" s="120" t="n">
        <f aca="false">IFERROR(__xludf.dummyfunction("COUNTBLANK(FILTER('Все игры'!A$3:C877,'Все игры'!A$3:A877=A84,'Все игры'!C$3:C877 &lt; 1,'Все игры'!B$3:B877=""Мирный""))"),3)</f>
        <v>3</v>
      </c>
      <c r="S84" s="123" t="n">
        <f aca="false">IFERROR((K84+M84+O84+Q84)/(I84+J84), )</f>
        <v>0</v>
      </c>
      <c r="T84" s="123" t="n">
        <f aca="false">IFERROR((M84+Q84)/I84, )</f>
        <v>0</v>
      </c>
      <c r="U84" s="123" t="n">
        <f aca="false">IFERROR((K84+O84)/J84, )</f>
        <v>0</v>
      </c>
      <c r="V84" s="123" t="n">
        <f aca="false">IFERROR(K84/(K84+L84), )</f>
        <v>0</v>
      </c>
      <c r="W84" s="123" t="n">
        <f aca="false">IFERROR(M84/(M84+N84), )</f>
        <v>0</v>
      </c>
      <c r="X84" s="123" t="n">
        <f aca="false">IFERROR(O84/(O84+P84), )</f>
        <v>0</v>
      </c>
      <c r="Y84" s="123" t="n">
        <f aca="false">IFERROR(Q84/(Q84+R84), )</f>
        <v>0</v>
      </c>
      <c r="Z84" s="124" t="n">
        <f aca="false">SUMIFS('Все игры'!D$3:D877,'Все игры'!A$3:A877,A84)</f>
        <v>0</v>
      </c>
      <c r="AA84" s="124" t="n">
        <f aca="false">SUMIFS('Все игры'!D$3:D877,'Все игры'!A$3:A877,A84,'Все игры'!B$3:B877,"Мафия")</f>
        <v>0</v>
      </c>
      <c r="AB84" s="124" t="n">
        <f aca="false">SUMIFS('Все игры'!D$3:D877,'Все игры'!A$3:A877,A84,'Все игры'!B$3:B877,"Шериф")</f>
        <v>0</v>
      </c>
      <c r="AC84" s="124" t="n">
        <f aca="false">SUMIFS('Все игры'!D$3:D877,'Все игры'!A$3:A877,A84,'Все игры'!B$3:B877,"Дон")</f>
        <v>0</v>
      </c>
      <c r="AD84" s="124" t="n">
        <f aca="false">SUMIFS('Все игры'!D$3:D877,'Все игры'!A$3:A877,A84,'Все игры'!B$3:B877,"Мирный")</f>
        <v>0</v>
      </c>
      <c r="AE84" s="124" t="n">
        <f aca="false">IFERROR(Z84/B84,0)</f>
        <v>0</v>
      </c>
      <c r="AF84" s="124" t="n">
        <f aca="false">IFERROR(AA84/(K84+L84),0)</f>
        <v>0</v>
      </c>
      <c r="AG84" s="124" t="n">
        <f aca="false">IFERROR(AB84/(M84+N84),0)</f>
        <v>0</v>
      </c>
      <c r="AH84" s="124" t="n">
        <f aca="false">IFERROR(AC84/(O84+P84),0)</f>
        <v>0</v>
      </c>
      <c r="AI84" s="124" t="n">
        <f aca="false">IFERROR(AD84/(Q84+R84),0)</f>
        <v>0</v>
      </c>
    </row>
  </sheetData>
  <mergeCells count="4">
    <mergeCell ref="I1:R3"/>
    <mergeCell ref="S1:Y3"/>
    <mergeCell ref="Z1:AD3"/>
    <mergeCell ref="AE1:A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1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9" min="9" style="0" width="33.38"/>
    <col collapsed="false" customWidth="true" hidden="false" outlineLevel="0" max="12" min="12" style="0" width="18.13"/>
    <col collapsed="false" customWidth="true" hidden="false" outlineLevel="0" max="13" min="13" style="0" width="33.63"/>
    <col collapsed="false" customWidth="true" hidden="false" outlineLevel="0" max="17" min="17" style="0" width="16.89"/>
    <col collapsed="false" customWidth="true" hidden="false" outlineLevel="0" max="21" min="21" style="0" width="16.89"/>
    <col collapsed="false" customWidth="true" hidden="false" outlineLevel="0" max="25" min="25" style="0" width="16.89"/>
    <col collapsed="false" customWidth="true" hidden="false" outlineLevel="0" max="29" min="29" style="0" width="16.89"/>
    <col collapsed="false" customWidth="true" hidden="false" outlineLevel="0" max="33" min="33" style="0" width="16.89"/>
    <col collapsed="false" customWidth="true" hidden="false" outlineLevel="0" max="37" min="37" style="0" width="16.89"/>
  </cols>
  <sheetData>
    <row r="1" customFormat="false" ht="15.75" hidden="false" customHeight="true" outlineLevel="0" collapsed="false">
      <c r="A1" s="218"/>
      <c r="B1" s="219" t="s">
        <v>7</v>
      </c>
      <c r="C1" s="219"/>
      <c r="D1" s="219"/>
      <c r="E1" s="219"/>
      <c r="F1" s="219"/>
      <c r="G1" s="219"/>
      <c r="I1" s="220" t="s">
        <v>272</v>
      </c>
      <c r="L1" s="4" t="s">
        <v>273</v>
      </c>
      <c r="P1" s="4" t="s">
        <v>196</v>
      </c>
      <c r="T1" s="4" t="s">
        <v>274</v>
      </c>
      <c r="X1" s="4" t="s">
        <v>275</v>
      </c>
      <c r="AB1" s="4" t="s">
        <v>276</v>
      </c>
      <c r="AF1" s="4" t="s">
        <v>277</v>
      </c>
      <c r="AJ1" s="4" t="s">
        <v>278</v>
      </c>
      <c r="AN1" s="218"/>
      <c r="AO1" s="219" t="s">
        <v>7</v>
      </c>
      <c r="AP1" s="219"/>
      <c r="AQ1" s="219"/>
      <c r="AR1" s="219"/>
      <c r="AS1" s="219"/>
      <c r="AT1" s="219"/>
      <c r="AV1" s="218"/>
      <c r="AW1" s="219" t="s">
        <v>7</v>
      </c>
      <c r="AX1" s="219"/>
      <c r="AY1" s="219"/>
      <c r="AZ1" s="219"/>
      <c r="BA1" s="219"/>
      <c r="BB1" s="219"/>
      <c r="BD1" s="218"/>
      <c r="BE1" s="219" t="s">
        <v>7</v>
      </c>
      <c r="BF1" s="219"/>
      <c r="BG1" s="219"/>
      <c r="BH1" s="219"/>
      <c r="BI1" s="219"/>
      <c r="BJ1" s="219"/>
    </row>
    <row r="2" customFormat="false" ht="15.75" hidden="false" customHeight="false" outlineLevel="0" collapsed="false">
      <c r="A2" s="218"/>
      <c r="B2" s="221" t="s">
        <v>22</v>
      </c>
      <c r="C2" s="221" t="s">
        <v>5</v>
      </c>
      <c r="D2" s="221" t="s">
        <v>23</v>
      </c>
      <c r="E2" s="221" t="s">
        <v>24</v>
      </c>
      <c r="F2" s="221" t="s">
        <v>25</v>
      </c>
      <c r="G2" s="222" t="s">
        <v>26</v>
      </c>
      <c r="I2" s="130" t="s">
        <v>279</v>
      </c>
      <c r="J2" s="120" t="n">
        <f aca="false">N17+R17+V17+Z17+AD17+AH17+AL17</f>
        <v>0</v>
      </c>
      <c r="K2" s="123" t="e">
        <f aca="false">J2/J4</f>
        <v>#DIV/0!</v>
      </c>
      <c r="L2" s="120" t="e">
        <f aca="false" t="array" ref="L2:L17">{'1 Серия'!G18;'2 Серия'!G18;'3 Серия'!G18;'4 Серия'!G18;'5 Серия'!G18;'6 Серия'!G18;'7 Серия'!G18;'8 Серия'!G18;'9 Серия'!G18;'10 Серия'!G18;'11 Серия'!G18;'12 Серия'!G18;'13 Серия'!G18;'14 Серия'!G18;'15 Серия'!G18;'16 Серия'!G18}</f>
        <v>#N/A</v>
      </c>
      <c r="M2" s="4" t="s">
        <v>55</v>
      </c>
      <c r="N2" s="120" t="n">
        <f aca="false">COUNTIF(L$2:L$26,M2)</f>
        <v>0</v>
      </c>
      <c r="P2" s="120" t="e">
        <f aca="false" t="array" ref="P2:P17">{'1 Серия'!M18;'2 Серия'!M18;'3 Серия'!M18;'4 Серия'!M18;'5 Серия'!M18;'6 Серия'!M18;'7 Серия'!M18;'8 Серия'!M18;'9 Серия'!M18;'10 Серия'!M18;'11 Серия'!M18;'12 Серия'!M18;'13 Серия'!M18;'14 Серия'!M18;'15 Серия'!M18;'16 Серия'!M18}</f>
        <v>#N/A</v>
      </c>
      <c r="Q2" s="4" t="s">
        <v>55</v>
      </c>
      <c r="R2" s="120" t="n">
        <f aca="false">COUNTIF(P$2:P$26,Q2)</f>
        <v>0</v>
      </c>
      <c r="T2" s="120" t="e">
        <f aca="false" t="array" ref="T2:T17">{'1 Серия'!S18;'2 Серия'!S18;'3 Серия'!S18;'4 Серия'!S18;'5 Серия'!S18;'6 Серия'!S18;'7 Серия'!S18;'8 Серия'!S18;'9 Серия'!S18;'10 Серия'!S18;'11 Серия'!S18;'12 Серия'!S18;'13 Серия'!S18;'14 Серия'!S18;'15 Серия'!S18;'16 Серия'!S18}</f>
        <v>#N/A</v>
      </c>
      <c r="U2" s="4" t="s">
        <v>55</v>
      </c>
      <c r="V2" s="120" t="n">
        <f aca="false">COUNTIF(T$2:T$26,U2)</f>
        <v>0</v>
      </c>
      <c r="X2" s="120" t="e">
        <f aca="false" t="array" ref="X2:X17">{'1 Серия'!Y18;'2 Серия'!Y18;'3 Серия'!Y18;'4 Серия'!Y18;'5 Серия'!Y18;'6 Серия'!Y18;'7 Серия'!Y18;'8 Серия'!Y18;'9 Серия'!Y18;'10 Серия'!Y18;'11 Серия'!Y18;'12 Серия'!Y18;'13 Серия'!Y18;'14 Серия'!Y18;'15 Серия'!Y18;'16 Серия'!Y18}</f>
        <v>#N/A</v>
      </c>
      <c r="Y2" s="4" t="s">
        <v>55</v>
      </c>
      <c r="Z2" s="120" t="n">
        <f aca="false">COUNTIF(X$2:X$26,Y2)</f>
        <v>0</v>
      </c>
      <c r="AB2" s="120" t="e">
        <f aca="false" t="array" ref="AB2:AB17">{'1 Серия'!AE18;'2 Серия'!AE18;'3 Серия'!AE18;'4 Серия'!AE18;'5 Серия'!AE18;'6 Серия'!AE18;'7 Серия'!AE18;'8 Серия'!AE18;'9 Серия'!AE18;'10 Серия'!AE18;'11 Серия'!AE18;'12 Серия'!AE18;'13 Серия'!AE18;'14 Серия'!AE18;'15 Серия'!AE18;'16 Серия'!AE18}</f>
        <v>#N/A</v>
      </c>
      <c r="AC2" s="4" t="s">
        <v>55</v>
      </c>
      <c r="AD2" s="120" t="n">
        <f aca="false">COUNTIF(AB$2:AB$26,AC2)</f>
        <v>0</v>
      </c>
      <c r="AF2" s="120" t="e">
        <f aca="false" t="array" ref="AF2:AF17">{'1 Серия'!AK18;'2 Серия'!AK18;'3 Серия'!AK18;'4 Серия'!AK18;'5 Серия'!AK18;'6 Серия'!AK19;'7 Серия'!AK18;'8 Серия'!AK18;'9 Серия'!AK18;'10 Серия'!AK18;'11 Серия'!AK18;'12 Серия'!AK18;'13 Серия'!AK18;'14 Серия'!AK18;'15 Серия'!AK18;'16 Серия'!AK18}</f>
        <v>#N/A</v>
      </c>
      <c r="AG2" s="4" t="s">
        <v>55</v>
      </c>
      <c r="AH2" s="120" t="n">
        <f aca="false">COUNTIF(AF$2:AF$26,AG2)</f>
        <v>0</v>
      </c>
      <c r="AJ2" s="120" t="e">
        <f aca="false" t="array" ref="AJ2:AJ17">{'1 Серия'!AQ18;'2 Серия'!AQ18;'3 Серия'!AQ18;'4 Серия'!AQ18;'5 Серия'!AQ18;'6 Серия'!AQ18;'7 Серия'!AQ18;'8 Серия'!AQ18;'9 Серия'!AQ18;'10 Серия'!AQ18;'11 Серия'!AQ18;'12 Серия'!AQ18;'13 Серия'!AQ18;'14 Серия'!AQ18;'15 Серия'!AQ18;'16 Серия'!AQ18}</f>
        <v>#N/A</v>
      </c>
      <c r="AK2" s="4" t="s">
        <v>55</v>
      </c>
      <c r="AL2" s="120" t="n">
        <f aca="false">COUNTIF(AJ$2:AJ$26,AK2)</f>
        <v>0</v>
      </c>
      <c r="AN2" s="218"/>
      <c r="AO2" s="221" t="s">
        <v>22</v>
      </c>
      <c r="AP2" s="221" t="s">
        <v>5</v>
      </c>
      <c r="AQ2" s="221" t="s">
        <v>23</v>
      </c>
      <c r="AR2" s="221" t="s">
        <v>24</v>
      </c>
      <c r="AS2" s="221" t="s">
        <v>25</v>
      </c>
      <c r="AT2" s="222" t="s">
        <v>26</v>
      </c>
      <c r="AV2" s="218"/>
      <c r="AW2" s="221" t="s">
        <v>22</v>
      </c>
      <c r="AX2" s="221" t="s">
        <v>5</v>
      </c>
      <c r="AY2" s="221" t="s">
        <v>23</v>
      </c>
      <c r="AZ2" s="221" t="s">
        <v>24</v>
      </c>
      <c r="BA2" s="221" t="s">
        <v>25</v>
      </c>
      <c r="BB2" s="222" t="s">
        <v>26</v>
      </c>
      <c r="BD2" s="218"/>
      <c r="BE2" s="221" t="s">
        <v>22</v>
      </c>
      <c r="BF2" s="221" t="s">
        <v>5</v>
      </c>
      <c r="BG2" s="221" t="s">
        <v>23</v>
      </c>
      <c r="BH2" s="221" t="s">
        <v>24</v>
      </c>
      <c r="BI2" s="221" t="s">
        <v>25</v>
      </c>
      <c r="BJ2" s="222" t="s">
        <v>26</v>
      </c>
      <c r="BL2" s="4" t="s">
        <v>280</v>
      </c>
      <c r="BP2" s="4" t="s">
        <v>281</v>
      </c>
      <c r="BT2" s="4" t="s">
        <v>282</v>
      </c>
      <c r="BX2" s="220" t="s">
        <v>272</v>
      </c>
    </row>
    <row r="3" customFormat="false" ht="15.75" hidden="false" customHeight="false" outlineLevel="0" collapsed="false">
      <c r="A3" s="78" t="e">
        <f aca="false" t="array" ref="A3:A1122">{'1 Серия'!B6:B15;'1 Серия'!B6:B15;'1 Серия'!B6:B15;'1 Серия'!B6:B15;'1 Серия'!B6:B15;'1 Серия'!B6:B15;'1 Серия'!B6:B15;'2 Серия'!B6:B15;'2 Серия'!B6:B15;'2 Серия'!B6:B15;'2 Серия'!B6:B15;'2 Серия'!B6:B15;'2 Серия'!B6:B15;'2 Серия'!B6:B15;'3 Серия'!B6:B15;'3 Серия'!B6:B15;'3 Серия'!B6:B15;'3 Серия'!B6:B15;'3 Серия'!B6:B15;'3 Серия'!B6:B15;'3 Серия'!B6:B15;'4 Серия'!B6:B15;'4 Серия'!B6:B15;'4 Серия'!B6:B15;'4 Серия'!B6:B15;'4 Серия'!B6:B15;'4 Серия'!B6:B15;'4 Серия'!B6:B15;'5 Серия'!B6:B15;'5 Серия'!B6:B15;'5 Серия'!B6:B15;'5 Серия'!B6:B15;'5 Серия'!B6:B15;'5 Серия'!B6:B15;'5 Серия'!B6:B15;'6 Серия'!B6:B15;'6 Серия'!B6:B15;'6 Серия'!B6:B15;'6 Серия'!B6:B15;'6 Серия'!B6:B15;'6 Серия'!B6:B15;'6 Серия'!B6:B15;'7 Серия'!B6:B15;'7 Серия'!B6:B15;'7 Серия'!B6:B15;'7 Серия'!B6:B15;'7 Серия'!B6:B15;'7 Серия'!B6:B15;'7 Серия'!B6:B15;'8 Серия'!B6:B15;'8 Серия'!B6:B15;'8 Серия'!B6:B15;'8 Серия'!B6:B15;'8 Серия'!B6:B15;'8 Серия'!B6:B15;'8 Серия'!B6:B15;'9 Серия'!B6:B15;'9 Серия'!B6:B15;'9 Серия'!B6:B15;'9 Серия'!B6:B15;'9 Серия'!B6:B15;'9 Серия'!B6:B15;'9 Серия'!B6:B15;'10 Серия'!B6:B15;'10 Серия'!B6:B15;'10 Серия'!B6:B15;'10 Серия'!B6:B15;'10 Серия'!B6:B15;'10 Серия'!B6:B15;'10 Серия'!B6:B15;'11 Серия'!B6:B15;'11 Серия'!B6:B15;'11 Серия'!B6:B15;'11 Серия'!B6:B15;'11 Серия'!B6:B15;'11 Серия'!B6:B15;'11 Серия'!B6:B15;'12 Серия'!B6:B15;'12 Серия'!B6:B15;'12 Серия'!B6:B15;'12 Серия'!B6:B15;'12 Серия'!B6:B15;'12 Серия'!B6:B15;'12 Серия'!B6:B15;'13 Серия'!B6:B15;'13 Серия'!B6:B15;'13 Серия'!B6:B15;'13 Серия'!B6:B15;'13 Серия'!B6:B15;'13 Серия'!B6:B15;'13 Серия'!B6:B15;'14 Серия'!B6:B15;'14 Серия'!B6:B15;'14 Серия'!B6:B15;'14 Серия'!B6:B15;'14 Серия'!B6:B15;'14 Серия'!B6:B15;'14 Серия'!B6:B15;'15 Серия'!B6:B15;'15 Серия'!B6:B15;'15 Серия'!B6:B15;'15 Серия'!B6:B15;'15 Серия'!B6:B15;'15 Серия'!B6:B15;'15 Серия'!B6:B15;'16 Серия'!B6:B15;'16 Серия'!B6:B15;'16 Серия'!B6:B15;'16 Серия'!B6:B15;'16 Серия'!B6:B15;'16 Серия'!B6:B15;'16 Серия'!B6:B15}</f>
        <v>#N/A</v>
      </c>
      <c r="B3" s="120" t="e">
        <f aca="false" t="array" ref="B3:G1122">{'1 Серия'!G6:L15;'1 Серия'!M6:R15;'1 Серия'!S6:X15;'1 Серия'!Y6:AD15;'1 Серия'!AE6:AJ15;'1 Серия'!AK6:AP15;'1 Серия'!AQ6:AV15;'2 Серия'!G6:L15;'2 Серия'!M6:R15;'2 Серия'!S6:X15;'2 Серия'!Y6:AD15;'2 Серия'!AE6:AJ15;'2 Серия'!AK6:AP15;'2 Серия'!AQ6:AV15;'3 Серия'!G6:L15;'3 Серия'!M6:R15;'3 Серия'!S6:X15;'3 Серия'!Y6:AD15;'3 Серия'!AE6:AJ15;'3 Серия'!AK6:AP15;'3 Серия'!AQ6:AV15;'4 Серия'!G6:L15;'4 Серия'!M6:R15;'4 Серия'!S6:X15;'4 Серия'!Y6:AD15;'4 Серия'!AE6:AJ15;'4 Серия'!AK6:AP15;'4 Серия'!AQ6:AV15;'5 Серия'!G6:L15;'5 Серия'!M6:R15;'5 Серия'!S6:X15;'5 Серия'!Y6:AD15;'5 Серия'!AE6:AJ15;'5 Серия'!AK6:AP15;'5 Серия'!AQ6:AV15;'6 Серия'!G6:L15;'6 Серия'!M6:R15;'6 Серия'!S6:X15;'6 Серия'!Y6:AD15;'6 Серия'!AE6:AJ15;'6 Серия'!AK6:AP15;'6 Серия'!AQ6:AV15;'7 Серия'!G6:L15;'7 Серия'!M6:R15;'7 Серия'!S6:X15;'7 Серия'!Y6:AD15;'7 Серия'!AE6:AJ15;'7 Серия'!AK6:AP15;'7 Серия'!AQ6:AV15;'8 Серия'!G6:L15;'8 Серия'!M6:R15;'8 Серия'!S6:X15;'8 Серия'!Y6:AD15;'8 Серия'!AE6:AJ15;'8 Серия'!AK6:AP15;'8 Серия'!AQ6:AV15;'9 Серия'!G6:L15;'9 Серия'!M6:R15;'9 Серия'!S6:X15;'9 Серия'!Y6:AD15;'9 Серия'!AE6:AJ15;'9 Серия'!AK6:AP15;'9 Серия'!AQ6:AV15;'10 Серия'!G6:L15;'10 Серия'!M6:R15;'10 Серия'!S6:X15;'10 Серия'!Y6:AD15;'10 Серия'!AE6:AJ15;'10 Серия'!AK6:AP15;'10 Серия'!AQ6:AV15;'11 Серия'!G6:L15;'11 Серия'!M6:R15;'11 Серия'!S6:X15;'11 Серия'!Y6:AD15;'11 Серия'!AE6:AJ15;'11 Серия'!AK6:AP15;'11 Серия'!AQ6:AV15;'12 Серия'!G6:L15;'12 Серия'!M6:R15;'12 Серия'!S6:X15;'12 Серия'!Y6:AD15;'12 Серия'!AE6:AJ15;'12 Серия'!AK6:AP15;'12 Серия'!AQ6:AV15;'13 Серия'!G6:L15;'13 Серия'!M6:R15;'13 Серия'!S6:X15;'13 Серия'!Y6:AD15;'13 Серия'!AE6:AJ15;'13 Серия'!AK6:AP15;'13 Серия'!AQ6:AV15;'14 Серия'!G6:L15;'14 Серия'!M6:R15;'14 Серия'!S6:X15;'14 Серия'!Y6:AD15;'14 Серия'!AE6:AJ15;'14 Серия'!AK6:AP15;'14 Серия'!AQ6:AV15;'15 Серия'!G6:L15;'15 Серия'!M6:R15;'15 Серия'!S6:X15;'15 Серия'!Y6:AD15;'15 Серия'!AE6:AJ15;'15 Серия'!AK6:AP15;'15 Серия'!AQ6:AV15;'16 Серия'!G6:L15;'16 Серия'!M6:R15;'16 Серия'!S6:X15;'16 Серия'!Y6:AD15;'16 Серия'!AE6:AJ15;'16 Серия'!AK6:AP15;'16 Серия'!AQ6:AV15}</f>
        <v>#N/A</v>
      </c>
      <c r="C3" s="78" t="e">
        <v>#N/A</v>
      </c>
      <c r="D3" s="78" t="e">
        <v>#N/A</v>
      </c>
      <c r="E3" s="120" t="e">
        <v>#N/A</v>
      </c>
      <c r="F3" s="78" t="e">
        <v>#N/A</v>
      </c>
      <c r="G3" s="78" t="e">
        <v>#N/A</v>
      </c>
      <c r="I3" s="130" t="s">
        <v>283</v>
      </c>
      <c r="J3" s="120" t="n">
        <f aca="false">N18+R18+V18+Z18+AD18+AH18+AL18</f>
        <v>0</v>
      </c>
      <c r="K3" s="123" t="e">
        <f aca="false">J3/J4</f>
        <v>#DIV/0!</v>
      </c>
      <c r="L3" s="120" t="e">
        <v>#N/A</v>
      </c>
      <c r="M3" s="4" t="s">
        <v>89</v>
      </c>
      <c r="N3" s="120" t="n">
        <f aca="false">COUNTIF(L$2:L$26,M3)</f>
        <v>0</v>
      </c>
      <c r="P3" s="120" t="e">
        <v>#N/A</v>
      </c>
      <c r="Q3" s="4" t="s">
        <v>89</v>
      </c>
      <c r="R3" s="120" t="n">
        <f aca="false">COUNTIF(P$2:P$26,Q3)</f>
        <v>0</v>
      </c>
      <c r="T3" s="120" t="e">
        <v>#N/A</v>
      </c>
      <c r="U3" s="4" t="s">
        <v>89</v>
      </c>
      <c r="V3" s="120" t="n">
        <f aca="false">COUNTIF(T$2:T$26,U3)</f>
        <v>0</v>
      </c>
      <c r="X3" s="120" t="e">
        <v>#N/A</v>
      </c>
      <c r="Y3" s="4" t="s">
        <v>89</v>
      </c>
      <c r="Z3" s="120" t="n">
        <f aca="false">COUNTIF(X$2:X$26,Y3)</f>
        <v>0</v>
      </c>
      <c r="AB3" s="120" t="e">
        <v>#N/A</v>
      </c>
      <c r="AC3" s="4" t="s">
        <v>89</v>
      </c>
      <c r="AD3" s="120" t="n">
        <f aca="false">COUNTIF(AB$2:AB$26,AC3)</f>
        <v>0</v>
      </c>
      <c r="AF3" s="120" t="e">
        <v>#N/A</v>
      </c>
      <c r="AG3" s="4" t="s">
        <v>89</v>
      </c>
      <c r="AH3" s="120" t="n">
        <f aca="false">COUNTIF(AF$2:AF$26,AG3)</f>
        <v>0</v>
      </c>
      <c r="AJ3" s="120" t="e">
        <v>#N/A</v>
      </c>
      <c r="AK3" s="4" t="s">
        <v>89</v>
      </c>
      <c r="AL3" s="120" t="n">
        <f aca="false">COUNTIF(AJ$2:AJ$26,AK3)</f>
        <v>0</v>
      </c>
      <c r="AN3" s="78" t="e">
        <f aca="false" t="array" ref="AN3:AN82">{'1 Полуфинал'!B6:B15;'1 Полуфинал'!B6:B15;'1 Полуфинал'!B6:B15;'1 Полуфинал'!B6:B15;'1 Полуфинал'!B6:B15;'1 Полуфинал'!B6:B15;'1 Полуфинал'!B6:B15;'1 Полуфинал'!B6:B15}</f>
        <v>#N/A</v>
      </c>
      <c r="AO3" s="120" t="str">
        <f aca="false" t="array" ref="AO3:AT12">'1 Полуфинал'!G6:L15</f>
        <v>Мирный</v>
      </c>
      <c r="AP3" s="78" t="n">
        <v>0</v>
      </c>
      <c r="AQ3" s="78" t="n">
        <v>2.75</v>
      </c>
      <c r="AR3" s="120" t="n">
        <v>0</v>
      </c>
      <c r="AS3" s="78" t="n">
        <v>0</v>
      </c>
      <c r="AT3" s="78" t="n">
        <v>0</v>
      </c>
      <c r="AV3" s="78" t="e">
        <f aca="false" t="array" ref="AV3:AV82">{'2 Полуфинал'!B6:B15;'2 Полуфинал'!B6:B15;'2 Полуфинал'!B6:B15;'2 Полуфинал'!B6:B15;'2 Полуфинал'!B6:B15;'2 Полуфинал'!B6:B15;'2 Полуфинал'!B6:B15;'2 Полуфинал'!B6:B15}</f>
        <v>#N/A</v>
      </c>
      <c r="AW3" s="120" t="e">
        <f aca="false" t="array" ref="AW3:BB82">{'2 Полуфинал'!G6:L15;'2 Полуфинал'!M6:R15;'2 Полуфинал'!S6:X15;'2 Полуфинал'!Y6:AD15;'2 Полуфинал'!AE6:AJ15;'2 Полуфинал'!AK6:AP15;'2 Полуфинал'!AQ6:AV15;'2 Полуфинал'!AW6:BB15}</f>
        <v>#N/A</v>
      </c>
      <c r="AX3" s="78" t="e">
        <v>#N/A</v>
      </c>
      <c r="AY3" s="78" t="e">
        <v>#N/A</v>
      </c>
      <c r="AZ3" s="120" t="e">
        <v>#N/A</v>
      </c>
      <c r="BA3" s="78" t="e">
        <v>#N/A</v>
      </c>
      <c r="BB3" s="78" t="e">
        <v>#N/A</v>
      </c>
      <c r="BD3" s="78" t="e">
        <f aca="false" t="array" ref="BD3:BD142">{Финал!B6:B15;Финал!B6:B15;Финал!B6:B15;Финал!B6:B15;Финал!B6:B15;Финал!B6:B15;Финал!B6:B15;Финал!B6:B15;Финал!B6:B15;Финал!B6:B15;Финал!B6:B15;Финал!B6:B15;Финал!B6:B15;Финал!B6:B15}</f>
        <v>#N/A</v>
      </c>
      <c r="BE3" s="120" t="e">
        <f aca="false" t="array" ref="BE3:BJ142">{Финал!G6:L15;Финал!M6:R15;Финал!S6:X15;Финал!Y6:AD15;Финал!AE6:AJ15;Финал!AK6:AP15;Финал!AQ6:AV15;Финал!AW6:BB15;Финал!BC6:BH15;Финал!BI6:BN15;Финал!BO6:BT15;Финал!BU6:BZ15;Финал!CA6:CF15;Финал!CG6:CL15}</f>
        <v>#N/A</v>
      </c>
      <c r="BF3" s="78" t="e">
        <v>#N/A</v>
      </c>
      <c r="BG3" s="78" t="e">
        <v>#N/A</v>
      </c>
      <c r="BH3" s="120" t="e">
        <v>#N/A</v>
      </c>
      <c r="BI3" s="78" t="e">
        <v>#N/A</v>
      </c>
      <c r="BJ3" s="78" t="e">
        <v>#N/A</v>
      </c>
      <c r="BL3" s="120" t="e">
        <f aca="false" t="array" ref="BL3:BL10">{'1 Полуфинал'!G18;'1 Полуфинал'!M18;'1 Полуфинал'!S18;'1 Полуфинал'!Y18;'1 Полуфинал'!AE18;'1 Полуфинал'!AK18;'1 Полуфинал'!AQ18;'1 Полуфинал'!AW18}</f>
        <v>#N/A</v>
      </c>
      <c r="BM3" s="4" t="s">
        <v>55</v>
      </c>
      <c r="BN3" s="120" t="n">
        <f aca="false">COUNTIF(BL$2:BL$26,BM3)</f>
        <v>0</v>
      </c>
      <c r="BP3" s="120" t="e">
        <f aca="false" t="array" ref="BP3:BP10">{'2 Полуфинал'!G18;'2 Полуфинал'!M18;'2 Полуфинал'!S18;'2 Полуфинал'!Y18;'2 Полуфинал'!AE18;'2 Полуфинал'!AK18;'2 Полуфинал'!AQ18;'2 Полуфинал'!AW18}</f>
        <v>#N/A</v>
      </c>
      <c r="BQ3" s="4" t="s">
        <v>55</v>
      </c>
      <c r="BR3" s="120" t="n">
        <f aca="false">COUNTIF(BP$2:BP$26,BQ3)</f>
        <v>0</v>
      </c>
      <c r="BT3" s="120" t="e">
        <f aca="false" t="array" ref="BT3:BT16">{Финал!G18;Финал!M18;Финал!S18;Финал!Y18;Финал!AE18;Финал!AK18;Финал!AQ18;Финал!AW18;Финал!BC18;Финал!BI18;Финал!BO18;Финал!BU18;Финал!CA18;Финал!CG18}</f>
        <v>#N/A</v>
      </c>
      <c r="BU3" s="4" t="s">
        <v>55</v>
      </c>
      <c r="BV3" s="120" t="n">
        <f aca="false">COUNTIF(BT$2:BT$26,BU3)</f>
        <v>0</v>
      </c>
      <c r="BX3" s="130" t="s">
        <v>279</v>
      </c>
      <c r="BY3" s="120" t="n">
        <f aca="false">J2+BN18+BR18+BV18</f>
        <v>0</v>
      </c>
      <c r="BZ3" s="123" t="e">
        <f aca="false">BY3/BY5</f>
        <v>#DIV/0!</v>
      </c>
    </row>
    <row r="4" customFormat="false" ht="15.75" hidden="false" customHeight="false" outlineLevel="0" collapsed="false">
      <c r="A4" s="78" t="e">
        <v>#N/A</v>
      </c>
      <c r="B4" s="120" t="e">
        <v>#N/A</v>
      </c>
      <c r="C4" s="78" t="e">
        <v>#N/A</v>
      </c>
      <c r="D4" s="78" t="e">
        <v>#N/A</v>
      </c>
      <c r="E4" s="120" t="e">
        <v>#N/A</v>
      </c>
      <c r="F4" s="78" t="e">
        <v>#N/A</v>
      </c>
      <c r="G4" s="78" t="e">
        <v>#N/A</v>
      </c>
      <c r="I4" s="130" t="s">
        <v>284</v>
      </c>
      <c r="J4" s="120" t="n">
        <f aca="false">SUM(J2:J3)</f>
        <v>0</v>
      </c>
      <c r="L4" s="120" t="e">
        <v>#N/A</v>
      </c>
      <c r="M4" s="4" t="s">
        <v>53</v>
      </c>
      <c r="N4" s="120" t="n">
        <f aca="false">COUNTIF(L$2:L$26,M4)</f>
        <v>0</v>
      </c>
      <c r="P4" s="120" t="e">
        <v>#N/A</v>
      </c>
      <c r="Q4" s="4" t="s">
        <v>53</v>
      </c>
      <c r="R4" s="120" t="n">
        <f aca="false">COUNTIF(P$2:P$26,Q4)</f>
        <v>0</v>
      </c>
      <c r="T4" s="120" t="e">
        <v>#N/A</v>
      </c>
      <c r="U4" s="4" t="s">
        <v>53</v>
      </c>
      <c r="V4" s="120" t="n">
        <f aca="false">COUNTIF(T$2:T$26,U4)</f>
        <v>0</v>
      </c>
      <c r="X4" s="120" t="e">
        <v>#N/A</v>
      </c>
      <c r="Y4" s="4" t="s">
        <v>53</v>
      </c>
      <c r="Z4" s="120" t="n">
        <f aca="false">COUNTIF(X$2:X$26,Y4)</f>
        <v>0</v>
      </c>
      <c r="AB4" s="120" t="e">
        <v>#N/A</v>
      </c>
      <c r="AC4" s="4" t="s">
        <v>53</v>
      </c>
      <c r="AD4" s="120" t="n">
        <f aca="false">COUNTIF(AB$2:AB$26,AC4)</f>
        <v>0</v>
      </c>
      <c r="AF4" s="120" t="e">
        <v>#N/A</v>
      </c>
      <c r="AG4" s="4" t="s">
        <v>53</v>
      </c>
      <c r="AH4" s="120" t="n">
        <f aca="false">COUNTIF(AF$2:AF$26,AG4)</f>
        <v>0</v>
      </c>
      <c r="AJ4" s="120" t="e">
        <v>#N/A</v>
      </c>
      <c r="AK4" s="4" t="s">
        <v>53</v>
      </c>
      <c r="AL4" s="120" t="n">
        <f aca="false">COUNTIF(AJ$2:AJ$26,AK4)</f>
        <v>0</v>
      </c>
      <c r="AN4" s="78" t="e">
        <v>#N/A</v>
      </c>
      <c r="AO4" s="120" t="str">
        <v>Мирный</v>
      </c>
      <c r="AP4" s="78" t="n">
        <v>0</v>
      </c>
      <c r="AQ4" s="78" t="n">
        <v>1.25</v>
      </c>
      <c r="AR4" s="120" t="n">
        <v>0</v>
      </c>
      <c r="AS4" s="78" t="n">
        <v>0</v>
      </c>
      <c r="AT4" s="78" t="n">
        <v>0</v>
      </c>
      <c r="AV4" s="78" t="e">
        <v>#N/A</v>
      </c>
      <c r="AW4" s="120" t="e">
        <v>#N/A</v>
      </c>
      <c r="AX4" s="78" t="e">
        <v>#N/A</v>
      </c>
      <c r="AY4" s="78" t="e">
        <v>#N/A</v>
      </c>
      <c r="AZ4" s="120" t="e">
        <v>#N/A</v>
      </c>
      <c r="BA4" s="78" t="e">
        <v>#N/A</v>
      </c>
      <c r="BB4" s="78" t="e">
        <v>#N/A</v>
      </c>
      <c r="BD4" s="78" t="e">
        <v>#N/A</v>
      </c>
      <c r="BE4" s="120" t="e">
        <v>#N/A</v>
      </c>
      <c r="BF4" s="78" t="e">
        <v>#N/A</v>
      </c>
      <c r="BG4" s="78" t="e">
        <v>#N/A</v>
      </c>
      <c r="BH4" s="120" t="e">
        <v>#N/A</v>
      </c>
      <c r="BI4" s="78" t="e">
        <v>#N/A</v>
      </c>
      <c r="BJ4" s="78" t="e">
        <v>#N/A</v>
      </c>
      <c r="BL4" s="120" t="e">
        <v>#N/A</v>
      </c>
      <c r="BM4" s="4" t="s">
        <v>89</v>
      </c>
      <c r="BN4" s="120" t="n">
        <f aca="false">COUNTIF(BL$2:BL$26,BM4)</f>
        <v>0</v>
      </c>
      <c r="BP4" s="120" t="e">
        <v>#N/A</v>
      </c>
      <c r="BQ4" s="4" t="s">
        <v>89</v>
      </c>
      <c r="BR4" s="120" t="n">
        <f aca="false">COUNTIF(BP$2:BP$26,BQ4)</f>
        <v>0</v>
      </c>
      <c r="BT4" s="120" t="e">
        <v>#N/A</v>
      </c>
      <c r="BU4" s="4" t="s">
        <v>89</v>
      </c>
      <c r="BV4" s="120" t="n">
        <f aca="false">COUNTIF(BT$2:BT$26,BU4)</f>
        <v>0</v>
      </c>
      <c r="BX4" s="130" t="s">
        <v>283</v>
      </c>
      <c r="BY4" s="120" t="n">
        <f aca="false">J3+BN19+BR19+BV19</f>
        <v>0</v>
      </c>
      <c r="BZ4" s="123" t="e">
        <f aca="false">BY4/BY5</f>
        <v>#DIV/0!</v>
      </c>
    </row>
    <row r="5" customFormat="false" ht="15.75" hidden="false" customHeight="false" outlineLevel="0" collapsed="false">
      <c r="A5" s="78" t="e">
        <v>#N/A</v>
      </c>
      <c r="B5" s="120" t="e">
        <v>#N/A</v>
      </c>
      <c r="C5" s="78" t="e">
        <v>#N/A</v>
      </c>
      <c r="D5" s="78" t="e">
        <v>#N/A</v>
      </c>
      <c r="E5" s="120" t="e">
        <v>#N/A</v>
      </c>
      <c r="F5" s="78" t="e">
        <v>#N/A</v>
      </c>
      <c r="G5" s="78" t="e">
        <v>#N/A</v>
      </c>
      <c r="I5" s="130"/>
      <c r="L5" s="120" t="e">
        <v>#N/A</v>
      </c>
      <c r="M5" s="4" t="s">
        <v>88</v>
      </c>
      <c r="N5" s="120" t="n">
        <f aca="false">COUNTIF(L$2:L$26,M5)</f>
        <v>0</v>
      </c>
      <c r="P5" s="120" t="e">
        <v>#N/A</v>
      </c>
      <c r="Q5" s="4" t="s">
        <v>88</v>
      </c>
      <c r="R5" s="120" t="n">
        <f aca="false">COUNTIF(P$2:P$26,Q5)</f>
        <v>0</v>
      </c>
      <c r="T5" s="120" t="e">
        <v>#N/A</v>
      </c>
      <c r="U5" s="4" t="s">
        <v>88</v>
      </c>
      <c r="V5" s="120" t="n">
        <f aca="false">COUNTIF(T$2:T$26,U5)</f>
        <v>0</v>
      </c>
      <c r="X5" s="120" t="e">
        <v>#N/A</v>
      </c>
      <c r="Y5" s="4" t="s">
        <v>88</v>
      </c>
      <c r="Z5" s="120" t="n">
        <f aca="false">COUNTIF(X$2:X$26,Y5)</f>
        <v>0</v>
      </c>
      <c r="AB5" s="120" t="e">
        <v>#N/A</v>
      </c>
      <c r="AC5" s="4" t="s">
        <v>88</v>
      </c>
      <c r="AD5" s="120" t="n">
        <f aca="false">COUNTIF(AB$2:AB$26,AC5)</f>
        <v>0</v>
      </c>
      <c r="AF5" s="120" t="e">
        <v>#N/A</v>
      </c>
      <c r="AG5" s="4" t="s">
        <v>88</v>
      </c>
      <c r="AH5" s="120" t="n">
        <f aca="false">COUNTIF(AF$2:AF$26,AG5)</f>
        <v>0</v>
      </c>
      <c r="AJ5" s="120" t="e">
        <v>#N/A</v>
      </c>
      <c r="AK5" s="4" t="s">
        <v>88</v>
      </c>
      <c r="AL5" s="120" t="n">
        <f aca="false">COUNTIF(AJ$2:AJ$26,AK5)</f>
        <v>0</v>
      </c>
      <c r="AN5" s="78" t="e">
        <v>#N/A</v>
      </c>
      <c r="AO5" s="120" t="str">
        <v>Мирный</v>
      </c>
      <c r="AP5" s="78" t="n">
        <v>0</v>
      </c>
      <c r="AQ5" s="78" t="n">
        <v>2</v>
      </c>
      <c r="AR5" s="120" t="n">
        <v>0</v>
      </c>
      <c r="AS5" s="78" t="n">
        <v>0</v>
      </c>
      <c r="AT5" s="78" t="n">
        <v>0</v>
      </c>
      <c r="AV5" s="78" t="e">
        <v>#N/A</v>
      </c>
      <c r="AW5" s="120" t="e">
        <v>#N/A</v>
      </c>
      <c r="AX5" s="78" t="e">
        <v>#N/A</v>
      </c>
      <c r="AY5" s="78" t="e">
        <v>#N/A</v>
      </c>
      <c r="AZ5" s="120" t="e">
        <v>#N/A</v>
      </c>
      <c r="BA5" s="78" t="e">
        <v>#N/A</v>
      </c>
      <c r="BB5" s="78" t="e">
        <v>#N/A</v>
      </c>
      <c r="BD5" s="78" t="e">
        <v>#N/A</v>
      </c>
      <c r="BE5" s="120" t="e">
        <v>#N/A</v>
      </c>
      <c r="BF5" s="78" t="e">
        <v>#N/A</v>
      </c>
      <c r="BG5" s="78" t="e">
        <v>#N/A</v>
      </c>
      <c r="BH5" s="120" t="e">
        <v>#N/A</v>
      </c>
      <c r="BI5" s="78" t="e">
        <v>#N/A</v>
      </c>
      <c r="BJ5" s="78" t="e">
        <v>#N/A</v>
      </c>
      <c r="BL5" s="120" t="e">
        <v>#N/A</v>
      </c>
      <c r="BM5" s="4" t="s">
        <v>53</v>
      </c>
      <c r="BN5" s="120" t="n">
        <f aca="false">COUNTIF(BL$2:BL$26,BM5)</f>
        <v>0</v>
      </c>
      <c r="BP5" s="120" t="e">
        <v>#N/A</v>
      </c>
      <c r="BQ5" s="4" t="s">
        <v>53</v>
      </c>
      <c r="BR5" s="120" t="n">
        <f aca="false">COUNTIF(BP$2:BP$26,BQ5)</f>
        <v>0</v>
      </c>
      <c r="BT5" s="120" t="e">
        <v>#N/A</v>
      </c>
      <c r="BU5" s="4" t="s">
        <v>53</v>
      </c>
      <c r="BV5" s="120" t="n">
        <f aca="false">COUNTIF(BT$2:BT$26,BU5)</f>
        <v>0</v>
      </c>
      <c r="BX5" s="130" t="s">
        <v>284</v>
      </c>
      <c r="BY5" s="120" t="n">
        <f aca="false">SUM(BY3:BY4)</f>
        <v>0</v>
      </c>
    </row>
    <row r="6" customFormat="false" ht="15.75" hidden="false" customHeight="false" outlineLevel="0" collapsed="false">
      <c r="A6" s="78" t="e">
        <v>#N/A</v>
      </c>
      <c r="B6" s="120" t="e">
        <v>#N/A</v>
      </c>
      <c r="C6" s="78" t="e">
        <v>#N/A</v>
      </c>
      <c r="D6" s="78" t="e">
        <v>#N/A</v>
      </c>
      <c r="E6" s="120" t="e">
        <v>#N/A</v>
      </c>
      <c r="F6" s="78" t="e">
        <v>#N/A</v>
      </c>
      <c r="G6" s="78" t="e">
        <v>#N/A</v>
      </c>
      <c r="I6" s="130"/>
      <c r="L6" s="120" t="e">
        <v>#N/A</v>
      </c>
      <c r="M6" s="4" t="s">
        <v>50</v>
      </c>
      <c r="N6" s="120" t="n">
        <f aca="false">COUNTIF(L$2:L$26,M6)</f>
        <v>0</v>
      </c>
      <c r="P6" s="120" t="e">
        <v>#N/A</v>
      </c>
      <c r="Q6" s="4" t="s">
        <v>50</v>
      </c>
      <c r="R6" s="120" t="n">
        <f aca="false">COUNTIF(P$2:P$26,Q6)</f>
        <v>0</v>
      </c>
      <c r="T6" s="120" t="e">
        <v>#N/A</v>
      </c>
      <c r="U6" s="4" t="s">
        <v>50</v>
      </c>
      <c r="V6" s="120" t="n">
        <f aca="false">COUNTIF(T$2:T$26,U6)</f>
        <v>0</v>
      </c>
      <c r="X6" s="120" t="e">
        <v>#N/A</v>
      </c>
      <c r="Y6" s="4" t="s">
        <v>50</v>
      </c>
      <c r="Z6" s="120" t="n">
        <f aca="false">COUNTIF(X$2:X$26,Y6)</f>
        <v>0</v>
      </c>
      <c r="AB6" s="120" t="e">
        <v>#N/A</v>
      </c>
      <c r="AC6" s="4" t="s">
        <v>50</v>
      </c>
      <c r="AD6" s="120" t="n">
        <f aca="false">COUNTIF(AB$2:AB$26,AC6)</f>
        <v>0</v>
      </c>
      <c r="AF6" s="120" t="e">
        <v>#N/A</v>
      </c>
      <c r="AG6" s="4" t="s">
        <v>50</v>
      </c>
      <c r="AH6" s="120" t="n">
        <f aca="false">COUNTIF(AF$2:AF$26,AG6)</f>
        <v>0</v>
      </c>
      <c r="AJ6" s="120" t="e">
        <v>#N/A</v>
      </c>
      <c r="AK6" s="4" t="s">
        <v>50</v>
      </c>
      <c r="AL6" s="120" t="n">
        <f aca="false">COUNTIF(AJ$2:AJ$26,AK6)</f>
        <v>0</v>
      </c>
      <c r="AN6" s="78" t="e">
        <v>#N/A</v>
      </c>
      <c r="AO6" s="120" t="str">
        <v>Дон</v>
      </c>
      <c r="AP6" s="78" t="n">
        <v>2.5</v>
      </c>
      <c r="AQ6" s="78" t="n">
        <v>3.75</v>
      </c>
      <c r="AR6" s="120" t="n">
        <v>0</v>
      </c>
      <c r="AS6" s="78" t="n">
        <v>0</v>
      </c>
      <c r="AT6" s="78" t="n">
        <v>0</v>
      </c>
      <c r="AV6" s="78" t="e">
        <v>#N/A</v>
      </c>
      <c r="AW6" s="120" t="e">
        <v>#N/A</v>
      </c>
      <c r="AX6" s="78" t="e">
        <v>#N/A</v>
      </c>
      <c r="AY6" s="78" t="e">
        <v>#N/A</v>
      </c>
      <c r="AZ6" s="120" t="e">
        <v>#N/A</v>
      </c>
      <c r="BA6" s="78" t="e">
        <v>#N/A</v>
      </c>
      <c r="BB6" s="78" t="e">
        <v>#N/A</v>
      </c>
      <c r="BD6" s="78" t="e">
        <v>#N/A</v>
      </c>
      <c r="BE6" s="120" t="e">
        <v>#N/A</v>
      </c>
      <c r="BF6" s="78" t="e">
        <v>#N/A</v>
      </c>
      <c r="BG6" s="78" t="e">
        <v>#N/A</v>
      </c>
      <c r="BH6" s="120" t="e">
        <v>#N/A</v>
      </c>
      <c r="BI6" s="78" t="e">
        <v>#N/A</v>
      </c>
      <c r="BJ6" s="78" t="e">
        <v>#N/A</v>
      </c>
      <c r="BL6" s="120" t="e">
        <v>#N/A</v>
      </c>
      <c r="BM6" s="4" t="s">
        <v>88</v>
      </c>
      <c r="BN6" s="120" t="n">
        <f aca="false">COUNTIF(BL$2:BL$26,BM6)</f>
        <v>0</v>
      </c>
      <c r="BP6" s="120" t="e">
        <v>#N/A</v>
      </c>
      <c r="BQ6" s="4" t="s">
        <v>88</v>
      </c>
      <c r="BR6" s="120" t="n">
        <f aca="false">COUNTIF(BP$2:BP$26,BQ6)</f>
        <v>0</v>
      </c>
      <c r="BT6" s="120" t="e">
        <v>#N/A</v>
      </c>
      <c r="BU6" s="4" t="s">
        <v>88</v>
      </c>
      <c r="BV6" s="120" t="n">
        <f aca="false">COUNTIF(BT$2:BT$26,BU6)</f>
        <v>0</v>
      </c>
    </row>
    <row r="7" customFormat="false" ht="15.75" hidden="false" customHeight="false" outlineLevel="0" collapsed="false">
      <c r="A7" s="78" t="e">
        <v>#N/A</v>
      </c>
      <c r="B7" s="120" t="e">
        <v>#N/A</v>
      </c>
      <c r="C7" s="78" t="e">
        <v>#N/A</v>
      </c>
      <c r="D7" s="78" t="e">
        <v>#N/A</v>
      </c>
      <c r="E7" s="120" t="e">
        <v>#N/A</v>
      </c>
      <c r="F7" s="78" t="e">
        <v>#N/A</v>
      </c>
      <c r="G7" s="78" t="e">
        <v>#N/A</v>
      </c>
      <c r="I7" s="130" t="s">
        <v>285</v>
      </c>
      <c r="L7" s="120" t="e">
        <v>#N/A</v>
      </c>
      <c r="M7" s="4" t="s">
        <v>286</v>
      </c>
      <c r="N7" s="120" t="n">
        <f aca="false">COUNTIF(L$2:L$26,M7)</f>
        <v>0</v>
      </c>
      <c r="P7" s="120" t="e">
        <v>#N/A</v>
      </c>
      <c r="Q7" s="4" t="s">
        <v>286</v>
      </c>
      <c r="R7" s="120" t="n">
        <f aca="false">COUNTIF(P$2:P$26,Q7)</f>
        <v>0</v>
      </c>
      <c r="T7" s="120" t="e">
        <v>#N/A</v>
      </c>
      <c r="U7" s="4" t="s">
        <v>286</v>
      </c>
      <c r="V7" s="120" t="n">
        <f aca="false">COUNTIF(T$2:T$26,U7)</f>
        <v>0</v>
      </c>
      <c r="X7" s="120" t="e">
        <v>#N/A</v>
      </c>
      <c r="Y7" s="4" t="s">
        <v>286</v>
      </c>
      <c r="Z7" s="120" t="n">
        <f aca="false">COUNTIF(X$2:X$26,Y7)</f>
        <v>0</v>
      </c>
      <c r="AB7" s="120" t="e">
        <v>#N/A</v>
      </c>
      <c r="AC7" s="4" t="s">
        <v>286</v>
      </c>
      <c r="AD7" s="120" t="n">
        <f aca="false">COUNTIF(AB$2:AB$26,AC7)</f>
        <v>0</v>
      </c>
      <c r="AF7" s="120" t="e">
        <v>#N/A</v>
      </c>
      <c r="AG7" s="4" t="s">
        <v>286</v>
      </c>
      <c r="AH7" s="120" t="n">
        <f aca="false">COUNTIF(AF$2:AF$26,AG7)</f>
        <v>0</v>
      </c>
      <c r="AJ7" s="120" t="e">
        <v>#N/A</v>
      </c>
      <c r="AK7" s="4" t="s">
        <v>286</v>
      </c>
      <c r="AL7" s="120" t="n">
        <f aca="false">COUNTIF(AJ$2:AJ$26,AK7)</f>
        <v>0</v>
      </c>
      <c r="AN7" s="78" t="e">
        <v>#N/A</v>
      </c>
      <c r="AO7" s="120" t="str">
        <v>Мафия</v>
      </c>
      <c r="AP7" s="78" t="n">
        <v>2.5</v>
      </c>
      <c r="AQ7" s="78" t="n">
        <v>3</v>
      </c>
      <c r="AR7" s="120" t="n">
        <v>0</v>
      </c>
      <c r="AS7" s="78" t="n">
        <v>0</v>
      </c>
      <c r="AT7" s="78" t="n">
        <v>0</v>
      </c>
      <c r="AV7" s="78" t="e">
        <v>#N/A</v>
      </c>
      <c r="AW7" s="120" t="e">
        <v>#N/A</v>
      </c>
      <c r="AX7" s="78" t="e">
        <v>#N/A</v>
      </c>
      <c r="AY7" s="78" t="e">
        <v>#N/A</v>
      </c>
      <c r="AZ7" s="120" t="e">
        <v>#N/A</v>
      </c>
      <c r="BA7" s="78" t="e">
        <v>#N/A</v>
      </c>
      <c r="BB7" s="78" t="e">
        <v>#N/A</v>
      </c>
      <c r="BD7" s="78" t="e">
        <v>#N/A</v>
      </c>
      <c r="BE7" s="120" t="e">
        <v>#N/A</v>
      </c>
      <c r="BF7" s="78" t="e">
        <v>#N/A</v>
      </c>
      <c r="BG7" s="78" t="e">
        <v>#N/A</v>
      </c>
      <c r="BH7" s="120" t="e">
        <v>#N/A</v>
      </c>
      <c r="BI7" s="78" t="e">
        <v>#N/A</v>
      </c>
      <c r="BJ7" s="78" t="e">
        <v>#N/A</v>
      </c>
      <c r="BL7" s="120" t="e">
        <v>#N/A</v>
      </c>
      <c r="BM7" s="4" t="s">
        <v>50</v>
      </c>
      <c r="BN7" s="120" t="n">
        <f aca="false">COUNTIF(BL$2:BL$26,BM7)</f>
        <v>0</v>
      </c>
      <c r="BP7" s="120" t="e">
        <v>#N/A</v>
      </c>
      <c r="BQ7" s="4" t="s">
        <v>50</v>
      </c>
      <c r="BR7" s="120" t="n">
        <f aca="false">COUNTIF(BP$2:BP$26,BQ7)</f>
        <v>0</v>
      </c>
      <c r="BT7" s="120" t="e">
        <v>#N/A</v>
      </c>
      <c r="BU7" s="4" t="s">
        <v>50</v>
      </c>
      <c r="BV7" s="120" t="n">
        <f aca="false">COUNTIF(BT$2:BT$26,BU7)</f>
        <v>0</v>
      </c>
    </row>
    <row r="8" customFormat="false" ht="15.75" hidden="false" customHeight="false" outlineLevel="0" collapsed="false">
      <c r="A8" s="78" t="e">
        <v>#N/A</v>
      </c>
      <c r="B8" s="120" t="e">
        <v>#N/A</v>
      </c>
      <c r="C8" s="78" t="e">
        <v>#N/A</v>
      </c>
      <c r="D8" s="78" t="e">
        <v>#N/A</v>
      </c>
      <c r="E8" s="120" t="e">
        <v>#N/A</v>
      </c>
      <c r="F8" s="78" t="e">
        <v>#N/A</v>
      </c>
      <c r="G8" s="78" t="e">
        <v>#N/A</v>
      </c>
      <c r="I8" s="130" t="s">
        <v>287</v>
      </c>
      <c r="L8" s="120" t="e">
        <v>#N/A</v>
      </c>
      <c r="M8" s="4" t="s">
        <v>52</v>
      </c>
      <c r="N8" s="120" t="n">
        <f aca="false">COUNTIF(L$2:L$26,M8)</f>
        <v>0</v>
      </c>
      <c r="P8" s="120" t="e">
        <v>#N/A</v>
      </c>
      <c r="Q8" s="4" t="s">
        <v>52</v>
      </c>
      <c r="R8" s="120" t="n">
        <f aca="false">COUNTIF(P$2:P$26,Q8)</f>
        <v>0</v>
      </c>
      <c r="T8" s="120" t="e">
        <v>#N/A</v>
      </c>
      <c r="U8" s="4" t="s">
        <v>52</v>
      </c>
      <c r="V8" s="120" t="n">
        <f aca="false">COUNTIF(T$2:T$26,U8)</f>
        <v>0</v>
      </c>
      <c r="X8" s="120" t="e">
        <v>#N/A</v>
      </c>
      <c r="Y8" s="4" t="s">
        <v>52</v>
      </c>
      <c r="Z8" s="120" t="n">
        <f aca="false">COUNTIF(X$2:X$26,Y8)</f>
        <v>0</v>
      </c>
      <c r="AB8" s="120" t="e">
        <v>#N/A</v>
      </c>
      <c r="AC8" s="4" t="s">
        <v>52</v>
      </c>
      <c r="AD8" s="120" t="n">
        <f aca="false">COUNTIF(AB$2:AB$26,AC8)</f>
        <v>0</v>
      </c>
      <c r="AF8" s="120" t="e">
        <v>#N/A</v>
      </c>
      <c r="AG8" s="4" t="s">
        <v>52</v>
      </c>
      <c r="AH8" s="120" t="n">
        <f aca="false">COUNTIF(AF$2:AF$26,AG8)</f>
        <v>0</v>
      </c>
      <c r="AJ8" s="120" t="e">
        <v>#N/A</v>
      </c>
      <c r="AK8" s="4" t="s">
        <v>52</v>
      </c>
      <c r="AL8" s="120" t="n">
        <f aca="false">COUNTIF(AJ$2:AJ$26,AK8)</f>
        <v>0</v>
      </c>
      <c r="AN8" s="78" t="e">
        <v>#N/A</v>
      </c>
      <c r="AO8" s="120" t="str">
        <v>Мирный</v>
      </c>
      <c r="AP8" s="78" t="n">
        <v>0</v>
      </c>
      <c r="AQ8" s="78" t="n">
        <v>3.25</v>
      </c>
      <c r="AR8" s="120" t="n">
        <v>0</v>
      </c>
      <c r="AS8" s="78" t="n">
        <v>0</v>
      </c>
      <c r="AT8" s="78" t="n">
        <v>0</v>
      </c>
      <c r="AV8" s="78" t="e">
        <v>#N/A</v>
      </c>
      <c r="AW8" s="120" t="e">
        <v>#N/A</v>
      </c>
      <c r="AX8" s="78" t="e">
        <v>#N/A</v>
      </c>
      <c r="AY8" s="78" t="e">
        <v>#N/A</v>
      </c>
      <c r="AZ8" s="120" t="e">
        <v>#N/A</v>
      </c>
      <c r="BA8" s="78" t="e">
        <v>#N/A</v>
      </c>
      <c r="BB8" s="78" t="e">
        <v>#N/A</v>
      </c>
      <c r="BD8" s="78" t="e">
        <v>#N/A</v>
      </c>
      <c r="BE8" s="120" t="e">
        <v>#N/A</v>
      </c>
      <c r="BF8" s="78" t="e">
        <v>#N/A</v>
      </c>
      <c r="BG8" s="78" t="e">
        <v>#N/A</v>
      </c>
      <c r="BH8" s="120" t="e">
        <v>#N/A</v>
      </c>
      <c r="BI8" s="78" t="e">
        <v>#N/A</v>
      </c>
      <c r="BJ8" s="78" t="e">
        <v>#N/A</v>
      </c>
      <c r="BL8" s="120" t="e">
        <v>#N/A</v>
      </c>
      <c r="BM8" s="4" t="s">
        <v>286</v>
      </c>
      <c r="BN8" s="120" t="n">
        <f aca="false">COUNTIF(BL$2:BL$26,BM8)</f>
        <v>0</v>
      </c>
      <c r="BP8" s="120" t="e">
        <v>#N/A</v>
      </c>
      <c r="BQ8" s="4" t="s">
        <v>286</v>
      </c>
      <c r="BR8" s="120" t="n">
        <f aca="false">COUNTIF(BP$2:BP$26,BQ8)</f>
        <v>0</v>
      </c>
      <c r="BT8" s="120" t="e">
        <v>#N/A</v>
      </c>
      <c r="BU8" s="4" t="s">
        <v>286</v>
      </c>
      <c r="BV8" s="120" t="n">
        <f aca="false">COUNTIF(BT$2:BT$26,BU8)</f>
        <v>0</v>
      </c>
    </row>
    <row r="9" customFormat="false" ht="15.75" hidden="false" customHeight="false" outlineLevel="0" collapsed="false">
      <c r="A9" s="78" t="e">
        <v>#N/A</v>
      </c>
      <c r="B9" s="120" t="e">
        <v>#N/A</v>
      </c>
      <c r="C9" s="78" t="e">
        <v>#N/A</v>
      </c>
      <c r="D9" s="78" t="e">
        <v>#N/A</v>
      </c>
      <c r="E9" s="120" t="e">
        <v>#N/A</v>
      </c>
      <c r="F9" s="78" t="e">
        <v>#N/A</v>
      </c>
      <c r="G9" s="78" t="e">
        <v>#N/A</v>
      </c>
      <c r="I9" s="130" t="s">
        <v>288</v>
      </c>
      <c r="L9" s="120" t="e">
        <v>#N/A</v>
      </c>
      <c r="M9" s="4" t="s">
        <v>51</v>
      </c>
      <c r="N9" s="120" t="n">
        <f aca="false">COUNTIF(L$2:L$26,M9)</f>
        <v>0</v>
      </c>
      <c r="P9" s="120" t="e">
        <v>#N/A</v>
      </c>
      <c r="Q9" s="4" t="s">
        <v>51</v>
      </c>
      <c r="R9" s="120" t="n">
        <f aca="false">COUNTIF(P$2:P$26,Q9)</f>
        <v>0</v>
      </c>
      <c r="T9" s="120" t="e">
        <v>#N/A</v>
      </c>
      <c r="U9" s="4" t="s">
        <v>51</v>
      </c>
      <c r="V9" s="120" t="n">
        <f aca="false">COUNTIF(T$2:T$26,U9)</f>
        <v>0</v>
      </c>
      <c r="X9" s="120" t="e">
        <v>#N/A</v>
      </c>
      <c r="Y9" s="4" t="s">
        <v>51</v>
      </c>
      <c r="Z9" s="120" t="n">
        <f aca="false">COUNTIF(X$2:X$26,Y9)</f>
        <v>0</v>
      </c>
      <c r="AB9" s="120" t="e">
        <v>#N/A</v>
      </c>
      <c r="AC9" s="4" t="s">
        <v>51</v>
      </c>
      <c r="AD9" s="120" t="n">
        <f aca="false">COUNTIF(AB$2:AB$26,AC9)</f>
        <v>0</v>
      </c>
      <c r="AF9" s="120" t="e">
        <v>#N/A</v>
      </c>
      <c r="AG9" s="4" t="s">
        <v>51</v>
      </c>
      <c r="AH9" s="120" t="n">
        <f aca="false">COUNTIF(AF$2:AF$26,AG9)</f>
        <v>0</v>
      </c>
      <c r="AJ9" s="120" t="e">
        <v>#N/A</v>
      </c>
      <c r="AK9" s="4" t="s">
        <v>51</v>
      </c>
      <c r="AL9" s="120" t="n">
        <f aca="false">COUNTIF(AJ$2:AJ$26,AK9)</f>
        <v>0</v>
      </c>
      <c r="AN9" s="78" t="e">
        <v>#N/A</v>
      </c>
      <c r="AO9" s="120" t="str">
        <v>Мирный</v>
      </c>
      <c r="AP9" s="78" t="n">
        <v>0</v>
      </c>
      <c r="AQ9" s="78" t="n">
        <v>3</v>
      </c>
      <c r="AR9" s="120" t="str">
        <v>ПУ</v>
      </c>
      <c r="AS9" s="78" t="n">
        <v>0</v>
      </c>
      <c r="AT9" s="78" t="n">
        <v>0.5</v>
      </c>
      <c r="AV9" s="78" t="e">
        <v>#N/A</v>
      </c>
      <c r="AW9" s="120" t="e">
        <v>#N/A</v>
      </c>
      <c r="AX9" s="78" t="e">
        <v>#N/A</v>
      </c>
      <c r="AY9" s="78" t="e">
        <v>#N/A</v>
      </c>
      <c r="AZ9" s="120" t="e">
        <v>#N/A</v>
      </c>
      <c r="BA9" s="78" t="e">
        <v>#N/A</v>
      </c>
      <c r="BB9" s="78" t="e">
        <v>#N/A</v>
      </c>
      <c r="BD9" s="78" t="e">
        <v>#N/A</v>
      </c>
      <c r="BE9" s="120" t="e">
        <v>#N/A</v>
      </c>
      <c r="BF9" s="78" t="e">
        <v>#N/A</v>
      </c>
      <c r="BG9" s="78" t="e">
        <v>#N/A</v>
      </c>
      <c r="BH9" s="120" t="e">
        <v>#N/A</v>
      </c>
      <c r="BI9" s="78" t="e">
        <v>#N/A</v>
      </c>
      <c r="BJ9" s="78" t="e">
        <v>#N/A</v>
      </c>
      <c r="BL9" s="120" t="e">
        <v>#N/A</v>
      </c>
      <c r="BM9" s="4" t="s">
        <v>52</v>
      </c>
      <c r="BN9" s="120" t="n">
        <f aca="false">COUNTIF(BL$2:BL$26,BM9)</f>
        <v>0</v>
      </c>
      <c r="BP9" s="120" t="e">
        <v>#N/A</v>
      </c>
      <c r="BQ9" s="4" t="s">
        <v>52</v>
      </c>
      <c r="BR9" s="120" t="n">
        <f aca="false">COUNTIF(BP$2:BP$26,BQ9)</f>
        <v>0</v>
      </c>
      <c r="BT9" s="120" t="e">
        <v>#N/A</v>
      </c>
      <c r="BU9" s="4" t="s">
        <v>52</v>
      </c>
      <c r="BV9" s="120" t="n">
        <f aca="false">COUNTIF(BT$2:BT$26,BU9)</f>
        <v>0</v>
      </c>
    </row>
    <row r="10" customFormat="false" ht="15.75" hidden="false" customHeight="false" outlineLevel="0" collapsed="false">
      <c r="A10" s="78" t="e">
        <v>#N/A</v>
      </c>
      <c r="B10" s="120" t="e">
        <v>#N/A</v>
      </c>
      <c r="C10" s="78" t="e">
        <v>#N/A</v>
      </c>
      <c r="D10" s="78" t="e">
        <v>#N/A</v>
      </c>
      <c r="E10" s="120" t="e">
        <v>#N/A</v>
      </c>
      <c r="F10" s="78" t="e">
        <v>#N/A</v>
      </c>
      <c r="G10" s="78" t="e">
        <v>#N/A</v>
      </c>
      <c r="I10" s="130" t="s">
        <v>289</v>
      </c>
      <c r="L10" s="120" t="e">
        <v>#N/A</v>
      </c>
      <c r="M10" s="4" t="s">
        <v>290</v>
      </c>
      <c r="N10" s="120" t="n">
        <f aca="false">COUNTIF(L$2:L$26,M10)</f>
        <v>0</v>
      </c>
      <c r="P10" s="120" t="e">
        <v>#N/A</v>
      </c>
      <c r="Q10" s="4" t="s">
        <v>290</v>
      </c>
      <c r="R10" s="120" t="n">
        <f aca="false">COUNTIF(P$2:P$26,Q10)</f>
        <v>0</v>
      </c>
      <c r="T10" s="120" t="e">
        <v>#N/A</v>
      </c>
      <c r="U10" s="4" t="s">
        <v>290</v>
      </c>
      <c r="V10" s="120" t="n">
        <f aca="false">COUNTIF(T$2:T$26,U10)</f>
        <v>0</v>
      </c>
      <c r="X10" s="120" t="e">
        <v>#N/A</v>
      </c>
      <c r="Y10" s="4" t="s">
        <v>290</v>
      </c>
      <c r="Z10" s="120" t="n">
        <f aca="false">COUNTIF(X$2:X$26,Y10)</f>
        <v>0</v>
      </c>
      <c r="AB10" s="120" t="e">
        <v>#N/A</v>
      </c>
      <c r="AC10" s="4" t="s">
        <v>290</v>
      </c>
      <c r="AD10" s="120" t="n">
        <f aca="false">COUNTIF(AB$2:AB$26,AC10)</f>
        <v>0</v>
      </c>
      <c r="AF10" s="120" t="e">
        <v>#N/A</v>
      </c>
      <c r="AG10" s="4" t="s">
        <v>290</v>
      </c>
      <c r="AH10" s="120" t="n">
        <f aca="false">COUNTIF(AF$2:AF$26,AG10)</f>
        <v>0</v>
      </c>
      <c r="AJ10" s="120" t="e">
        <v>#N/A</v>
      </c>
      <c r="AK10" s="4" t="s">
        <v>290</v>
      </c>
      <c r="AL10" s="120" t="n">
        <f aca="false">COUNTIF(AJ$2:AJ$26,AK10)</f>
        <v>0</v>
      </c>
      <c r="AN10" s="78" t="e">
        <v>#N/A</v>
      </c>
      <c r="AO10" s="120" t="str">
        <v>Мафия</v>
      </c>
      <c r="AP10" s="78" t="n">
        <v>2.5</v>
      </c>
      <c r="AQ10" s="78" t="n">
        <v>3.5</v>
      </c>
      <c r="AR10" s="120" t="n">
        <v>0</v>
      </c>
      <c r="AS10" s="78" t="n">
        <v>0</v>
      </c>
      <c r="AT10" s="78" t="n">
        <v>0</v>
      </c>
      <c r="AV10" s="78" t="e">
        <v>#N/A</v>
      </c>
      <c r="AW10" s="120" t="e">
        <v>#N/A</v>
      </c>
      <c r="AX10" s="78" t="e">
        <v>#N/A</v>
      </c>
      <c r="AY10" s="78" t="e">
        <v>#N/A</v>
      </c>
      <c r="AZ10" s="120" t="e">
        <v>#N/A</v>
      </c>
      <c r="BA10" s="78" t="e">
        <v>#N/A</v>
      </c>
      <c r="BB10" s="78" t="e">
        <v>#N/A</v>
      </c>
      <c r="BD10" s="78" t="e">
        <v>#N/A</v>
      </c>
      <c r="BE10" s="120" t="e">
        <v>#N/A</v>
      </c>
      <c r="BF10" s="78" t="e">
        <v>#N/A</v>
      </c>
      <c r="BG10" s="78" t="e">
        <v>#N/A</v>
      </c>
      <c r="BH10" s="120" t="e">
        <v>#N/A</v>
      </c>
      <c r="BI10" s="78" t="e">
        <v>#N/A</v>
      </c>
      <c r="BJ10" s="78" t="e">
        <v>#N/A</v>
      </c>
      <c r="BL10" s="120" t="e">
        <v>#N/A</v>
      </c>
      <c r="BM10" s="4" t="s">
        <v>51</v>
      </c>
      <c r="BN10" s="120" t="n">
        <f aca="false">COUNTIF(BL$2:BL$26,BM10)</f>
        <v>0</v>
      </c>
      <c r="BP10" s="120" t="e">
        <v>#N/A</v>
      </c>
      <c r="BQ10" s="4" t="s">
        <v>51</v>
      </c>
      <c r="BR10" s="120" t="n">
        <f aca="false">COUNTIF(BP$2:BP$26,BQ10)</f>
        <v>0</v>
      </c>
      <c r="BT10" s="120" t="e">
        <v>#N/A</v>
      </c>
      <c r="BU10" s="4" t="s">
        <v>51</v>
      </c>
      <c r="BV10" s="120" t="n">
        <f aca="false">COUNTIF(BT$2:BT$26,BU10)</f>
        <v>0</v>
      </c>
    </row>
    <row r="11" customFormat="false" ht="15.75" hidden="false" customHeight="false" outlineLevel="0" collapsed="false">
      <c r="A11" s="78" t="e">
        <v>#N/A</v>
      </c>
      <c r="B11" s="120" t="e">
        <v>#N/A</v>
      </c>
      <c r="C11" s="78" t="e">
        <v>#N/A</v>
      </c>
      <c r="D11" s="78" t="e">
        <v>#N/A</v>
      </c>
      <c r="E11" s="120" t="e">
        <v>#N/A</v>
      </c>
      <c r="F11" s="78" t="e">
        <v>#N/A</v>
      </c>
      <c r="G11" s="78" t="e">
        <v>#N/A</v>
      </c>
      <c r="I11" s="130" t="s">
        <v>291</v>
      </c>
      <c r="L11" s="120" t="e">
        <v>#N/A</v>
      </c>
      <c r="M11" s="120" t="s">
        <v>292</v>
      </c>
      <c r="N11" s="120" t="n">
        <f aca="false">COUNTIF(L$2:L$26,M11)</f>
        <v>0</v>
      </c>
      <c r="P11" s="120" t="e">
        <v>#N/A</v>
      </c>
      <c r="Q11" s="4"/>
      <c r="T11" s="120" t="e">
        <v>#N/A</v>
      </c>
      <c r="U11" s="4"/>
      <c r="X11" s="120" t="e">
        <v>#N/A</v>
      </c>
      <c r="Y11" s="4"/>
      <c r="AB11" s="120" t="e">
        <v>#N/A</v>
      </c>
      <c r="AC11" s="4"/>
      <c r="AF11" s="120" t="e">
        <v>#N/A</v>
      </c>
      <c r="AG11" s="4"/>
      <c r="AJ11" s="120" t="e">
        <v>#N/A</v>
      </c>
      <c r="AK11" s="4"/>
      <c r="AN11" s="78" t="e">
        <v>#N/A</v>
      </c>
      <c r="AO11" s="120" t="str">
        <v>Шериф</v>
      </c>
      <c r="AP11" s="78" t="n">
        <v>0</v>
      </c>
      <c r="AQ11" s="78" t="n">
        <v>1.75</v>
      </c>
      <c r="AR11" s="120" t="n">
        <v>0</v>
      </c>
      <c r="AS11" s="78" t="n">
        <v>0</v>
      </c>
      <c r="AT11" s="78" t="n">
        <v>0</v>
      </c>
      <c r="AV11" s="78" t="e">
        <v>#N/A</v>
      </c>
      <c r="AW11" s="120" t="e">
        <v>#N/A</v>
      </c>
      <c r="AX11" s="78" t="e">
        <v>#N/A</v>
      </c>
      <c r="AY11" s="78" t="e">
        <v>#N/A</v>
      </c>
      <c r="AZ11" s="120" t="e">
        <v>#N/A</v>
      </c>
      <c r="BA11" s="78" t="e">
        <v>#N/A</v>
      </c>
      <c r="BB11" s="78" t="e">
        <v>#N/A</v>
      </c>
      <c r="BD11" s="78" t="e">
        <v>#N/A</v>
      </c>
      <c r="BE11" s="120" t="e">
        <v>#N/A</v>
      </c>
      <c r="BF11" s="78" t="e">
        <v>#N/A</v>
      </c>
      <c r="BG11" s="78" t="e">
        <v>#N/A</v>
      </c>
      <c r="BH11" s="120" t="e">
        <v>#N/A</v>
      </c>
      <c r="BI11" s="78" t="e">
        <v>#N/A</v>
      </c>
      <c r="BJ11" s="78" t="e">
        <v>#N/A</v>
      </c>
      <c r="BM11" s="4" t="s">
        <v>290</v>
      </c>
      <c r="BN11" s="120" t="n">
        <f aca="false">COUNTIF(BL$2:BL$26,BM11)</f>
        <v>0</v>
      </c>
      <c r="BQ11" s="4" t="s">
        <v>290</v>
      </c>
      <c r="BR11" s="120" t="n">
        <f aca="false">COUNTIF(BP$2:BP$26,BQ11)</f>
        <v>0</v>
      </c>
      <c r="BT11" s="120" t="e">
        <v>#N/A</v>
      </c>
      <c r="BU11" s="4" t="s">
        <v>290</v>
      </c>
      <c r="BV11" s="120" t="n">
        <f aca="false">COUNTIF(BT$2:BT$26,BU11)</f>
        <v>0</v>
      </c>
    </row>
    <row r="12" customFormat="false" ht="15.75" hidden="false" customHeight="false" outlineLevel="0" collapsed="false">
      <c r="A12" s="78" t="e">
        <v>#N/A</v>
      </c>
      <c r="B12" s="120" t="e">
        <v>#N/A</v>
      </c>
      <c r="C12" s="78" t="e">
        <v>#N/A</v>
      </c>
      <c r="D12" s="78" t="e">
        <v>#N/A</v>
      </c>
      <c r="E12" s="120" t="e">
        <v>#N/A</v>
      </c>
      <c r="F12" s="78" t="e">
        <v>#N/A</v>
      </c>
      <c r="G12" s="78" t="e">
        <v>#N/A</v>
      </c>
      <c r="I12" s="130"/>
      <c r="L12" s="120" t="e">
        <v>#N/A</v>
      </c>
      <c r="M12" s="4" t="s">
        <v>293</v>
      </c>
      <c r="N12" s="120" t="n">
        <f aca="false">COUNTIF(L$2:L$26,M12)</f>
        <v>0</v>
      </c>
      <c r="P12" s="120" t="e">
        <v>#N/A</v>
      </c>
      <c r="Q12" s="4" t="s">
        <v>293</v>
      </c>
      <c r="R12" s="120" t="n">
        <f aca="false">COUNTIF(P$2:P$26,Q12)</f>
        <v>0</v>
      </c>
      <c r="T12" s="120" t="e">
        <v>#N/A</v>
      </c>
      <c r="U12" s="4" t="s">
        <v>293</v>
      </c>
      <c r="V12" s="120" t="n">
        <f aca="false">COUNTIF(T$2:T$26,U12)</f>
        <v>0</v>
      </c>
      <c r="X12" s="120" t="e">
        <v>#N/A</v>
      </c>
      <c r="Y12" s="4" t="s">
        <v>293</v>
      </c>
      <c r="Z12" s="120" t="n">
        <f aca="false">COUNTIF(X$2:X$26,Y12)</f>
        <v>0</v>
      </c>
      <c r="AB12" s="120" t="e">
        <v>#N/A</v>
      </c>
      <c r="AC12" s="4" t="s">
        <v>293</v>
      </c>
      <c r="AD12" s="120" t="n">
        <f aca="false">COUNTIF(AB$2:AB$26,AC12)</f>
        <v>0</v>
      </c>
      <c r="AF12" s="120" t="e">
        <v>#N/A</v>
      </c>
      <c r="AG12" s="4" t="s">
        <v>293</v>
      </c>
      <c r="AH12" s="120" t="n">
        <f aca="false">COUNTIF(AF$2:AF$26,AG12)</f>
        <v>0</v>
      </c>
      <c r="AJ12" s="120" t="e">
        <v>#N/A</v>
      </c>
      <c r="AK12" s="4" t="s">
        <v>293</v>
      </c>
      <c r="AL12" s="120" t="n">
        <f aca="false">COUNTIF(AJ$2:AJ$26,AK12)</f>
        <v>0</v>
      </c>
      <c r="AN12" s="78" t="e">
        <v>#N/A</v>
      </c>
      <c r="AO12" s="120" t="str">
        <v>Мирный</v>
      </c>
      <c r="AP12" s="78" t="n">
        <v>0</v>
      </c>
      <c r="AQ12" s="78" t="n">
        <v>1.75</v>
      </c>
      <c r="AR12" s="120" t="n">
        <v>0</v>
      </c>
      <c r="AS12" s="78" t="n">
        <v>0</v>
      </c>
      <c r="AT12" s="78" t="n">
        <v>0</v>
      </c>
      <c r="AV12" s="78" t="e">
        <v>#N/A</v>
      </c>
      <c r="AW12" s="120" t="e">
        <v>#N/A</v>
      </c>
      <c r="AX12" s="78" t="e">
        <v>#N/A</v>
      </c>
      <c r="AY12" s="78" t="e">
        <v>#N/A</v>
      </c>
      <c r="AZ12" s="120" t="e">
        <v>#N/A</v>
      </c>
      <c r="BA12" s="78" t="e">
        <v>#N/A</v>
      </c>
      <c r="BB12" s="78" t="e">
        <v>#N/A</v>
      </c>
      <c r="BD12" s="78" t="e">
        <v>#N/A</v>
      </c>
      <c r="BE12" s="120" t="e">
        <v>#N/A</v>
      </c>
      <c r="BF12" s="78" t="e">
        <v>#N/A</v>
      </c>
      <c r="BG12" s="78" t="e">
        <v>#N/A</v>
      </c>
      <c r="BH12" s="120" t="e">
        <v>#N/A</v>
      </c>
      <c r="BI12" s="78" t="e">
        <v>#N/A</v>
      </c>
      <c r="BJ12" s="78" t="e">
        <v>#N/A</v>
      </c>
      <c r="BM12" s="4"/>
      <c r="BQ12" s="4"/>
      <c r="BT12" s="120" t="e">
        <v>#N/A</v>
      </c>
      <c r="BU12" s="4"/>
    </row>
    <row r="13" customFormat="false" ht="15.75" hidden="false" customHeight="false" outlineLevel="0" collapsed="false">
      <c r="A13" s="78" t="e">
        <v>#N/A</v>
      </c>
      <c r="B13" s="120" t="e">
        <v>#N/A</v>
      </c>
      <c r="C13" s="78" t="e">
        <v>#N/A</v>
      </c>
      <c r="D13" s="78" t="e">
        <v>#N/A</v>
      </c>
      <c r="E13" s="120" t="e">
        <v>#N/A</v>
      </c>
      <c r="F13" s="78" t="e">
        <v>#N/A</v>
      </c>
      <c r="G13" s="78" t="e">
        <v>#N/A</v>
      </c>
      <c r="I13" s="130"/>
      <c r="L13" s="120" t="e">
        <v>#N/A</v>
      </c>
      <c r="M13" s="4" t="s">
        <v>54</v>
      </c>
      <c r="N13" s="120" t="n">
        <f aca="false">COUNTIF(L$2:L$26,M13)</f>
        <v>0</v>
      </c>
      <c r="P13" s="120" t="e">
        <v>#N/A</v>
      </c>
      <c r="Q13" s="4" t="s">
        <v>54</v>
      </c>
      <c r="R13" s="120" t="n">
        <f aca="false">COUNTIF(P$2:P$26,Q13)</f>
        <v>0</v>
      </c>
      <c r="T13" s="120" t="e">
        <v>#N/A</v>
      </c>
      <c r="U13" s="4" t="s">
        <v>54</v>
      </c>
      <c r="V13" s="120" t="n">
        <f aca="false">COUNTIF(T$2:T$26,U13)</f>
        <v>0</v>
      </c>
      <c r="X13" s="120" t="e">
        <v>#N/A</v>
      </c>
      <c r="Y13" s="4" t="s">
        <v>54</v>
      </c>
      <c r="Z13" s="120" t="n">
        <f aca="false">COUNTIF(X$2:X$26,Y13)</f>
        <v>0</v>
      </c>
      <c r="AB13" s="120" t="e">
        <v>#N/A</v>
      </c>
      <c r="AC13" s="4" t="s">
        <v>54</v>
      </c>
      <c r="AD13" s="120" t="n">
        <f aca="false">COUNTIF(AB$2:AB$26,AC13)</f>
        <v>0</v>
      </c>
      <c r="AF13" s="120" t="e">
        <v>#N/A</v>
      </c>
      <c r="AG13" s="4" t="s">
        <v>54</v>
      </c>
      <c r="AH13" s="120" t="n">
        <f aca="false">COUNTIF(AF$2:AF$26,AG13)</f>
        <v>0</v>
      </c>
      <c r="AJ13" s="120" t="e">
        <v>#N/A</v>
      </c>
      <c r="AK13" s="4" t="s">
        <v>54</v>
      </c>
      <c r="AL13" s="120" t="n">
        <f aca="false">COUNTIF(AJ$2:AJ$26,AK13)</f>
        <v>0</v>
      </c>
      <c r="AN13" s="78" t="e">
        <v>#N/A</v>
      </c>
      <c r="AO13" s="120" t="str">
        <f aca="false" t="array" ref="AO13:AS22">'1 Полуфинал'!M6:R15</f>
        <v>Шериф</v>
      </c>
      <c r="AP13" s="78" t="n">
        <v>0</v>
      </c>
      <c r="AQ13" s="78" t="n">
        <v>1.75</v>
      </c>
      <c r="AR13" s="78" t="n">
        <v>0</v>
      </c>
      <c r="AS13" s="78" t="n">
        <v>0</v>
      </c>
      <c r="AV13" s="78" t="e">
        <v>#N/A</v>
      </c>
      <c r="AW13" s="120" t="e">
        <v>#N/A</v>
      </c>
      <c r="AX13" s="78" t="e">
        <v>#N/A</v>
      </c>
      <c r="AY13" s="78" t="e">
        <v>#N/A</v>
      </c>
      <c r="AZ13" s="120" t="e">
        <v>#N/A</v>
      </c>
      <c r="BA13" s="78" t="e">
        <v>#N/A</v>
      </c>
      <c r="BB13" s="78" t="e">
        <v>#N/A</v>
      </c>
      <c r="BD13" s="78" t="e">
        <v>#N/A</v>
      </c>
      <c r="BE13" s="120" t="e">
        <v>#N/A</v>
      </c>
      <c r="BF13" s="78" t="e">
        <v>#N/A</v>
      </c>
      <c r="BG13" s="78" t="e">
        <v>#N/A</v>
      </c>
      <c r="BH13" s="120" t="e">
        <v>#N/A</v>
      </c>
      <c r="BI13" s="78" t="e">
        <v>#N/A</v>
      </c>
      <c r="BJ13" s="78" t="e">
        <v>#N/A</v>
      </c>
      <c r="BM13" s="4" t="s">
        <v>293</v>
      </c>
      <c r="BN13" s="120" t="n">
        <f aca="false">COUNTIF(BL$2:BL$26,BM13)</f>
        <v>0</v>
      </c>
      <c r="BQ13" s="4" t="s">
        <v>293</v>
      </c>
      <c r="BR13" s="120" t="n">
        <f aca="false">COUNTIF(BP$2:BP$26,BQ13)</f>
        <v>0</v>
      </c>
      <c r="BT13" s="120" t="e">
        <v>#N/A</v>
      </c>
      <c r="BU13" s="4" t="s">
        <v>293</v>
      </c>
      <c r="BV13" s="120" t="n">
        <f aca="false">COUNTIF(BT$2:BT$26,BU13)</f>
        <v>0</v>
      </c>
    </row>
    <row r="14" customFormat="false" ht="15.75" hidden="false" customHeight="false" outlineLevel="0" collapsed="false">
      <c r="A14" s="78" t="e">
        <v>#N/A</v>
      </c>
      <c r="B14" s="120" t="e">
        <v>#N/A</v>
      </c>
      <c r="C14" s="78" t="e">
        <v>#N/A</v>
      </c>
      <c r="D14" s="78" t="e">
        <v>#N/A</v>
      </c>
      <c r="E14" s="120" t="e">
        <v>#N/A</v>
      </c>
      <c r="F14" s="78" t="e">
        <v>#N/A</v>
      </c>
      <c r="G14" s="78" t="e">
        <v>#N/A</v>
      </c>
      <c r="I14" s="130"/>
      <c r="L14" s="120" t="e">
        <v>#N/A</v>
      </c>
      <c r="M14" s="4" t="s">
        <v>294</v>
      </c>
      <c r="N14" s="120" t="n">
        <f aca="false">COUNTIF(L$2:L$26,M14)</f>
        <v>0</v>
      </c>
      <c r="P14" s="120" t="e">
        <v>#N/A</v>
      </c>
      <c r="Q14" s="4" t="s">
        <v>294</v>
      </c>
      <c r="R14" s="120" t="n">
        <f aca="false">COUNTIF(P$2:P$26,Q14)</f>
        <v>0</v>
      </c>
      <c r="T14" s="120" t="e">
        <v>#N/A</v>
      </c>
      <c r="U14" s="4" t="s">
        <v>294</v>
      </c>
      <c r="V14" s="120" t="n">
        <f aca="false">COUNTIF(T$2:T$26,U14)</f>
        <v>0</v>
      </c>
      <c r="X14" s="120" t="e">
        <v>#N/A</v>
      </c>
      <c r="Y14" s="4" t="s">
        <v>294</v>
      </c>
      <c r="Z14" s="120" t="n">
        <f aca="false">COUNTIF(X$2:X$26,Y14)</f>
        <v>0</v>
      </c>
      <c r="AB14" s="120" t="e">
        <v>#N/A</v>
      </c>
      <c r="AC14" s="4" t="s">
        <v>294</v>
      </c>
      <c r="AD14" s="120" t="n">
        <f aca="false">COUNTIF(AB$2:AB$26,AC14)</f>
        <v>0</v>
      </c>
      <c r="AF14" s="120" t="e">
        <v>#N/A</v>
      </c>
      <c r="AG14" s="4" t="s">
        <v>294</v>
      </c>
      <c r="AH14" s="120" t="n">
        <f aca="false">COUNTIF(AF$2:AF$26,AG14)</f>
        <v>0</v>
      </c>
      <c r="AJ14" s="120" t="e">
        <v>#N/A</v>
      </c>
      <c r="AK14" s="4" t="s">
        <v>294</v>
      </c>
      <c r="AL14" s="120" t="n">
        <f aca="false">COUNTIF(AJ$2:AJ$26,AK14)</f>
        <v>0</v>
      </c>
      <c r="AN14" s="78" t="e">
        <v>#N/A</v>
      </c>
      <c r="AO14" s="120" t="str">
        <v>Мирный</v>
      </c>
      <c r="AP14" s="78" t="n">
        <v>0</v>
      </c>
      <c r="AQ14" s="78" t="n">
        <v>2.25</v>
      </c>
      <c r="AR14" s="78" t="n">
        <v>0</v>
      </c>
      <c r="AS14" s="78" t="n">
        <v>0</v>
      </c>
      <c r="AV14" s="78" t="e">
        <v>#N/A</v>
      </c>
      <c r="AW14" s="120" t="e">
        <v>#N/A</v>
      </c>
      <c r="AX14" s="78" t="e">
        <v>#N/A</v>
      </c>
      <c r="AY14" s="78" t="e">
        <v>#N/A</v>
      </c>
      <c r="AZ14" s="120" t="e">
        <v>#N/A</v>
      </c>
      <c r="BA14" s="78" t="e">
        <v>#N/A</v>
      </c>
      <c r="BB14" s="78" t="e">
        <v>#N/A</v>
      </c>
      <c r="BD14" s="78" t="e">
        <v>#N/A</v>
      </c>
      <c r="BE14" s="120" t="e">
        <v>#N/A</v>
      </c>
      <c r="BF14" s="78" t="e">
        <v>#N/A</v>
      </c>
      <c r="BG14" s="78" t="e">
        <v>#N/A</v>
      </c>
      <c r="BH14" s="120" t="e">
        <v>#N/A</v>
      </c>
      <c r="BI14" s="78" t="e">
        <v>#N/A</v>
      </c>
      <c r="BJ14" s="78" t="e">
        <v>#N/A</v>
      </c>
      <c r="BM14" s="4" t="s">
        <v>54</v>
      </c>
      <c r="BN14" s="120" t="n">
        <f aca="false">COUNTIF(BL$2:BL$26,BM14)</f>
        <v>0</v>
      </c>
      <c r="BQ14" s="4" t="s">
        <v>54</v>
      </c>
      <c r="BR14" s="120" t="n">
        <f aca="false">COUNTIF(BP$2:BP$26,BQ14)</f>
        <v>0</v>
      </c>
      <c r="BT14" s="120" t="e">
        <v>#N/A</v>
      </c>
      <c r="BU14" s="4" t="s">
        <v>54</v>
      </c>
      <c r="BV14" s="120" t="n">
        <f aca="false">COUNTIF(BT$2:BT$26,BU14)</f>
        <v>0</v>
      </c>
    </row>
    <row r="15" customFormat="false" ht="15.75" hidden="false" customHeight="false" outlineLevel="0" collapsed="false">
      <c r="A15" s="78" t="e">
        <v>#N/A</v>
      </c>
      <c r="B15" s="120" t="e">
        <v>#N/A</v>
      </c>
      <c r="C15" s="78" t="e">
        <v>#N/A</v>
      </c>
      <c r="D15" s="78" t="e">
        <v>#N/A</v>
      </c>
      <c r="E15" s="120" t="e">
        <v>#N/A</v>
      </c>
      <c r="F15" s="78" t="e">
        <v>#N/A</v>
      </c>
      <c r="G15" s="78" t="e">
        <v>#N/A</v>
      </c>
      <c r="I15" s="130"/>
      <c r="L15" s="120" t="e">
        <v>#N/A</v>
      </c>
      <c r="M15" s="4" t="s">
        <v>295</v>
      </c>
      <c r="N15" s="120" t="n">
        <f aca="false">COUNTIF(L$2:L$26,M15)</f>
        <v>0</v>
      </c>
      <c r="P15" s="120" t="e">
        <v>#N/A</v>
      </c>
      <c r="Q15" s="4" t="s">
        <v>295</v>
      </c>
      <c r="R15" s="120" t="n">
        <f aca="false">COUNTIF(P$2:P$26,Q15)</f>
        <v>0</v>
      </c>
      <c r="T15" s="120" t="e">
        <v>#N/A</v>
      </c>
      <c r="U15" s="4" t="s">
        <v>295</v>
      </c>
      <c r="V15" s="120" t="n">
        <f aca="false">COUNTIF(T$2:T$26,U15)</f>
        <v>0</v>
      </c>
      <c r="X15" s="120" t="e">
        <v>#N/A</v>
      </c>
      <c r="Y15" s="4" t="s">
        <v>295</v>
      </c>
      <c r="Z15" s="120" t="n">
        <f aca="false">COUNTIF(X$2:X$26,Y15)</f>
        <v>0</v>
      </c>
      <c r="AB15" s="120" t="e">
        <v>#N/A</v>
      </c>
      <c r="AC15" s="4" t="s">
        <v>295</v>
      </c>
      <c r="AD15" s="120" t="n">
        <f aca="false">COUNTIF(AB$2:AB$26,AC15)</f>
        <v>0</v>
      </c>
      <c r="AF15" s="120" t="e">
        <v>#N/A</v>
      </c>
      <c r="AG15" s="4" t="s">
        <v>295</v>
      </c>
      <c r="AH15" s="120" t="n">
        <f aca="false">COUNTIF(AF$2:AF$26,AG15)</f>
        <v>0</v>
      </c>
      <c r="AJ15" s="120" t="e">
        <v>#N/A</v>
      </c>
      <c r="AK15" s="4" t="s">
        <v>295</v>
      </c>
      <c r="AL15" s="120" t="n">
        <f aca="false">COUNTIF(AJ$2:AJ$26,AK15)</f>
        <v>0</v>
      </c>
      <c r="AN15" s="78" t="e">
        <v>#N/A</v>
      </c>
      <c r="AO15" s="120" t="str">
        <v>Дон</v>
      </c>
      <c r="AP15" s="78" t="n">
        <v>2.5</v>
      </c>
      <c r="AQ15" s="78" t="n">
        <v>3</v>
      </c>
      <c r="AR15" s="78" t="n">
        <v>0</v>
      </c>
      <c r="AS15" s="78" t="n">
        <v>0</v>
      </c>
      <c r="AV15" s="78" t="e">
        <v>#N/A</v>
      </c>
      <c r="AW15" s="120" t="e">
        <v>#N/A</v>
      </c>
      <c r="AX15" s="78" t="e">
        <v>#N/A</v>
      </c>
      <c r="AY15" s="78" t="e">
        <v>#N/A</v>
      </c>
      <c r="AZ15" s="120" t="e">
        <v>#N/A</v>
      </c>
      <c r="BA15" s="78" t="e">
        <v>#N/A</v>
      </c>
      <c r="BB15" s="78" t="e">
        <v>#N/A</v>
      </c>
      <c r="BD15" s="78" t="e">
        <v>#N/A</v>
      </c>
      <c r="BE15" s="120" t="e">
        <v>#N/A</v>
      </c>
      <c r="BF15" s="78" t="e">
        <v>#N/A</v>
      </c>
      <c r="BG15" s="78" t="e">
        <v>#N/A</v>
      </c>
      <c r="BH15" s="120" t="e">
        <v>#N/A</v>
      </c>
      <c r="BI15" s="78" t="e">
        <v>#N/A</v>
      </c>
      <c r="BJ15" s="78" t="e">
        <v>#N/A</v>
      </c>
      <c r="BM15" s="4" t="s">
        <v>294</v>
      </c>
      <c r="BN15" s="120" t="n">
        <f aca="false">COUNTIF(BL$2:BL$26,BM15)</f>
        <v>0</v>
      </c>
      <c r="BQ15" s="4" t="s">
        <v>294</v>
      </c>
      <c r="BR15" s="120" t="n">
        <f aca="false">COUNTIF(BP$2:BP$26,BQ15)</f>
        <v>0</v>
      </c>
      <c r="BT15" s="120" t="e">
        <v>#N/A</v>
      </c>
      <c r="BU15" s="4" t="s">
        <v>294</v>
      </c>
      <c r="BV15" s="120" t="n">
        <f aca="false">COUNTIF(BT$2:BT$26,BU15)</f>
        <v>0</v>
      </c>
    </row>
    <row r="16" customFormat="false" ht="15.75" hidden="false" customHeight="false" outlineLevel="0" collapsed="false">
      <c r="A16" s="78" t="e">
        <v>#N/A</v>
      </c>
      <c r="B16" s="120" t="e">
        <v>#N/A</v>
      </c>
      <c r="C16" s="78" t="e">
        <v>#N/A</v>
      </c>
      <c r="D16" s="78" t="e">
        <v>#N/A</v>
      </c>
      <c r="E16" s="120" t="e">
        <v>#N/A</v>
      </c>
      <c r="F16" s="78" t="e">
        <v>#N/A</v>
      </c>
      <c r="G16" s="78" t="e">
        <v>#N/A</v>
      </c>
      <c r="I16" s="130"/>
      <c r="L16" s="120" t="e">
        <v>#N/A</v>
      </c>
      <c r="M16" s="4"/>
      <c r="P16" s="120" t="e">
        <v>#N/A</v>
      </c>
      <c r="Q16" s="4"/>
      <c r="T16" s="120" t="e">
        <v>#N/A</v>
      </c>
      <c r="U16" s="4"/>
      <c r="X16" s="120" t="e">
        <v>#N/A</v>
      </c>
      <c r="Y16" s="4"/>
      <c r="AB16" s="120" t="e">
        <v>#N/A</v>
      </c>
      <c r="AC16" s="4"/>
      <c r="AF16" s="120" t="e">
        <v>#N/A</v>
      </c>
      <c r="AG16" s="4"/>
      <c r="AJ16" s="120" t="e">
        <v>#N/A</v>
      </c>
      <c r="AK16" s="4"/>
      <c r="AN16" s="78" t="e">
        <v>#N/A</v>
      </c>
      <c r="AO16" s="120" t="str">
        <v>Мирный</v>
      </c>
      <c r="AP16" s="78" t="n">
        <v>0</v>
      </c>
      <c r="AQ16" s="78" t="n">
        <v>2.5</v>
      </c>
      <c r="AR16" s="78" t="n">
        <v>0</v>
      </c>
      <c r="AS16" s="78" t="n">
        <v>0</v>
      </c>
      <c r="AV16" s="78" t="e">
        <v>#N/A</v>
      </c>
      <c r="AW16" s="120" t="e">
        <v>#N/A</v>
      </c>
      <c r="AX16" s="78" t="e">
        <v>#N/A</v>
      </c>
      <c r="AY16" s="78" t="e">
        <v>#N/A</v>
      </c>
      <c r="AZ16" s="120" t="e">
        <v>#N/A</v>
      </c>
      <c r="BA16" s="78" t="e">
        <v>#N/A</v>
      </c>
      <c r="BB16" s="78" t="e">
        <v>#N/A</v>
      </c>
      <c r="BD16" s="78" t="e">
        <v>#N/A</v>
      </c>
      <c r="BE16" s="120" t="e">
        <v>#N/A</v>
      </c>
      <c r="BF16" s="78" t="e">
        <v>#N/A</v>
      </c>
      <c r="BG16" s="78" t="e">
        <v>#N/A</v>
      </c>
      <c r="BH16" s="120" t="e">
        <v>#N/A</v>
      </c>
      <c r="BI16" s="78" t="e">
        <v>#N/A</v>
      </c>
      <c r="BJ16" s="78" t="e">
        <v>#N/A</v>
      </c>
      <c r="BM16" s="4" t="s">
        <v>295</v>
      </c>
      <c r="BN16" s="120" t="n">
        <f aca="false">COUNTIF(BL$2:BL$26,BM16)</f>
        <v>0</v>
      </c>
      <c r="BQ16" s="4" t="s">
        <v>295</v>
      </c>
      <c r="BR16" s="120" t="n">
        <f aca="false">COUNTIF(BP$2:BP$26,BQ16)</f>
        <v>0</v>
      </c>
      <c r="BT16" s="120" t="e">
        <v>#N/A</v>
      </c>
      <c r="BU16" s="4" t="s">
        <v>295</v>
      </c>
      <c r="BV16" s="120" t="n">
        <f aca="false">COUNTIF(BT$2:BT$26,BU16)</f>
        <v>0</v>
      </c>
    </row>
    <row r="17" customFormat="false" ht="15.75" hidden="false" customHeight="false" outlineLevel="0" collapsed="false">
      <c r="A17" s="78" t="e">
        <v>#N/A</v>
      </c>
      <c r="B17" s="120" t="e">
        <v>#N/A</v>
      </c>
      <c r="C17" s="78" t="e">
        <v>#N/A</v>
      </c>
      <c r="D17" s="78" t="e">
        <v>#N/A</v>
      </c>
      <c r="E17" s="120" t="e">
        <v>#N/A</v>
      </c>
      <c r="F17" s="78" t="e">
        <v>#N/A</v>
      </c>
      <c r="G17" s="78" t="e">
        <v>#N/A</v>
      </c>
      <c r="L17" s="120" t="e">
        <v>#N/A</v>
      </c>
      <c r="M17" s="4" t="s">
        <v>279</v>
      </c>
      <c r="N17" s="120" t="n">
        <f aca="false">SUM(N2:N7)</f>
        <v>0</v>
      </c>
      <c r="O17" s="123" t="n">
        <f aca="false">IFERROR(N17/N19, )</f>
        <v>0</v>
      </c>
      <c r="P17" s="120" t="e">
        <v>#N/A</v>
      </c>
      <c r="Q17" s="4" t="s">
        <v>279</v>
      </c>
      <c r="R17" s="120" t="n">
        <f aca="false">SUM(R2:R7)</f>
        <v>0</v>
      </c>
      <c r="S17" s="123" t="n">
        <f aca="false">IFERROR(R17/R19, )</f>
        <v>0</v>
      </c>
      <c r="T17" s="120" t="e">
        <v>#N/A</v>
      </c>
      <c r="U17" s="4" t="s">
        <v>279</v>
      </c>
      <c r="V17" s="120" t="n">
        <f aca="false">SUM(V2:V7)</f>
        <v>0</v>
      </c>
      <c r="W17" s="123" t="n">
        <f aca="false">IFERROR(V17/V19, )</f>
        <v>0</v>
      </c>
      <c r="X17" s="120" t="e">
        <v>#N/A</v>
      </c>
      <c r="Y17" s="4" t="s">
        <v>279</v>
      </c>
      <c r="Z17" s="120" t="n">
        <f aca="false">SUM(Z2:Z7)</f>
        <v>0</v>
      </c>
      <c r="AA17" s="123" t="n">
        <f aca="false">IFERROR(Z17/Z19, )</f>
        <v>0</v>
      </c>
      <c r="AB17" s="120" t="e">
        <v>#N/A</v>
      </c>
      <c r="AC17" s="4" t="s">
        <v>279</v>
      </c>
      <c r="AD17" s="120" t="n">
        <f aca="false">SUM(AD2:AD7)</f>
        <v>0</v>
      </c>
      <c r="AE17" s="123" t="n">
        <f aca="false">IFERROR(AD17/AD19, )</f>
        <v>0</v>
      </c>
      <c r="AF17" s="120" t="e">
        <v>#N/A</v>
      </c>
      <c r="AG17" s="4" t="s">
        <v>279</v>
      </c>
      <c r="AH17" s="120" t="n">
        <f aca="false">SUM(AH2:AH7)</f>
        <v>0</v>
      </c>
      <c r="AI17" s="123" t="n">
        <f aca="false">IFERROR(AH17/AH19, )</f>
        <v>0</v>
      </c>
      <c r="AJ17" s="120" t="e">
        <v>#N/A</v>
      </c>
      <c r="AK17" s="4" t="s">
        <v>279</v>
      </c>
      <c r="AL17" s="120" t="n">
        <f aca="false">SUM(AL2:AL7)</f>
        <v>0</v>
      </c>
      <c r="AM17" s="123" t="n">
        <f aca="false">IFERROR(AL17/AL19, )</f>
        <v>0</v>
      </c>
      <c r="AN17" s="78" t="e">
        <v>#N/A</v>
      </c>
      <c r="AO17" s="123" t="str">
        <v>Мирный</v>
      </c>
      <c r="AP17" s="123" t="n">
        <v>0</v>
      </c>
      <c r="AQ17" s="123" t="n">
        <v>2.5</v>
      </c>
      <c r="AR17" s="123" t="n">
        <v>0</v>
      </c>
      <c r="AS17" s="123" t="n">
        <v>0</v>
      </c>
      <c r="AT17" s="123"/>
      <c r="AU17" s="123"/>
      <c r="AV17" s="123" t="e">
        <v>#N/A</v>
      </c>
      <c r="AW17" s="123" t="e">
        <v>#N/A</v>
      </c>
      <c r="AX17" s="123" t="e">
        <v>#N/A</v>
      </c>
      <c r="AY17" s="123" t="e">
        <v>#N/A</v>
      </c>
      <c r="AZ17" s="123" t="e">
        <v>#N/A</v>
      </c>
      <c r="BA17" s="123" t="e">
        <v>#N/A</v>
      </c>
      <c r="BB17" s="123" t="e">
        <v>#N/A</v>
      </c>
      <c r="BC17" s="123"/>
      <c r="BD17" s="123" t="e">
        <v>#N/A</v>
      </c>
      <c r="BE17" s="123" t="e">
        <v>#N/A</v>
      </c>
      <c r="BF17" s="123" t="e">
        <v>#N/A</v>
      </c>
      <c r="BG17" s="123" t="e">
        <v>#N/A</v>
      </c>
      <c r="BH17" s="123" t="e">
        <v>#N/A</v>
      </c>
      <c r="BI17" s="123" t="e">
        <v>#N/A</v>
      </c>
      <c r="BJ17" s="123" t="e">
        <v>#N/A</v>
      </c>
      <c r="BK17" s="123"/>
      <c r="BM17" s="4"/>
      <c r="BQ17" s="4"/>
      <c r="BU17" s="4"/>
    </row>
    <row r="18" customFormat="false" ht="15.75" hidden="false" customHeight="false" outlineLevel="0" collapsed="false">
      <c r="A18" s="78" t="e">
        <v>#N/A</v>
      </c>
      <c r="B18" s="120" t="e">
        <v>#N/A</v>
      </c>
      <c r="C18" s="78" t="e">
        <v>#N/A</v>
      </c>
      <c r="D18" s="78" t="e">
        <v>#N/A</v>
      </c>
      <c r="E18" s="120" t="e">
        <v>#N/A</v>
      </c>
      <c r="F18" s="78" t="e">
        <v>#N/A</v>
      </c>
      <c r="G18" s="78" t="e">
        <v>#N/A</v>
      </c>
      <c r="M18" s="4" t="s">
        <v>283</v>
      </c>
      <c r="N18" s="120" t="n">
        <f aca="false">SUM(N8:N15)</f>
        <v>0</v>
      </c>
      <c r="O18" s="123" t="n">
        <f aca="false">IFERROR(N18/N19, )</f>
        <v>0</v>
      </c>
      <c r="Q18" s="4" t="s">
        <v>283</v>
      </c>
      <c r="R18" s="120" t="n">
        <f aca="false">SUM(R8:R15)</f>
        <v>0</v>
      </c>
      <c r="S18" s="123" t="n">
        <f aca="false">IFERROR(R18/R19, )</f>
        <v>0</v>
      </c>
      <c r="U18" s="4" t="s">
        <v>283</v>
      </c>
      <c r="V18" s="120" t="n">
        <f aca="false">SUM(V8:V15)</f>
        <v>0</v>
      </c>
      <c r="W18" s="123" t="n">
        <f aca="false">IFERROR(V18/V19, )</f>
        <v>0</v>
      </c>
      <c r="Y18" s="4" t="s">
        <v>283</v>
      </c>
      <c r="Z18" s="120" t="n">
        <f aca="false">SUM(Z8:Z15)</f>
        <v>0</v>
      </c>
      <c r="AA18" s="123" t="n">
        <f aca="false">IFERROR(Z18/Z19, )</f>
        <v>0</v>
      </c>
      <c r="AC18" s="4" t="s">
        <v>283</v>
      </c>
      <c r="AD18" s="120" t="n">
        <f aca="false">SUM(AD8:AD15)</f>
        <v>0</v>
      </c>
      <c r="AE18" s="123" t="n">
        <f aca="false">IFERROR(AD18/AD19, )</f>
        <v>0</v>
      </c>
      <c r="AG18" s="4" t="s">
        <v>283</v>
      </c>
      <c r="AH18" s="120" t="n">
        <f aca="false">SUM(AH8:AH15)</f>
        <v>0</v>
      </c>
      <c r="AI18" s="123" t="n">
        <f aca="false">IFERROR(AH18/AH19, )</f>
        <v>0</v>
      </c>
      <c r="AK18" s="4" t="s">
        <v>283</v>
      </c>
      <c r="AL18" s="120" t="n">
        <f aca="false">SUM(AL8:AL15)</f>
        <v>0</v>
      </c>
      <c r="AM18" s="123" t="n">
        <f aca="false">IFERROR(AL18/AL19, )</f>
        <v>0</v>
      </c>
      <c r="AN18" s="78" t="e">
        <v>#N/A</v>
      </c>
      <c r="AO18" s="123" t="str">
        <v>Мирный</v>
      </c>
      <c r="AP18" s="123" t="n">
        <v>0</v>
      </c>
      <c r="AQ18" s="123" t="n">
        <v>2</v>
      </c>
      <c r="AR18" s="123" t="n">
        <v>0</v>
      </c>
      <c r="AS18" s="123" t="n">
        <v>0</v>
      </c>
      <c r="AT18" s="123"/>
      <c r="AU18" s="123"/>
      <c r="AV18" s="123" t="e">
        <v>#N/A</v>
      </c>
      <c r="AW18" s="123" t="e">
        <v>#N/A</v>
      </c>
      <c r="AX18" s="123" t="e">
        <v>#N/A</v>
      </c>
      <c r="AY18" s="123" t="e">
        <v>#N/A</v>
      </c>
      <c r="AZ18" s="123" t="e">
        <v>#N/A</v>
      </c>
      <c r="BA18" s="123" t="e">
        <v>#N/A</v>
      </c>
      <c r="BB18" s="123" t="e">
        <v>#N/A</v>
      </c>
      <c r="BC18" s="123"/>
      <c r="BD18" s="123" t="e">
        <v>#N/A</v>
      </c>
      <c r="BE18" s="123" t="e">
        <v>#N/A</v>
      </c>
      <c r="BF18" s="123" t="e">
        <v>#N/A</v>
      </c>
      <c r="BG18" s="123" t="e">
        <v>#N/A</v>
      </c>
      <c r="BH18" s="123" t="e">
        <v>#N/A</v>
      </c>
      <c r="BI18" s="123" t="e">
        <v>#N/A</v>
      </c>
      <c r="BJ18" s="123" t="e">
        <v>#N/A</v>
      </c>
      <c r="BK18" s="123"/>
      <c r="BM18" s="4" t="s">
        <v>279</v>
      </c>
      <c r="BN18" s="120" t="n">
        <f aca="false">SUM(BN3:BN8)</f>
        <v>0</v>
      </c>
      <c r="BO18" s="123" t="n">
        <f aca="false">IFERROR(BN18/BN20, )</f>
        <v>0</v>
      </c>
      <c r="BQ18" s="4" t="s">
        <v>279</v>
      </c>
      <c r="BR18" s="120" t="n">
        <f aca="false">SUM(BR3:BR8)</f>
        <v>0</v>
      </c>
      <c r="BS18" s="123" t="n">
        <f aca="false">IFERROR(BR18/BR20, )</f>
        <v>0</v>
      </c>
      <c r="BU18" s="4" t="s">
        <v>279</v>
      </c>
      <c r="BV18" s="120" t="n">
        <f aca="false">SUM(BV3:BV8)</f>
        <v>0</v>
      </c>
      <c r="BW18" s="123" t="n">
        <f aca="false">IFERROR(BV18/BV20, )</f>
        <v>0</v>
      </c>
      <c r="BX18" s="123"/>
      <c r="BY18" s="123"/>
      <c r="BZ18" s="123"/>
    </row>
    <row r="19" customFormat="false" ht="15.75" hidden="false" customHeight="false" outlineLevel="0" collapsed="false">
      <c r="A19" s="78" t="e">
        <v>#N/A</v>
      </c>
      <c r="B19" s="120" t="e">
        <v>#N/A</v>
      </c>
      <c r="C19" s="78" t="e">
        <v>#N/A</v>
      </c>
      <c r="D19" s="78" t="e">
        <v>#N/A</v>
      </c>
      <c r="E19" s="120" t="e">
        <v>#N/A</v>
      </c>
      <c r="F19" s="78" t="e">
        <v>#N/A</v>
      </c>
      <c r="G19" s="78" t="e">
        <v>#N/A</v>
      </c>
      <c r="M19" s="4" t="s">
        <v>284</v>
      </c>
      <c r="N19" s="120" t="n">
        <f aca="false">SUM(N17:N18)</f>
        <v>0</v>
      </c>
      <c r="Q19" s="4" t="s">
        <v>284</v>
      </c>
      <c r="R19" s="120" t="n">
        <f aca="false">SUM(R17:R18)</f>
        <v>0</v>
      </c>
      <c r="U19" s="4" t="s">
        <v>284</v>
      </c>
      <c r="V19" s="120" t="n">
        <f aca="false">SUM(V17:V18)</f>
        <v>0</v>
      </c>
      <c r="Y19" s="4" t="s">
        <v>284</v>
      </c>
      <c r="Z19" s="120" t="n">
        <f aca="false">SUM(Z17:Z18)</f>
        <v>0</v>
      </c>
      <c r="AC19" s="4" t="s">
        <v>284</v>
      </c>
      <c r="AD19" s="120" t="n">
        <f aca="false">SUM(AD17:AD18)</f>
        <v>0</v>
      </c>
      <c r="AG19" s="4" t="s">
        <v>284</v>
      </c>
      <c r="AH19" s="120" t="n">
        <f aca="false">SUM(AH17:AH18)</f>
        <v>0</v>
      </c>
      <c r="AK19" s="4" t="s">
        <v>284</v>
      </c>
      <c r="AL19" s="120" t="n">
        <f aca="false">SUM(AL17:AL18)</f>
        <v>0</v>
      </c>
      <c r="AN19" s="78" t="e">
        <v>#N/A</v>
      </c>
      <c r="AO19" s="120" t="str">
        <v>Мирный</v>
      </c>
      <c r="AP19" s="78" t="n">
        <v>0</v>
      </c>
      <c r="AQ19" s="78" t="n">
        <v>2.5</v>
      </c>
      <c r="AR19" s="78" t="n">
        <v>0</v>
      </c>
      <c r="AS19" s="78" t="n">
        <v>0</v>
      </c>
      <c r="AV19" s="78" t="e">
        <v>#N/A</v>
      </c>
      <c r="AW19" s="120" t="e">
        <v>#N/A</v>
      </c>
      <c r="AX19" s="78" t="e">
        <v>#N/A</v>
      </c>
      <c r="AY19" s="78" t="e">
        <v>#N/A</v>
      </c>
      <c r="AZ19" s="120" t="e">
        <v>#N/A</v>
      </c>
      <c r="BA19" s="78" t="e">
        <v>#N/A</v>
      </c>
      <c r="BB19" s="78" t="e">
        <v>#N/A</v>
      </c>
      <c r="BD19" s="78" t="e">
        <v>#N/A</v>
      </c>
      <c r="BE19" s="120" t="e">
        <v>#N/A</v>
      </c>
      <c r="BF19" s="78" t="e">
        <v>#N/A</v>
      </c>
      <c r="BG19" s="78" t="e">
        <v>#N/A</v>
      </c>
      <c r="BH19" s="120" t="e">
        <v>#N/A</v>
      </c>
      <c r="BI19" s="78" t="e">
        <v>#N/A</v>
      </c>
      <c r="BJ19" s="78" t="e">
        <v>#N/A</v>
      </c>
      <c r="BM19" s="4" t="s">
        <v>283</v>
      </c>
      <c r="BN19" s="120" t="n">
        <f aca="false">SUM(BN9:BN16)</f>
        <v>0</v>
      </c>
      <c r="BO19" s="123" t="n">
        <f aca="false">IFERROR(BN19/BN20, )</f>
        <v>0</v>
      </c>
      <c r="BQ19" s="4" t="s">
        <v>283</v>
      </c>
      <c r="BR19" s="120" t="n">
        <f aca="false">SUM(BR9:BR16)</f>
        <v>0</v>
      </c>
      <c r="BS19" s="123" t="n">
        <f aca="false">IFERROR(BR19/BR20, )</f>
        <v>0</v>
      </c>
      <c r="BU19" s="4" t="s">
        <v>283</v>
      </c>
      <c r="BV19" s="120" t="n">
        <f aca="false">SUM(BV9:BV16)</f>
        <v>0</v>
      </c>
      <c r="BW19" s="123" t="n">
        <f aca="false">IFERROR(BV19/BV20, )</f>
        <v>0</v>
      </c>
      <c r="BX19" s="123"/>
      <c r="BY19" s="123"/>
      <c r="BZ19" s="123"/>
    </row>
    <row r="20" customFormat="false" ht="15.75" hidden="false" customHeight="false" outlineLevel="0" collapsed="false">
      <c r="A20" s="78" t="e">
        <v>#N/A</v>
      </c>
      <c r="B20" s="120" t="e">
        <v>#N/A</v>
      </c>
      <c r="C20" s="78" t="e">
        <v>#N/A</v>
      </c>
      <c r="D20" s="78" t="e">
        <v>#N/A</v>
      </c>
      <c r="E20" s="120" t="e">
        <v>#N/A</v>
      </c>
      <c r="F20" s="78" t="e">
        <v>#N/A</v>
      </c>
      <c r="G20" s="78" t="e">
        <v>#N/A</v>
      </c>
      <c r="M20" s="4"/>
      <c r="Q20" s="4"/>
      <c r="U20" s="4"/>
      <c r="Y20" s="4"/>
      <c r="AC20" s="4"/>
      <c r="AG20" s="4"/>
      <c r="AK20" s="4"/>
      <c r="AN20" s="78" t="e">
        <v>#N/A</v>
      </c>
      <c r="AO20" s="120" t="str">
        <v>Мирный</v>
      </c>
      <c r="AP20" s="78" t="n">
        <v>0</v>
      </c>
      <c r="AQ20" s="78" t="n">
        <v>2.5</v>
      </c>
      <c r="AR20" s="78" t="n">
        <v>0</v>
      </c>
      <c r="AS20" s="78" t="n">
        <v>0</v>
      </c>
      <c r="AV20" s="78" t="e">
        <v>#N/A</v>
      </c>
      <c r="AW20" s="120" t="e">
        <v>#N/A</v>
      </c>
      <c r="AX20" s="78" t="e">
        <v>#N/A</v>
      </c>
      <c r="AY20" s="78" t="e">
        <v>#N/A</v>
      </c>
      <c r="AZ20" s="120" t="e">
        <v>#N/A</v>
      </c>
      <c r="BA20" s="78" t="e">
        <v>#N/A</v>
      </c>
      <c r="BB20" s="78" t="e">
        <v>#N/A</v>
      </c>
      <c r="BD20" s="78" t="e">
        <v>#N/A</v>
      </c>
      <c r="BE20" s="120" t="e">
        <v>#N/A</v>
      </c>
      <c r="BF20" s="78" t="e">
        <v>#N/A</v>
      </c>
      <c r="BG20" s="78" t="e">
        <v>#N/A</v>
      </c>
      <c r="BH20" s="120" t="e">
        <v>#N/A</v>
      </c>
      <c r="BI20" s="78" t="e">
        <v>#N/A</v>
      </c>
      <c r="BJ20" s="78" t="e">
        <v>#N/A</v>
      </c>
      <c r="BM20" s="4" t="s">
        <v>284</v>
      </c>
      <c r="BN20" s="120" t="n">
        <f aca="false">SUM(BN18:BN19)</f>
        <v>0</v>
      </c>
      <c r="BQ20" s="4" t="s">
        <v>284</v>
      </c>
      <c r="BR20" s="120" t="n">
        <f aca="false">SUM(BR18:BR19)</f>
        <v>0</v>
      </c>
      <c r="BU20" s="4" t="s">
        <v>284</v>
      </c>
      <c r="BV20" s="120" t="n">
        <f aca="false">SUM(BV18:BV19)</f>
        <v>0</v>
      </c>
    </row>
    <row r="21" customFormat="false" ht="15.75" hidden="false" customHeight="false" outlineLevel="0" collapsed="false">
      <c r="A21" s="78" t="e">
        <v>#N/A</v>
      </c>
      <c r="B21" s="120" t="e">
        <v>#N/A</v>
      </c>
      <c r="C21" s="78" t="e">
        <v>#N/A</v>
      </c>
      <c r="D21" s="78" t="e">
        <v>#N/A</v>
      </c>
      <c r="E21" s="120" t="e">
        <v>#N/A</v>
      </c>
      <c r="F21" s="78" t="e">
        <v>#N/A</v>
      </c>
      <c r="G21" s="78" t="e">
        <v>#N/A</v>
      </c>
      <c r="M21" s="4"/>
      <c r="Q21" s="4"/>
      <c r="U21" s="4"/>
      <c r="Y21" s="4"/>
      <c r="AC21" s="4"/>
      <c r="AG21" s="4"/>
      <c r="AK21" s="4"/>
      <c r="AN21" s="78" t="e">
        <v>#N/A</v>
      </c>
      <c r="AO21" s="120" t="str">
        <v>Мафия</v>
      </c>
      <c r="AP21" s="78" t="n">
        <v>2.5</v>
      </c>
      <c r="AQ21" s="78" t="n">
        <v>3.5</v>
      </c>
      <c r="AR21" s="78" t="n">
        <v>0</v>
      </c>
      <c r="AS21" s="78" t="n">
        <v>0</v>
      </c>
      <c r="AV21" s="78" t="e">
        <v>#N/A</v>
      </c>
      <c r="AW21" s="120" t="e">
        <v>#N/A</v>
      </c>
      <c r="AX21" s="78" t="e">
        <v>#N/A</v>
      </c>
      <c r="AY21" s="78" t="e">
        <v>#N/A</v>
      </c>
      <c r="AZ21" s="120" t="e">
        <v>#N/A</v>
      </c>
      <c r="BA21" s="78" t="e">
        <v>#N/A</v>
      </c>
      <c r="BB21" s="78" t="e">
        <v>#N/A</v>
      </c>
      <c r="BD21" s="78" t="e">
        <v>#N/A</v>
      </c>
      <c r="BE21" s="120" t="e">
        <v>#N/A</v>
      </c>
      <c r="BF21" s="78" t="e">
        <v>#N/A</v>
      </c>
      <c r="BG21" s="78" t="e">
        <v>#N/A</v>
      </c>
      <c r="BH21" s="120" t="e">
        <v>#N/A</v>
      </c>
      <c r="BI21" s="78" t="e">
        <v>#N/A</v>
      </c>
      <c r="BJ21" s="78" t="e">
        <v>#N/A</v>
      </c>
      <c r="BM21" s="4"/>
      <c r="BQ21" s="4"/>
      <c r="BU21" s="4"/>
    </row>
    <row r="22" customFormat="false" ht="15.75" hidden="false" customHeight="false" outlineLevel="0" collapsed="false">
      <c r="A22" s="78" t="e">
        <v>#N/A</v>
      </c>
      <c r="B22" s="120" t="e">
        <v>#N/A</v>
      </c>
      <c r="C22" s="78" t="e">
        <v>#N/A</v>
      </c>
      <c r="D22" s="78" t="e">
        <v>#N/A</v>
      </c>
      <c r="E22" s="120" t="e">
        <v>#N/A</v>
      </c>
      <c r="F22" s="78" t="e">
        <v>#N/A</v>
      </c>
      <c r="G22" s="78" t="e">
        <v>#N/A</v>
      </c>
      <c r="M22" s="4" t="s">
        <v>285</v>
      </c>
      <c r="N22" s="120" t="n">
        <f aca="false">SUM(N12:N13)</f>
        <v>0</v>
      </c>
      <c r="Q22" s="4" t="s">
        <v>285</v>
      </c>
      <c r="R22" s="120" t="n">
        <f aca="false">SUM(R12:R13)</f>
        <v>0</v>
      </c>
      <c r="U22" s="4" t="s">
        <v>285</v>
      </c>
      <c r="V22" s="120" t="n">
        <f aca="false">SUM(V12:V13)</f>
        <v>0</v>
      </c>
      <c r="Y22" s="4" t="s">
        <v>285</v>
      </c>
      <c r="Z22" s="120" t="n">
        <f aca="false">SUM(Z12:Z13)</f>
        <v>0</v>
      </c>
      <c r="AC22" s="4" t="s">
        <v>285</v>
      </c>
      <c r="AD22" s="120" t="n">
        <f aca="false">SUM(AD12:AD13)</f>
        <v>0</v>
      </c>
      <c r="AG22" s="4" t="s">
        <v>285</v>
      </c>
      <c r="AH22" s="120" t="n">
        <f aca="false">SUM(AH12:AH13)</f>
        <v>0</v>
      </c>
      <c r="AK22" s="4" t="s">
        <v>285</v>
      </c>
      <c r="AL22" s="120" t="n">
        <f aca="false">SUM(AL12:AL13)</f>
        <v>0</v>
      </c>
      <c r="AN22" s="78" t="e">
        <v>#N/A</v>
      </c>
      <c r="AO22" s="120" t="str">
        <v>Мафия</v>
      </c>
      <c r="AP22" s="78" t="n">
        <v>2.5</v>
      </c>
      <c r="AQ22" s="78" t="n">
        <v>3.75</v>
      </c>
      <c r="AR22" s="78" t="n">
        <v>0</v>
      </c>
      <c r="AS22" s="78" t="n">
        <v>0</v>
      </c>
      <c r="AV22" s="78" t="e">
        <v>#N/A</v>
      </c>
      <c r="AW22" s="120" t="e">
        <v>#N/A</v>
      </c>
      <c r="AX22" s="78" t="e">
        <v>#N/A</v>
      </c>
      <c r="AY22" s="78" t="e">
        <v>#N/A</v>
      </c>
      <c r="AZ22" s="120" t="e">
        <v>#N/A</v>
      </c>
      <c r="BA22" s="78" t="e">
        <v>#N/A</v>
      </c>
      <c r="BB22" s="78" t="e">
        <v>#N/A</v>
      </c>
      <c r="BD22" s="78" t="e">
        <v>#N/A</v>
      </c>
      <c r="BE22" s="120" t="e">
        <v>#N/A</v>
      </c>
      <c r="BF22" s="78" t="e">
        <v>#N/A</v>
      </c>
      <c r="BG22" s="78" t="e">
        <v>#N/A</v>
      </c>
      <c r="BH22" s="120" t="e">
        <v>#N/A</v>
      </c>
      <c r="BI22" s="78" t="e">
        <v>#N/A</v>
      </c>
      <c r="BJ22" s="78" t="e">
        <v>#N/A</v>
      </c>
      <c r="BM22" s="4"/>
      <c r="BQ22" s="4"/>
      <c r="BU22" s="4"/>
    </row>
    <row r="23" customFormat="false" ht="15.75" hidden="false" customHeight="false" outlineLevel="0" collapsed="false">
      <c r="A23" s="78" t="e">
        <v>#N/A</v>
      </c>
      <c r="B23" s="120" t="e">
        <v>#N/A</v>
      </c>
      <c r="C23" s="78" t="e">
        <v>#N/A</v>
      </c>
      <c r="D23" s="78" t="e">
        <v>#N/A</v>
      </c>
      <c r="E23" s="120" t="e">
        <v>#N/A</v>
      </c>
      <c r="F23" s="78" t="e">
        <v>#N/A</v>
      </c>
      <c r="G23" s="78" t="e">
        <v>#N/A</v>
      </c>
      <c r="M23" s="4" t="s">
        <v>287</v>
      </c>
      <c r="N23" s="120" t="n">
        <f aca="false">SUM(N12,N8)</f>
        <v>0</v>
      </c>
      <c r="Q23" s="4" t="s">
        <v>287</v>
      </c>
      <c r="R23" s="120" t="n">
        <f aca="false">SUM(R12,R8)</f>
        <v>0</v>
      </c>
      <c r="U23" s="4" t="s">
        <v>287</v>
      </c>
      <c r="V23" s="120" t="n">
        <f aca="false">SUM(V12,V8)</f>
        <v>0</v>
      </c>
      <c r="Y23" s="4" t="s">
        <v>287</v>
      </c>
      <c r="Z23" s="120" t="n">
        <f aca="false">SUM(Z12,Z8)</f>
        <v>0</v>
      </c>
      <c r="AC23" s="4" t="s">
        <v>287</v>
      </c>
      <c r="AD23" s="120" t="n">
        <f aca="false">SUM(AD12,AD8)</f>
        <v>0</v>
      </c>
      <c r="AG23" s="4" t="s">
        <v>287</v>
      </c>
      <c r="AH23" s="120" t="n">
        <f aca="false">SUM(AH12,AH8)</f>
        <v>0</v>
      </c>
      <c r="AK23" s="4" t="s">
        <v>287</v>
      </c>
      <c r="AL23" s="120" t="n">
        <f aca="false">SUM(AL12,AL8)</f>
        <v>0</v>
      </c>
      <c r="AN23" s="78" t="e">
        <v>#N/A</v>
      </c>
      <c r="AO23" s="120" t="str">
        <f aca="false" t="array" ref="AO23:AT32">'1 Полуфинал'!S6:X15</f>
        <v>Мафия</v>
      </c>
      <c r="AP23" s="78" t="n">
        <v>0</v>
      </c>
      <c r="AQ23" s="78" t="n">
        <v>3.25</v>
      </c>
      <c r="AR23" s="120" t="n">
        <v>0</v>
      </c>
      <c r="AS23" s="78" t="n">
        <v>0</v>
      </c>
      <c r="AT23" s="78" t="n">
        <v>0</v>
      </c>
      <c r="AV23" s="78" t="e">
        <v>#N/A</v>
      </c>
      <c r="AW23" s="120" t="e">
        <v>#N/A</v>
      </c>
      <c r="AX23" s="78" t="e">
        <v>#N/A</v>
      </c>
      <c r="AY23" s="78" t="e">
        <v>#N/A</v>
      </c>
      <c r="AZ23" s="120" t="e">
        <v>#N/A</v>
      </c>
      <c r="BA23" s="78" t="e">
        <v>#N/A</v>
      </c>
      <c r="BB23" s="78" t="e">
        <v>#N/A</v>
      </c>
      <c r="BD23" s="78" t="e">
        <v>#N/A</v>
      </c>
      <c r="BE23" s="120" t="e">
        <v>#N/A</v>
      </c>
      <c r="BF23" s="78" t="e">
        <v>#N/A</v>
      </c>
      <c r="BG23" s="78" t="e">
        <v>#N/A</v>
      </c>
      <c r="BH23" s="120" t="e">
        <v>#N/A</v>
      </c>
      <c r="BI23" s="78" t="e">
        <v>#N/A</v>
      </c>
      <c r="BJ23" s="78" t="e">
        <v>#N/A</v>
      </c>
      <c r="BM23" s="4" t="s">
        <v>285</v>
      </c>
      <c r="BN23" s="120" t="n">
        <f aca="false">SUM(BN13:BN14)</f>
        <v>0</v>
      </c>
      <c r="BQ23" s="4" t="s">
        <v>285</v>
      </c>
      <c r="BR23" s="120" t="n">
        <f aca="false">SUM(BR13:BR14)</f>
        <v>0</v>
      </c>
      <c r="BU23" s="4" t="s">
        <v>285</v>
      </c>
      <c r="BV23" s="120" t="n">
        <f aca="false">SUM(BV13:BV14)</f>
        <v>0</v>
      </c>
    </row>
    <row r="24" customFormat="false" ht="15.75" hidden="false" customHeight="false" outlineLevel="0" collapsed="false">
      <c r="A24" s="78" t="e">
        <v>#N/A</v>
      </c>
      <c r="B24" s="120" t="e">
        <v>#N/A</v>
      </c>
      <c r="C24" s="78" t="e">
        <v>#N/A</v>
      </c>
      <c r="D24" s="78" t="e">
        <v>#N/A</v>
      </c>
      <c r="E24" s="120" t="e">
        <v>#N/A</v>
      </c>
      <c r="F24" s="78" t="e">
        <v>#N/A</v>
      </c>
      <c r="G24" s="78" t="e">
        <v>#N/A</v>
      </c>
      <c r="M24" s="4" t="s">
        <v>288</v>
      </c>
      <c r="N24" s="120" t="n">
        <f aca="false">SUM(N9:N10)</f>
        <v>0</v>
      </c>
      <c r="Q24" s="4" t="s">
        <v>288</v>
      </c>
      <c r="R24" s="120" t="n">
        <f aca="false">SUM(R9:R10)</f>
        <v>0</v>
      </c>
      <c r="U24" s="4" t="s">
        <v>288</v>
      </c>
      <c r="V24" s="120" t="n">
        <f aca="false">SUM(V9:V10)</f>
        <v>0</v>
      </c>
      <c r="Y24" s="4" t="s">
        <v>288</v>
      </c>
      <c r="Z24" s="120" t="n">
        <f aca="false">SUM(Z9:Z10)</f>
        <v>0</v>
      </c>
      <c r="AC24" s="4" t="s">
        <v>288</v>
      </c>
      <c r="AD24" s="120" t="n">
        <f aca="false">SUM(AD9:AD10)</f>
        <v>0</v>
      </c>
      <c r="AG24" s="4" t="s">
        <v>288</v>
      </c>
      <c r="AH24" s="120" t="n">
        <f aca="false">SUM(AH9:AH10)</f>
        <v>0</v>
      </c>
      <c r="AK24" s="4" t="s">
        <v>288</v>
      </c>
      <c r="AL24" s="120" t="n">
        <f aca="false">SUM(AL9:AL10)</f>
        <v>0</v>
      </c>
      <c r="AN24" s="78" t="e">
        <v>#N/A</v>
      </c>
      <c r="AO24" s="120" t="str">
        <v>Мафия</v>
      </c>
      <c r="AP24" s="78" t="n">
        <v>0</v>
      </c>
      <c r="AQ24" s="78" t="n">
        <v>2.75</v>
      </c>
      <c r="AR24" s="120" t="n">
        <v>0</v>
      </c>
      <c r="AS24" s="78" t="n">
        <v>0</v>
      </c>
      <c r="AT24" s="78" t="n">
        <v>0</v>
      </c>
      <c r="AV24" s="78" t="e">
        <v>#N/A</v>
      </c>
      <c r="AW24" s="120" t="e">
        <v>#N/A</v>
      </c>
      <c r="AX24" s="78" t="e">
        <v>#N/A</v>
      </c>
      <c r="AY24" s="78" t="e">
        <v>#N/A</v>
      </c>
      <c r="AZ24" s="120" t="e">
        <v>#N/A</v>
      </c>
      <c r="BA24" s="78" t="e">
        <v>#N/A</v>
      </c>
      <c r="BB24" s="78" t="e">
        <v>#N/A</v>
      </c>
      <c r="BD24" s="78" t="e">
        <v>#N/A</v>
      </c>
      <c r="BE24" s="120" t="e">
        <v>#N/A</v>
      </c>
      <c r="BF24" s="78" t="e">
        <v>#N/A</v>
      </c>
      <c r="BG24" s="78" t="e">
        <v>#N/A</v>
      </c>
      <c r="BH24" s="120" t="e">
        <v>#N/A</v>
      </c>
      <c r="BI24" s="78" t="e">
        <v>#N/A</v>
      </c>
      <c r="BJ24" s="78" t="e">
        <v>#N/A</v>
      </c>
      <c r="BM24" s="4" t="s">
        <v>287</v>
      </c>
      <c r="BN24" s="120" t="n">
        <f aca="false">SUM(BN13,BN9)</f>
        <v>0</v>
      </c>
      <c r="BQ24" s="4" t="s">
        <v>287</v>
      </c>
      <c r="BR24" s="120" t="n">
        <f aca="false">SUM(BR13,BR9)</f>
        <v>0</v>
      </c>
      <c r="BU24" s="4" t="s">
        <v>287</v>
      </c>
      <c r="BV24" s="120" t="n">
        <f aca="false">SUM(BV13,BV9)</f>
        <v>0</v>
      </c>
    </row>
    <row r="25" customFormat="false" ht="15.75" hidden="false" customHeight="false" outlineLevel="0" collapsed="false">
      <c r="A25" s="78" t="e">
        <v>#N/A</v>
      </c>
      <c r="B25" s="120" t="e">
        <v>#N/A</v>
      </c>
      <c r="C25" s="78" t="e">
        <v>#N/A</v>
      </c>
      <c r="D25" s="78" t="e">
        <v>#N/A</v>
      </c>
      <c r="E25" s="120" t="e">
        <v>#N/A</v>
      </c>
      <c r="F25" s="78" t="e">
        <v>#N/A</v>
      </c>
      <c r="G25" s="78" t="e">
        <v>#N/A</v>
      </c>
      <c r="M25" s="4" t="s">
        <v>289</v>
      </c>
      <c r="N25" s="120" t="n">
        <f aca="false">SUM(N2:N4)</f>
        <v>0</v>
      </c>
      <c r="Q25" s="4" t="s">
        <v>289</v>
      </c>
      <c r="R25" s="120" t="n">
        <f aca="false">SUM(R2:R4)</f>
        <v>0</v>
      </c>
      <c r="U25" s="4" t="s">
        <v>289</v>
      </c>
      <c r="V25" s="120" t="n">
        <f aca="false">SUM(V2:V4)</f>
        <v>0</v>
      </c>
      <c r="Y25" s="4" t="s">
        <v>289</v>
      </c>
      <c r="Z25" s="120" t="n">
        <f aca="false">SUM(Z2:Z4)</f>
        <v>0</v>
      </c>
      <c r="AC25" s="4" t="s">
        <v>289</v>
      </c>
      <c r="AD25" s="120" t="n">
        <f aca="false">SUM(AD2:AD4)</f>
        <v>0</v>
      </c>
      <c r="AG25" s="4" t="s">
        <v>289</v>
      </c>
      <c r="AH25" s="120" t="n">
        <f aca="false">SUM(AH2:AH4)</f>
        <v>0</v>
      </c>
      <c r="AK25" s="4" t="s">
        <v>289</v>
      </c>
      <c r="AL25" s="120" t="n">
        <f aca="false">SUM(AL2:AL4)</f>
        <v>0</v>
      </c>
      <c r="AN25" s="78" t="e">
        <v>#N/A</v>
      </c>
      <c r="AO25" s="120" t="str">
        <v>Мирный</v>
      </c>
      <c r="AP25" s="78" t="n">
        <v>2.5</v>
      </c>
      <c r="AQ25" s="78" t="n">
        <v>3.5</v>
      </c>
      <c r="AR25" s="120" t="str">
        <v>У/Победа</v>
      </c>
      <c r="AS25" s="78" t="n">
        <v>0</v>
      </c>
      <c r="AT25" s="78" t="n">
        <v>0</v>
      </c>
      <c r="AV25" s="78" t="e">
        <v>#N/A</v>
      </c>
      <c r="AW25" s="120" t="e">
        <v>#N/A</v>
      </c>
      <c r="AX25" s="78" t="e">
        <v>#N/A</v>
      </c>
      <c r="AY25" s="78" t="e">
        <v>#N/A</v>
      </c>
      <c r="AZ25" s="120" t="e">
        <v>#N/A</v>
      </c>
      <c r="BA25" s="78" t="e">
        <v>#N/A</v>
      </c>
      <c r="BB25" s="78" t="e">
        <v>#N/A</v>
      </c>
      <c r="BD25" s="78" t="e">
        <v>#N/A</v>
      </c>
      <c r="BE25" s="120" t="e">
        <v>#N/A</v>
      </c>
      <c r="BF25" s="78" t="e">
        <v>#N/A</v>
      </c>
      <c r="BG25" s="78" t="e">
        <v>#N/A</v>
      </c>
      <c r="BH25" s="120" t="e">
        <v>#N/A</v>
      </c>
      <c r="BI25" s="78" t="e">
        <v>#N/A</v>
      </c>
      <c r="BJ25" s="78" t="e">
        <v>#N/A</v>
      </c>
      <c r="BM25" s="4" t="s">
        <v>288</v>
      </c>
      <c r="BN25" s="120" t="n">
        <f aca="false">SUM(BN10:BN11)</f>
        <v>0</v>
      </c>
      <c r="BQ25" s="4" t="s">
        <v>288</v>
      </c>
      <c r="BR25" s="120" t="n">
        <f aca="false">SUM(BR10:BR11)</f>
        <v>0</v>
      </c>
      <c r="BU25" s="4" t="s">
        <v>288</v>
      </c>
      <c r="BV25" s="120" t="n">
        <f aca="false">SUM(BV10:BV11)</f>
        <v>0</v>
      </c>
    </row>
    <row r="26" customFormat="false" ht="15.75" hidden="false" customHeight="false" outlineLevel="0" collapsed="false">
      <c r="A26" s="78" t="e">
        <v>#N/A</v>
      </c>
      <c r="B26" s="120" t="e">
        <v>#N/A</v>
      </c>
      <c r="C26" s="78" t="e">
        <v>#N/A</v>
      </c>
      <c r="D26" s="78" t="e">
        <v>#N/A</v>
      </c>
      <c r="E26" s="120" t="e">
        <v>#N/A</v>
      </c>
      <c r="F26" s="78" t="e">
        <v>#N/A</v>
      </c>
      <c r="G26" s="78" t="e">
        <v>#N/A</v>
      </c>
      <c r="M26" s="4" t="s">
        <v>291</v>
      </c>
      <c r="N26" s="120" t="n">
        <f aca="false">SUM(N5:N6)</f>
        <v>0</v>
      </c>
      <c r="Q26" s="4" t="s">
        <v>291</v>
      </c>
      <c r="R26" s="120" t="n">
        <f aca="false">SUM(R5:R6)</f>
        <v>0</v>
      </c>
      <c r="U26" s="4" t="s">
        <v>291</v>
      </c>
      <c r="V26" s="120" t="n">
        <f aca="false">SUM(V5:V6)</f>
        <v>0</v>
      </c>
      <c r="Y26" s="4" t="s">
        <v>291</v>
      </c>
      <c r="Z26" s="120" t="n">
        <f aca="false">SUM(Z5:Z6)</f>
        <v>0</v>
      </c>
      <c r="AC26" s="4" t="s">
        <v>291</v>
      </c>
      <c r="AD26" s="120" t="n">
        <f aca="false">SUM(AD5:AD6)</f>
        <v>0</v>
      </c>
      <c r="AG26" s="4" t="s">
        <v>291</v>
      </c>
      <c r="AH26" s="120" t="n">
        <f aca="false">SUM(AH5:AH6)</f>
        <v>0</v>
      </c>
      <c r="AK26" s="4" t="s">
        <v>291</v>
      </c>
      <c r="AL26" s="120" t="n">
        <f aca="false">SUM(AL5:AL6)</f>
        <v>0</v>
      </c>
      <c r="AN26" s="78" t="e">
        <v>#N/A</v>
      </c>
      <c r="AO26" s="120" t="str">
        <v>Шериф</v>
      </c>
      <c r="AP26" s="78" t="n">
        <v>2.5</v>
      </c>
      <c r="AQ26" s="78" t="n">
        <v>2.75</v>
      </c>
      <c r="AR26" s="120" t="n">
        <v>0</v>
      </c>
      <c r="AS26" s="78" t="n">
        <v>0</v>
      </c>
      <c r="AT26" s="78" t="n">
        <v>0</v>
      </c>
      <c r="AV26" s="78" t="e">
        <v>#N/A</v>
      </c>
      <c r="AW26" s="120" t="e">
        <v>#N/A</v>
      </c>
      <c r="AX26" s="78" t="e">
        <v>#N/A</v>
      </c>
      <c r="AY26" s="78" t="e">
        <v>#N/A</v>
      </c>
      <c r="AZ26" s="120" t="e">
        <v>#N/A</v>
      </c>
      <c r="BA26" s="78" t="e">
        <v>#N/A</v>
      </c>
      <c r="BB26" s="78" t="e">
        <v>#N/A</v>
      </c>
      <c r="BD26" s="78" t="e">
        <v>#N/A</v>
      </c>
      <c r="BE26" s="120" t="e">
        <v>#N/A</v>
      </c>
      <c r="BF26" s="78" t="e">
        <v>#N/A</v>
      </c>
      <c r="BG26" s="78" t="e">
        <v>#N/A</v>
      </c>
      <c r="BH26" s="120" t="e">
        <v>#N/A</v>
      </c>
      <c r="BI26" s="78" t="e">
        <v>#N/A</v>
      </c>
      <c r="BJ26" s="78" t="e">
        <v>#N/A</v>
      </c>
      <c r="BM26" s="4" t="s">
        <v>289</v>
      </c>
      <c r="BN26" s="120" t="n">
        <f aca="false">SUM(BN3:BN5)</f>
        <v>0</v>
      </c>
      <c r="BQ26" s="4" t="s">
        <v>289</v>
      </c>
      <c r="BR26" s="120" t="n">
        <f aca="false">SUM(BR3:BR5)</f>
        <v>0</v>
      </c>
      <c r="BU26" s="4" t="s">
        <v>289</v>
      </c>
      <c r="BV26" s="120" t="n">
        <f aca="false">SUM(BV3:BV5)</f>
        <v>0</v>
      </c>
    </row>
    <row r="27" customFormat="false" ht="15.75" hidden="false" customHeight="false" outlineLevel="0" collapsed="false">
      <c r="A27" s="78" t="e">
        <v>#N/A</v>
      </c>
      <c r="B27" s="120" t="e">
        <v>#N/A</v>
      </c>
      <c r="C27" s="78" t="e">
        <v>#N/A</v>
      </c>
      <c r="D27" s="78" t="e">
        <v>#N/A</v>
      </c>
      <c r="E27" s="120" t="e">
        <v>#N/A</v>
      </c>
      <c r="F27" s="78" t="e">
        <v>#N/A</v>
      </c>
      <c r="G27" s="78" t="e">
        <v>#N/A</v>
      </c>
      <c r="AN27" s="78" t="e">
        <v>#N/A</v>
      </c>
      <c r="AO27" s="120" t="str">
        <v>Мирный</v>
      </c>
      <c r="AP27" s="78" t="n">
        <v>2.5</v>
      </c>
      <c r="AQ27" s="78" t="n">
        <v>2.5</v>
      </c>
      <c r="AR27" s="120" t="str">
        <v>У/Победа</v>
      </c>
      <c r="AS27" s="78" t="n">
        <v>0</v>
      </c>
      <c r="AT27" s="78" t="n">
        <v>0</v>
      </c>
      <c r="AV27" s="78" t="e">
        <v>#N/A</v>
      </c>
      <c r="AW27" s="120" t="e">
        <v>#N/A</v>
      </c>
      <c r="AX27" s="78" t="e">
        <v>#N/A</v>
      </c>
      <c r="AY27" s="78" t="e">
        <v>#N/A</v>
      </c>
      <c r="AZ27" s="120" t="e">
        <v>#N/A</v>
      </c>
      <c r="BA27" s="78" t="e">
        <v>#N/A</v>
      </c>
      <c r="BB27" s="78" t="e">
        <v>#N/A</v>
      </c>
      <c r="BD27" s="78" t="e">
        <v>#N/A</v>
      </c>
      <c r="BE27" s="120" t="e">
        <v>#N/A</v>
      </c>
      <c r="BF27" s="78" t="e">
        <v>#N/A</v>
      </c>
      <c r="BG27" s="78" t="e">
        <v>#N/A</v>
      </c>
      <c r="BH27" s="120" t="e">
        <v>#N/A</v>
      </c>
      <c r="BI27" s="78" t="e">
        <v>#N/A</v>
      </c>
      <c r="BJ27" s="78" t="e">
        <v>#N/A</v>
      </c>
      <c r="BM27" s="4" t="s">
        <v>291</v>
      </c>
      <c r="BN27" s="120" t="n">
        <f aca="false">SUM(BN6:BN7)</f>
        <v>0</v>
      </c>
      <c r="BQ27" s="4" t="s">
        <v>291</v>
      </c>
      <c r="BR27" s="120" t="n">
        <f aca="false">SUM(BR6:BR7)</f>
        <v>0</v>
      </c>
      <c r="BU27" s="4" t="s">
        <v>291</v>
      </c>
      <c r="BV27" s="120" t="n">
        <f aca="false">SUM(BV6:BV7)</f>
        <v>0</v>
      </c>
    </row>
    <row r="28" customFormat="false" ht="15.75" hidden="false" customHeight="false" outlineLevel="0" collapsed="false">
      <c r="A28" s="78" t="e">
        <v>#N/A</v>
      </c>
      <c r="B28" s="120" t="e">
        <v>#N/A</v>
      </c>
      <c r="C28" s="78" t="e">
        <v>#N/A</v>
      </c>
      <c r="D28" s="78" t="e">
        <v>#N/A</v>
      </c>
      <c r="E28" s="120" t="e">
        <v>#N/A</v>
      </c>
      <c r="F28" s="78" t="e">
        <v>#N/A</v>
      </c>
      <c r="G28" s="78" t="e">
        <v>#N/A</v>
      </c>
      <c r="AN28" s="78" t="e">
        <v>#N/A</v>
      </c>
      <c r="AO28" s="120" t="str">
        <v>Мирный</v>
      </c>
      <c r="AP28" s="78" t="n">
        <v>2.5</v>
      </c>
      <c r="AQ28" s="78" t="n">
        <v>3.25</v>
      </c>
      <c r="AR28" s="120" t="str">
        <v>У/Победа</v>
      </c>
      <c r="AS28" s="78" t="n">
        <v>0</v>
      </c>
      <c r="AT28" s="78" t="n">
        <v>0</v>
      </c>
      <c r="AV28" s="78" t="e">
        <v>#N/A</v>
      </c>
      <c r="AW28" s="120" t="e">
        <v>#N/A</v>
      </c>
      <c r="AX28" s="78" t="e">
        <v>#N/A</v>
      </c>
      <c r="AY28" s="78" t="e">
        <v>#N/A</v>
      </c>
      <c r="AZ28" s="120" t="e">
        <v>#N/A</v>
      </c>
      <c r="BA28" s="78" t="e">
        <v>#N/A</v>
      </c>
      <c r="BB28" s="78" t="e">
        <v>#N/A</v>
      </c>
      <c r="BD28" s="78" t="e">
        <v>#N/A</v>
      </c>
      <c r="BE28" s="120" t="e">
        <v>#N/A</v>
      </c>
      <c r="BF28" s="78" t="e">
        <v>#N/A</v>
      </c>
      <c r="BG28" s="78" t="e">
        <v>#N/A</v>
      </c>
      <c r="BH28" s="120" t="e">
        <v>#N/A</v>
      </c>
      <c r="BI28" s="78" t="e">
        <v>#N/A</v>
      </c>
      <c r="BJ28" s="78" t="e">
        <v>#N/A</v>
      </c>
    </row>
    <row r="29" customFormat="false" ht="15.75" hidden="false" customHeight="false" outlineLevel="0" collapsed="false">
      <c r="A29" s="78" t="e">
        <v>#N/A</v>
      </c>
      <c r="B29" s="120" t="e">
        <v>#N/A</v>
      </c>
      <c r="C29" s="78" t="e">
        <v>#N/A</v>
      </c>
      <c r="D29" s="78" t="e">
        <v>#N/A</v>
      </c>
      <c r="E29" s="120" t="e">
        <v>#N/A</v>
      </c>
      <c r="F29" s="78" t="e">
        <v>#N/A</v>
      </c>
      <c r="G29" s="78" t="e">
        <v>#N/A</v>
      </c>
      <c r="AN29" s="78" t="e">
        <v>#N/A</v>
      </c>
      <c r="AO29" s="120" t="str">
        <v>Мирный</v>
      </c>
      <c r="AP29" s="78" t="n">
        <v>2.5</v>
      </c>
      <c r="AQ29" s="78" t="n">
        <v>3</v>
      </c>
      <c r="AR29" s="120" t="str">
        <v>ПУ</v>
      </c>
      <c r="AS29" s="78" t="n">
        <v>0.5</v>
      </c>
      <c r="AT29" s="78" t="n">
        <v>1</v>
      </c>
      <c r="AV29" s="78" t="e">
        <v>#N/A</v>
      </c>
      <c r="AW29" s="120" t="e">
        <v>#N/A</v>
      </c>
      <c r="AX29" s="78" t="e">
        <v>#N/A</v>
      </c>
      <c r="AY29" s="78" t="e">
        <v>#N/A</v>
      </c>
      <c r="AZ29" s="120" t="e">
        <v>#N/A</v>
      </c>
      <c r="BA29" s="78" t="e">
        <v>#N/A</v>
      </c>
      <c r="BB29" s="78" t="e">
        <v>#N/A</v>
      </c>
      <c r="BD29" s="78" t="e">
        <v>#N/A</v>
      </c>
      <c r="BE29" s="120" t="e">
        <v>#N/A</v>
      </c>
      <c r="BF29" s="78" t="e">
        <v>#N/A</v>
      </c>
      <c r="BG29" s="78" t="e">
        <v>#N/A</v>
      </c>
      <c r="BH29" s="120" t="e">
        <v>#N/A</v>
      </c>
      <c r="BI29" s="78" t="e">
        <v>#N/A</v>
      </c>
      <c r="BJ29" s="78" t="e">
        <v>#N/A</v>
      </c>
    </row>
    <row r="30" customFormat="false" ht="15.75" hidden="false" customHeight="false" outlineLevel="0" collapsed="false">
      <c r="A30" s="78" t="e">
        <v>#N/A</v>
      </c>
      <c r="B30" s="120" t="e">
        <v>#N/A</v>
      </c>
      <c r="C30" s="78" t="e">
        <v>#N/A</v>
      </c>
      <c r="D30" s="78" t="e">
        <v>#N/A</v>
      </c>
      <c r="E30" s="120" t="e">
        <v>#N/A</v>
      </c>
      <c r="F30" s="78" t="e">
        <v>#N/A</v>
      </c>
      <c r="G30" s="78" t="e">
        <v>#N/A</v>
      </c>
      <c r="AN30" s="78" t="e">
        <v>#N/A</v>
      </c>
      <c r="AO30" s="120" t="str">
        <v>Дон</v>
      </c>
      <c r="AP30" s="78" t="n">
        <v>0</v>
      </c>
      <c r="AQ30" s="78" t="n">
        <v>1.25</v>
      </c>
      <c r="AR30" s="120" t="str">
        <v>У/Проигрыш</v>
      </c>
      <c r="AS30" s="78" t="n">
        <v>0</v>
      </c>
      <c r="AT30" s="78" t="n">
        <v>0</v>
      </c>
      <c r="AV30" s="78" t="e">
        <v>#N/A</v>
      </c>
      <c r="AW30" s="120" t="e">
        <v>#N/A</v>
      </c>
      <c r="AX30" s="78" t="e">
        <v>#N/A</v>
      </c>
      <c r="AY30" s="78" t="e">
        <v>#N/A</v>
      </c>
      <c r="AZ30" s="120" t="e">
        <v>#N/A</v>
      </c>
      <c r="BA30" s="78" t="e">
        <v>#N/A</v>
      </c>
      <c r="BB30" s="78" t="e">
        <v>#N/A</v>
      </c>
      <c r="BD30" s="78" t="e">
        <v>#N/A</v>
      </c>
      <c r="BE30" s="120" t="e">
        <v>#N/A</v>
      </c>
      <c r="BF30" s="78" t="e">
        <v>#N/A</v>
      </c>
      <c r="BG30" s="78" t="e">
        <v>#N/A</v>
      </c>
      <c r="BH30" s="120" t="e">
        <v>#N/A</v>
      </c>
      <c r="BI30" s="78" t="e">
        <v>#N/A</v>
      </c>
      <c r="BJ30" s="78" t="e">
        <v>#N/A</v>
      </c>
    </row>
    <row r="31" customFormat="false" ht="15.75" hidden="false" customHeight="false" outlineLevel="0" collapsed="false">
      <c r="A31" s="78" t="e">
        <v>#N/A</v>
      </c>
      <c r="B31" s="120" t="e">
        <v>#N/A</v>
      </c>
      <c r="C31" s="78" t="e">
        <v>#N/A</v>
      </c>
      <c r="D31" s="78" t="e">
        <v>#N/A</v>
      </c>
      <c r="E31" s="120" t="e">
        <v>#N/A</v>
      </c>
      <c r="F31" s="78" t="e">
        <v>#N/A</v>
      </c>
      <c r="G31" s="78" t="e">
        <v>#N/A</v>
      </c>
      <c r="AN31" s="78" t="e">
        <v>#N/A</v>
      </c>
      <c r="AO31" s="120" t="str">
        <v>Мирный</v>
      </c>
      <c r="AP31" s="78" t="n">
        <v>2.5</v>
      </c>
      <c r="AQ31" s="78" t="n">
        <v>2.75</v>
      </c>
      <c r="AR31" s="120" t="n">
        <v>0</v>
      </c>
      <c r="AS31" s="78" t="n">
        <v>0</v>
      </c>
      <c r="AT31" s="78" t="n">
        <v>0</v>
      </c>
      <c r="AV31" s="78" t="e">
        <v>#N/A</v>
      </c>
      <c r="AW31" s="120" t="e">
        <v>#N/A</v>
      </c>
      <c r="AX31" s="78" t="e">
        <v>#N/A</v>
      </c>
      <c r="AY31" s="78" t="e">
        <v>#N/A</v>
      </c>
      <c r="AZ31" s="120" t="e">
        <v>#N/A</v>
      </c>
      <c r="BA31" s="78" t="e">
        <v>#N/A</v>
      </c>
      <c r="BB31" s="78" t="e">
        <v>#N/A</v>
      </c>
      <c r="BD31" s="78" t="e">
        <v>#N/A</v>
      </c>
      <c r="BE31" s="120" t="e">
        <v>#N/A</v>
      </c>
      <c r="BF31" s="78" t="e">
        <v>#N/A</v>
      </c>
      <c r="BG31" s="78" t="e">
        <v>#N/A</v>
      </c>
      <c r="BH31" s="120" t="e">
        <v>#N/A</v>
      </c>
      <c r="BI31" s="78" t="e">
        <v>#N/A</v>
      </c>
      <c r="BJ31" s="78" t="e">
        <v>#N/A</v>
      </c>
    </row>
    <row r="32" customFormat="false" ht="15.75" hidden="false" customHeight="false" outlineLevel="0" collapsed="false">
      <c r="A32" s="78" t="e">
        <v>#N/A</v>
      </c>
      <c r="B32" s="120" t="e">
        <v>#N/A</v>
      </c>
      <c r="C32" s="78" t="e">
        <v>#N/A</v>
      </c>
      <c r="D32" s="78" t="e">
        <v>#N/A</v>
      </c>
      <c r="E32" s="120" t="e">
        <v>#N/A</v>
      </c>
      <c r="F32" s="78" t="e">
        <v>#N/A</v>
      </c>
      <c r="G32" s="78" t="e">
        <v>#N/A</v>
      </c>
      <c r="AN32" s="78" t="e">
        <v>#N/A</v>
      </c>
      <c r="AO32" s="120" t="str">
        <v>Мирный</v>
      </c>
      <c r="AP32" s="78" t="n">
        <v>2.5</v>
      </c>
      <c r="AQ32" s="78" t="n">
        <v>3.25</v>
      </c>
      <c r="AR32" s="120" t="n">
        <v>0</v>
      </c>
      <c r="AS32" s="78" t="n">
        <v>0</v>
      </c>
      <c r="AT32" s="78" t="n">
        <v>0</v>
      </c>
      <c r="AV32" s="78" t="e">
        <v>#N/A</v>
      </c>
      <c r="AW32" s="120" t="e">
        <v>#N/A</v>
      </c>
      <c r="AX32" s="78" t="e">
        <v>#N/A</v>
      </c>
      <c r="AY32" s="78" t="e">
        <v>#N/A</v>
      </c>
      <c r="AZ32" s="120" t="e">
        <v>#N/A</v>
      </c>
      <c r="BA32" s="78" t="e">
        <v>#N/A</v>
      </c>
      <c r="BB32" s="78" t="e">
        <v>#N/A</v>
      </c>
      <c r="BD32" s="78" t="e">
        <v>#N/A</v>
      </c>
      <c r="BE32" s="120" t="e">
        <v>#N/A</v>
      </c>
      <c r="BF32" s="78" t="e">
        <v>#N/A</v>
      </c>
      <c r="BG32" s="78" t="e">
        <v>#N/A</v>
      </c>
      <c r="BH32" s="120" t="e">
        <v>#N/A</v>
      </c>
      <c r="BI32" s="78" t="e">
        <v>#N/A</v>
      </c>
      <c r="BJ32" s="78" t="e">
        <v>#N/A</v>
      </c>
    </row>
    <row r="33" customFormat="false" ht="15.75" hidden="false" customHeight="false" outlineLevel="0" collapsed="false">
      <c r="A33" s="78" t="e">
        <v>#N/A</v>
      </c>
      <c r="B33" s="120" t="e">
        <v>#N/A</v>
      </c>
      <c r="C33" s="78" t="e">
        <v>#N/A</v>
      </c>
      <c r="D33" s="78" t="e">
        <v>#N/A</v>
      </c>
      <c r="E33" s="120" t="e">
        <v>#N/A</v>
      </c>
      <c r="F33" s="78" t="e">
        <v>#N/A</v>
      </c>
      <c r="G33" s="78" t="e">
        <v>#N/A</v>
      </c>
      <c r="AN33" s="78" t="e">
        <v>#N/A</v>
      </c>
      <c r="AO33" s="120" t="str">
        <f aca="false" t="array" ref="AO33:AT42">'1 Полуфинал'!Y6:AD15</f>
        <v>Мафия</v>
      </c>
      <c r="AP33" s="78" t="n">
        <v>0</v>
      </c>
      <c r="AQ33" s="78" t="n">
        <v>2.25</v>
      </c>
      <c r="AR33" s="120" t="n">
        <v>0</v>
      </c>
      <c r="AS33" s="78" t="n">
        <v>0</v>
      </c>
      <c r="AT33" s="78" t="n">
        <v>0</v>
      </c>
      <c r="AV33" s="78" t="e">
        <v>#N/A</v>
      </c>
      <c r="AW33" s="120" t="e">
        <v>#N/A</v>
      </c>
      <c r="AX33" s="78" t="e">
        <v>#N/A</v>
      </c>
      <c r="AY33" s="78" t="e">
        <v>#N/A</v>
      </c>
      <c r="AZ33" s="120" t="e">
        <v>#N/A</v>
      </c>
      <c r="BA33" s="78" t="e">
        <v>#N/A</v>
      </c>
      <c r="BB33" s="78" t="e">
        <v>#N/A</v>
      </c>
      <c r="BD33" s="78" t="e">
        <v>#N/A</v>
      </c>
      <c r="BE33" s="120" t="e">
        <v>#N/A</v>
      </c>
      <c r="BF33" s="78" t="e">
        <v>#N/A</v>
      </c>
      <c r="BG33" s="78" t="e">
        <v>#N/A</v>
      </c>
      <c r="BH33" s="120" t="e">
        <v>#N/A</v>
      </c>
      <c r="BI33" s="78" t="e">
        <v>#N/A</v>
      </c>
      <c r="BJ33" s="78" t="e">
        <v>#N/A</v>
      </c>
    </row>
    <row r="34" customFormat="false" ht="15.75" hidden="false" customHeight="false" outlineLevel="0" collapsed="false">
      <c r="A34" s="78" t="e">
        <v>#N/A</v>
      </c>
      <c r="B34" s="120" t="e">
        <v>#N/A</v>
      </c>
      <c r="C34" s="78" t="e">
        <v>#N/A</v>
      </c>
      <c r="D34" s="78" t="e">
        <v>#N/A</v>
      </c>
      <c r="E34" s="120" t="e">
        <v>#N/A</v>
      </c>
      <c r="F34" s="78" t="e">
        <v>#N/A</v>
      </c>
      <c r="G34" s="78" t="e">
        <v>#N/A</v>
      </c>
      <c r="AN34" s="78" t="e">
        <v>#N/A</v>
      </c>
      <c r="AO34" s="120" t="str">
        <v>Шериф</v>
      </c>
      <c r="AP34" s="78" t="n">
        <v>2.5</v>
      </c>
      <c r="AQ34" s="78" t="n">
        <v>4</v>
      </c>
      <c r="AR34" s="120" t="n">
        <v>0</v>
      </c>
      <c r="AS34" s="78" t="n">
        <v>0</v>
      </c>
      <c r="AT34" s="78" t="n">
        <v>0</v>
      </c>
      <c r="AV34" s="78" t="e">
        <v>#N/A</v>
      </c>
      <c r="AW34" s="120" t="e">
        <v>#N/A</v>
      </c>
      <c r="AX34" s="78" t="e">
        <v>#N/A</v>
      </c>
      <c r="AY34" s="78" t="e">
        <v>#N/A</v>
      </c>
      <c r="AZ34" s="120" t="e">
        <v>#N/A</v>
      </c>
      <c r="BA34" s="78" t="e">
        <v>#N/A</v>
      </c>
      <c r="BB34" s="78" t="e">
        <v>#N/A</v>
      </c>
      <c r="BD34" s="78" t="e">
        <v>#N/A</v>
      </c>
      <c r="BE34" s="120" t="e">
        <v>#N/A</v>
      </c>
      <c r="BF34" s="78" t="e">
        <v>#N/A</v>
      </c>
      <c r="BG34" s="78" t="e">
        <v>#N/A</v>
      </c>
      <c r="BH34" s="120" t="e">
        <v>#N/A</v>
      </c>
      <c r="BI34" s="78" t="e">
        <v>#N/A</v>
      </c>
      <c r="BJ34" s="78" t="e">
        <v>#N/A</v>
      </c>
    </row>
    <row r="35" customFormat="false" ht="15.75" hidden="false" customHeight="false" outlineLevel="0" collapsed="false">
      <c r="A35" s="78" t="e">
        <v>#N/A</v>
      </c>
      <c r="B35" s="120" t="e">
        <v>#N/A</v>
      </c>
      <c r="C35" s="78" t="e">
        <v>#N/A</v>
      </c>
      <c r="D35" s="78" t="e">
        <v>#N/A</v>
      </c>
      <c r="E35" s="120" t="e">
        <v>#N/A</v>
      </c>
      <c r="F35" s="78" t="e">
        <v>#N/A</v>
      </c>
      <c r="G35" s="78" t="e">
        <v>#N/A</v>
      </c>
      <c r="AN35" s="78" t="e">
        <v>#N/A</v>
      </c>
      <c r="AO35" s="120" t="str">
        <v>Мирный</v>
      </c>
      <c r="AP35" s="78" t="n">
        <v>2.5</v>
      </c>
      <c r="AQ35" s="78" t="n">
        <v>3.25</v>
      </c>
      <c r="AR35" s="120" t="n">
        <v>0</v>
      </c>
      <c r="AS35" s="78" t="n">
        <v>0</v>
      </c>
      <c r="AT35" s="78" t="n">
        <v>0</v>
      </c>
      <c r="AV35" s="78" t="e">
        <v>#N/A</v>
      </c>
      <c r="AW35" s="120" t="e">
        <v>#N/A</v>
      </c>
      <c r="AX35" s="78" t="e">
        <v>#N/A</v>
      </c>
      <c r="AY35" s="78" t="e">
        <v>#N/A</v>
      </c>
      <c r="AZ35" s="120" t="e">
        <v>#N/A</v>
      </c>
      <c r="BA35" s="78" t="e">
        <v>#N/A</v>
      </c>
      <c r="BB35" s="78" t="e">
        <v>#N/A</v>
      </c>
      <c r="BD35" s="78" t="e">
        <v>#N/A</v>
      </c>
      <c r="BE35" s="120" t="e">
        <v>#N/A</v>
      </c>
      <c r="BF35" s="78" t="e">
        <v>#N/A</v>
      </c>
      <c r="BG35" s="78" t="e">
        <v>#N/A</v>
      </c>
      <c r="BH35" s="120" t="e">
        <v>#N/A</v>
      </c>
      <c r="BI35" s="78" t="e">
        <v>#N/A</v>
      </c>
      <c r="BJ35" s="78" t="e">
        <v>#N/A</v>
      </c>
    </row>
    <row r="36" customFormat="false" ht="15.75" hidden="false" customHeight="false" outlineLevel="0" collapsed="false">
      <c r="A36" s="78" t="e">
        <v>#N/A</v>
      </c>
      <c r="B36" s="120" t="e">
        <v>#N/A</v>
      </c>
      <c r="C36" s="78" t="e">
        <v>#N/A</v>
      </c>
      <c r="D36" s="78" t="e">
        <v>#N/A</v>
      </c>
      <c r="E36" s="120" t="e">
        <v>#N/A</v>
      </c>
      <c r="F36" s="78" t="e">
        <v>#N/A</v>
      </c>
      <c r="G36" s="78" t="e">
        <v>#N/A</v>
      </c>
      <c r="AN36" s="78" t="e">
        <v>#N/A</v>
      </c>
      <c r="AO36" s="120" t="str">
        <v>Мирный</v>
      </c>
      <c r="AP36" s="78" t="n">
        <v>2.5</v>
      </c>
      <c r="AQ36" s="78" t="n">
        <v>3.25</v>
      </c>
      <c r="AR36" s="120" t="n">
        <v>0</v>
      </c>
      <c r="AS36" s="78" t="n">
        <v>0</v>
      </c>
      <c r="AT36" s="78" t="n">
        <v>0</v>
      </c>
      <c r="AV36" s="78" t="e">
        <v>#N/A</v>
      </c>
      <c r="AW36" s="120" t="e">
        <v>#N/A</v>
      </c>
      <c r="AX36" s="78" t="e">
        <v>#N/A</v>
      </c>
      <c r="AY36" s="78" t="e">
        <v>#N/A</v>
      </c>
      <c r="AZ36" s="120" t="e">
        <v>#N/A</v>
      </c>
      <c r="BA36" s="78" t="e">
        <v>#N/A</v>
      </c>
      <c r="BB36" s="78" t="e">
        <v>#N/A</v>
      </c>
      <c r="BD36" s="78" t="e">
        <v>#N/A</v>
      </c>
      <c r="BE36" s="120" t="e">
        <v>#N/A</v>
      </c>
      <c r="BF36" s="78" t="e">
        <v>#N/A</v>
      </c>
      <c r="BG36" s="78" t="e">
        <v>#N/A</v>
      </c>
      <c r="BH36" s="120" t="e">
        <v>#N/A</v>
      </c>
      <c r="BI36" s="78" t="e">
        <v>#N/A</v>
      </c>
      <c r="BJ36" s="78" t="e">
        <v>#N/A</v>
      </c>
    </row>
    <row r="37" customFormat="false" ht="15.75" hidden="false" customHeight="false" outlineLevel="0" collapsed="false">
      <c r="A37" s="78" t="e">
        <v>#N/A</v>
      </c>
      <c r="B37" s="120" t="e">
        <v>#N/A</v>
      </c>
      <c r="C37" s="78" t="e">
        <v>#N/A</v>
      </c>
      <c r="D37" s="78" t="e">
        <v>#N/A</v>
      </c>
      <c r="E37" s="120" t="e">
        <v>#N/A</v>
      </c>
      <c r="F37" s="78" t="e">
        <v>#N/A</v>
      </c>
      <c r="G37" s="78" t="e">
        <v>#N/A</v>
      </c>
      <c r="AN37" s="78" t="e">
        <v>#N/A</v>
      </c>
      <c r="AO37" s="120" t="str">
        <v>Мирный</v>
      </c>
      <c r="AP37" s="78" t="n">
        <v>2.5</v>
      </c>
      <c r="AQ37" s="78" t="n">
        <v>3.75</v>
      </c>
      <c r="AR37" s="120" t="n">
        <v>0</v>
      </c>
      <c r="AS37" s="78" t="n">
        <v>0</v>
      </c>
      <c r="AT37" s="78" t="n">
        <v>0</v>
      </c>
      <c r="AV37" s="78" t="e">
        <v>#N/A</v>
      </c>
      <c r="AW37" s="120" t="e">
        <v>#N/A</v>
      </c>
      <c r="AX37" s="78" t="e">
        <v>#N/A</v>
      </c>
      <c r="AY37" s="78" t="e">
        <v>#N/A</v>
      </c>
      <c r="AZ37" s="120" t="e">
        <v>#N/A</v>
      </c>
      <c r="BA37" s="78" t="e">
        <v>#N/A</v>
      </c>
      <c r="BB37" s="78" t="e">
        <v>#N/A</v>
      </c>
      <c r="BD37" s="78" t="e">
        <v>#N/A</v>
      </c>
      <c r="BE37" s="120" t="e">
        <v>#N/A</v>
      </c>
      <c r="BF37" s="78" t="e">
        <v>#N/A</v>
      </c>
      <c r="BG37" s="78" t="e">
        <v>#N/A</v>
      </c>
      <c r="BH37" s="120" t="e">
        <v>#N/A</v>
      </c>
      <c r="BI37" s="78" t="e">
        <v>#N/A</v>
      </c>
      <c r="BJ37" s="78" t="e">
        <v>#N/A</v>
      </c>
    </row>
    <row r="38" customFormat="false" ht="15.75" hidden="false" customHeight="false" outlineLevel="0" collapsed="false">
      <c r="A38" s="78" t="e">
        <v>#N/A</v>
      </c>
      <c r="B38" s="120" t="e">
        <v>#N/A</v>
      </c>
      <c r="C38" s="78" t="e">
        <v>#N/A</v>
      </c>
      <c r="D38" s="78" t="e">
        <v>#N/A</v>
      </c>
      <c r="E38" s="120" t="e">
        <v>#N/A</v>
      </c>
      <c r="F38" s="78" t="e">
        <v>#N/A</v>
      </c>
      <c r="G38" s="78" t="e">
        <v>#N/A</v>
      </c>
      <c r="AN38" s="78" t="e">
        <v>#N/A</v>
      </c>
      <c r="AO38" s="120" t="str">
        <v>Мирный</v>
      </c>
      <c r="AP38" s="78" t="n">
        <v>2.5</v>
      </c>
      <c r="AQ38" s="78" t="n">
        <v>4.5</v>
      </c>
      <c r="AR38" s="120" t="n">
        <v>0</v>
      </c>
      <c r="AS38" s="78" t="n">
        <v>0</v>
      </c>
      <c r="AT38" s="78" t="n">
        <v>0</v>
      </c>
      <c r="AV38" s="78" t="e">
        <v>#N/A</v>
      </c>
      <c r="AW38" s="120" t="e">
        <v>#N/A</v>
      </c>
      <c r="AX38" s="78" t="e">
        <v>#N/A</v>
      </c>
      <c r="AY38" s="78" t="e">
        <v>#N/A</v>
      </c>
      <c r="AZ38" s="120" t="e">
        <v>#N/A</v>
      </c>
      <c r="BA38" s="78" t="e">
        <v>#N/A</v>
      </c>
      <c r="BB38" s="78" t="e">
        <v>#N/A</v>
      </c>
      <c r="BD38" s="78" t="e">
        <v>#N/A</v>
      </c>
      <c r="BE38" s="120" t="e">
        <v>#N/A</v>
      </c>
      <c r="BF38" s="78" t="e">
        <v>#N/A</v>
      </c>
      <c r="BG38" s="78" t="e">
        <v>#N/A</v>
      </c>
      <c r="BH38" s="120" t="e">
        <v>#N/A</v>
      </c>
      <c r="BI38" s="78" t="e">
        <v>#N/A</v>
      </c>
      <c r="BJ38" s="78" t="e">
        <v>#N/A</v>
      </c>
    </row>
    <row r="39" customFormat="false" ht="15.75" hidden="false" customHeight="false" outlineLevel="0" collapsed="false">
      <c r="A39" s="78" t="e">
        <v>#N/A</v>
      </c>
      <c r="B39" s="120" t="e">
        <v>#N/A</v>
      </c>
      <c r="C39" s="78" t="e">
        <v>#N/A</v>
      </c>
      <c r="D39" s="78" t="e">
        <v>#N/A</v>
      </c>
      <c r="E39" s="120" t="e">
        <v>#N/A</v>
      </c>
      <c r="F39" s="78" t="e">
        <v>#N/A</v>
      </c>
      <c r="G39" s="78" t="e">
        <v>#N/A</v>
      </c>
      <c r="AN39" s="78" t="e">
        <v>#N/A</v>
      </c>
      <c r="AO39" s="120" t="str">
        <v>Дон</v>
      </c>
      <c r="AP39" s="78" t="n">
        <v>0</v>
      </c>
      <c r="AQ39" s="78" t="n">
        <v>1</v>
      </c>
      <c r="AR39" s="120" t="n">
        <v>0</v>
      </c>
      <c r="AS39" s="78" t="n">
        <v>0</v>
      </c>
      <c r="AT39" s="78" t="n">
        <v>0</v>
      </c>
      <c r="AV39" s="78" t="e">
        <v>#N/A</v>
      </c>
      <c r="AW39" s="120" t="e">
        <v>#N/A</v>
      </c>
      <c r="AX39" s="78" t="e">
        <v>#N/A</v>
      </c>
      <c r="AY39" s="78" t="e">
        <v>#N/A</v>
      </c>
      <c r="AZ39" s="120" t="e">
        <v>#N/A</v>
      </c>
      <c r="BA39" s="78" t="e">
        <v>#N/A</v>
      </c>
      <c r="BB39" s="78" t="e">
        <v>#N/A</v>
      </c>
      <c r="BD39" s="78" t="e">
        <v>#N/A</v>
      </c>
      <c r="BE39" s="120" t="e">
        <v>#N/A</v>
      </c>
      <c r="BF39" s="78" t="e">
        <v>#N/A</v>
      </c>
      <c r="BG39" s="78" t="e">
        <v>#N/A</v>
      </c>
      <c r="BH39" s="120" t="e">
        <v>#N/A</v>
      </c>
      <c r="BI39" s="78" t="e">
        <v>#N/A</v>
      </c>
      <c r="BJ39" s="78" t="e">
        <v>#N/A</v>
      </c>
    </row>
    <row r="40" customFormat="false" ht="15.75" hidden="false" customHeight="false" outlineLevel="0" collapsed="false">
      <c r="A40" s="78" t="e">
        <v>#N/A</v>
      </c>
      <c r="B40" s="120" t="e">
        <v>#N/A</v>
      </c>
      <c r="C40" s="78" t="e">
        <v>#N/A</v>
      </c>
      <c r="D40" s="78" t="e">
        <v>#N/A</v>
      </c>
      <c r="E40" s="120" t="e">
        <v>#N/A</v>
      </c>
      <c r="F40" s="78" t="e">
        <v>#N/A</v>
      </c>
      <c r="G40" s="78" t="e">
        <v>#N/A</v>
      </c>
      <c r="AN40" s="78" t="e">
        <v>#N/A</v>
      </c>
      <c r="AO40" s="120" t="str">
        <v>Мафия</v>
      </c>
      <c r="AP40" s="78" t="n">
        <v>0</v>
      </c>
      <c r="AQ40" s="78" t="n">
        <v>2</v>
      </c>
      <c r="AR40" s="120" t="n">
        <v>0</v>
      </c>
      <c r="AS40" s="78" t="n">
        <v>0</v>
      </c>
      <c r="AT40" s="78" t="n">
        <v>0</v>
      </c>
      <c r="AV40" s="78" t="e">
        <v>#N/A</v>
      </c>
      <c r="AW40" s="120" t="e">
        <v>#N/A</v>
      </c>
      <c r="AX40" s="78" t="e">
        <v>#N/A</v>
      </c>
      <c r="AY40" s="78" t="e">
        <v>#N/A</v>
      </c>
      <c r="AZ40" s="120" t="e">
        <v>#N/A</v>
      </c>
      <c r="BA40" s="78" t="e">
        <v>#N/A</v>
      </c>
      <c r="BB40" s="78" t="e">
        <v>#N/A</v>
      </c>
      <c r="BD40" s="78" t="e">
        <v>#N/A</v>
      </c>
      <c r="BE40" s="120" t="e">
        <v>#N/A</v>
      </c>
      <c r="BF40" s="78" t="e">
        <v>#N/A</v>
      </c>
      <c r="BG40" s="78" t="e">
        <v>#N/A</v>
      </c>
      <c r="BH40" s="120" t="e">
        <v>#N/A</v>
      </c>
      <c r="BI40" s="78" t="e">
        <v>#N/A</v>
      </c>
      <c r="BJ40" s="78" t="e">
        <v>#N/A</v>
      </c>
    </row>
    <row r="41" customFormat="false" ht="15.75" hidden="false" customHeight="false" outlineLevel="0" collapsed="false">
      <c r="A41" s="78" t="e">
        <v>#N/A</v>
      </c>
      <c r="B41" s="120" t="e">
        <v>#N/A</v>
      </c>
      <c r="C41" s="78" t="e">
        <v>#N/A</v>
      </c>
      <c r="D41" s="78" t="e">
        <v>#N/A</v>
      </c>
      <c r="E41" s="120" t="e">
        <v>#N/A</v>
      </c>
      <c r="F41" s="78" t="e">
        <v>#N/A</v>
      </c>
      <c r="G41" s="78" t="e">
        <v>#N/A</v>
      </c>
      <c r="AN41" s="78" t="e">
        <v>#N/A</v>
      </c>
      <c r="AO41" s="120" t="str">
        <v>Мирный</v>
      </c>
      <c r="AP41" s="78" t="n">
        <v>2.5</v>
      </c>
      <c r="AQ41" s="78" t="n">
        <v>2.5</v>
      </c>
      <c r="AR41" s="120" t="str">
        <v>ПУ</v>
      </c>
      <c r="AS41" s="78" t="n">
        <v>0</v>
      </c>
      <c r="AT41" s="78" t="n">
        <v>0.5</v>
      </c>
      <c r="AV41" s="78" t="e">
        <v>#N/A</v>
      </c>
      <c r="AW41" s="120" t="e">
        <v>#N/A</v>
      </c>
      <c r="AX41" s="78" t="e">
        <v>#N/A</v>
      </c>
      <c r="AY41" s="78" t="e">
        <v>#N/A</v>
      </c>
      <c r="AZ41" s="120" t="e">
        <v>#N/A</v>
      </c>
      <c r="BA41" s="78" t="e">
        <v>#N/A</v>
      </c>
      <c r="BB41" s="78" t="e">
        <v>#N/A</v>
      </c>
      <c r="BD41" s="78" t="e">
        <v>#N/A</v>
      </c>
      <c r="BE41" s="120" t="e">
        <v>#N/A</v>
      </c>
      <c r="BF41" s="78" t="e">
        <v>#N/A</v>
      </c>
      <c r="BG41" s="78" t="e">
        <v>#N/A</v>
      </c>
      <c r="BH41" s="120" t="e">
        <v>#N/A</v>
      </c>
      <c r="BI41" s="78" t="e">
        <v>#N/A</v>
      </c>
      <c r="BJ41" s="78" t="e">
        <v>#N/A</v>
      </c>
    </row>
    <row r="42" customFormat="false" ht="15.75" hidden="false" customHeight="false" outlineLevel="0" collapsed="false">
      <c r="A42" s="78" t="e">
        <v>#N/A</v>
      </c>
      <c r="B42" s="120" t="e">
        <v>#N/A</v>
      </c>
      <c r="C42" s="78" t="e">
        <v>#N/A</v>
      </c>
      <c r="D42" s="78" t="e">
        <v>#N/A</v>
      </c>
      <c r="E42" s="120" t="e">
        <v>#N/A</v>
      </c>
      <c r="F42" s="78" t="e">
        <v>#N/A</v>
      </c>
      <c r="G42" s="78" t="e">
        <v>#N/A</v>
      </c>
      <c r="AN42" s="78" t="e">
        <v>#N/A</v>
      </c>
      <c r="AO42" s="120" t="str">
        <v>Мирный</v>
      </c>
      <c r="AP42" s="78" t="n">
        <v>2.5</v>
      </c>
      <c r="AQ42" s="78" t="n">
        <v>3.25</v>
      </c>
      <c r="AR42" s="120" t="n">
        <v>0</v>
      </c>
      <c r="AS42" s="78" t="n">
        <v>0</v>
      </c>
      <c r="AT42" s="78" t="n">
        <v>0</v>
      </c>
      <c r="AV42" s="78" t="e">
        <v>#N/A</v>
      </c>
      <c r="AW42" s="120" t="e">
        <v>#N/A</v>
      </c>
      <c r="AX42" s="78" t="e">
        <v>#N/A</v>
      </c>
      <c r="AY42" s="78" t="e">
        <v>#N/A</v>
      </c>
      <c r="AZ42" s="120" t="e">
        <v>#N/A</v>
      </c>
      <c r="BA42" s="78" t="e">
        <v>#N/A</v>
      </c>
      <c r="BB42" s="78" t="e">
        <v>#N/A</v>
      </c>
      <c r="BD42" s="78" t="e">
        <v>#N/A</v>
      </c>
      <c r="BE42" s="120" t="e">
        <v>#N/A</v>
      </c>
      <c r="BF42" s="78" t="e">
        <v>#N/A</v>
      </c>
      <c r="BG42" s="78" t="e">
        <v>#N/A</v>
      </c>
      <c r="BH42" s="120" t="e">
        <v>#N/A</v>
      </c>
      <c r="BI42" s="78" t="e">
        <v>#N/A</v>
      </c>
      <c r="BJ42" s="78" t="e">
        <v>#N/A</v>
      </c>
    </row>
    <row r="43" customFormat="false" ht="15.75" hidden="false" customHeight="false" outlineLevel="0" collapsed="false">
      <c r="A43" s="78" t="e">
        <v>#N/A</v>
      </c>
      <c r="B43" s="120" t="e">
        <v>#N/A</v>
      </c>
      <c r="C43" s="78" t="e">
        <v>#N/A</v>
      </c>
      <c r="D43" s="78" t="e">
        <v>#N/A</v>
      </c>
      <c r="E43" s="120" t="e">
        <v>#N/A</v>
      </c>
      <c r="F43" s="78" t="e">
        <v>#N/A</v>
      </c>
      <c r="G43" s="78" t="e">
        <v>#N/A</v>
      </c>
      <c r="AN43" s="78" t="e">
        <v>#N/A</v>
      </c>
      <c r="AO43" s="120" t="str">
        <f aca="false" t="array" ref="AO43:AT52">'1 Полуфинал'!AE6:AJ15</f>
        <v>Мирный</v>
      </c>
      <c r="AP43" s="78" t="n">
        <v>2.5</v>
      </c>
      <c r="AQ43" s="78" t="n">
        <v>4.25</v>
      </c>
      <c r="AR43" s="120" t="n">
        <v>0</v>
      </c>
      <c r="AS43" s="78" t="n">
        <v>0</v>
      </c>
      <c r="AT43" s="78" t="n">
        <v>0</v>
      </c>
      <c r="AV43" s="78" t="e">
        <v>#N/A</v>
      </c>
      <c r="AW43" s="120" t="e">
        <v>#N/A</v>
      </c>
      <c r="AX43" s="78" t="e">
        <v>#N/A</v>
      </c>
      <c r="AY43" s="78" t="e">
        <v>#N/A</v>
      </c>
      <c r="AZ43" s="120" t="e">
        <v>#N/A</v>
      </c>
      <c r="BA43" s="78" t="e">
        <v>#N/A</v>
      </c>
      <c r="BB43" s="78" t="e">
        <v>#N/A</v>
      </c>
      <c r="BD43" s="78" t="e">
        <v>#N/A</v>
      </c>
      <c r="BE43" s="120" t="e">
        <v>#N/A</v>
      </c>
      <c r="BF43" s="78" t="e">
        <v>#N/A</v>
      </c>
      <c r="BG43" s="78" t="e">
        <v>#N/A</v>
      </c>
      <c r="BH43" s="120" t="e">
        <v>#N/A</v>
      </c>
      <c r="BI43" s="78" t="e">
        <v>#N/A</v>
      </c>
      <c r="BJ43" s="78" t="e">
        <v>#N/A</v>
      </c>
    </row>
    <row r="44" customFormat="false" ht="15.75" hidden="false" customHeight="false" outlineLevel="0" collapsed="false">
      <c r="A44" s="78" t="e">
        <v>#N/A</v>
      </c>
      <c r="B44" s="120" t="e">
        <v>#N/A</v>
      </c>
      <c r="C44" s="78" t="e">
        <v>#N/A</v>
      </c>
      <c r="D44" s="78" t="e">
        <v>#N/A</v>
      </c>
      <c r="E44" s="120" t="e">
        <v>#N/A</v>
      </c>
      <c r="F44" s="78" t="e">
        <v>#N/A</v>
      </c>
      <c r="G44" s="78" t="e">
        <v>#N/A</v>
      </c>
      <c r="AN44" s="78" t="e">
        <v>#N/A</v>
      </c>
      <c r="AO44" s="120" t="str">
        <v>Мирный</v>
      </c>
      <c r="AP44" s="78" t="n">
        <v>2.5</v>
      </c>
      <c r="AQ44" s="78" t="n">
        <v>4.5</v>
      </c>
      <c r="AR44" s="120" t="str">
        <v>У/Победа</v>
      </c>
      <c r="AS44" s="78" t="n">
        <v>0</v>
      </c>
      <c r="AT44" s="78" t="n">
        <v>0</v>
      </c>
      <c r="AV44" s="78" t="e">
        <v>#N/A</v>
      </c>
      <c r="AW44" s="120" t="e">
        <v>#N/A</v>
      </c>
      <c r="AX44" s="78" t="e">
        <v>#N/A</v>
      </c>
      <c r="AY44" s="78" t="e">
        <v>#N/A</v>
      </c>
      <c r="AZ44" s="120" t="e">
        <v>#N/A</v>
      </c>
      <c r="BA44" s="78" t="e">
        <v>#N/A</v>
      </c>
      <c r="BB44" s="78" t="e">
        <v>#N/A</v>
      </c>
      <c r="BD44" s="78" t="e">
        <v>#N/A</v>
      </c>
      <c r="BE44" s="120" t="e">
        <v>#N/A</v>
      </c>
      <c r="BF44" s="78" t="e">
        <v>#N/A</v>
      </c>
      <c r="BG44" s="78" t="e">
        <v>#N/A</v>
      </c>
      <c r="BH44" s="120" t="e">
        <v>#N/A</v>
      </c>
      <c r="BI44" s="78" t="e">
        <v>#N/A</v>
      </c>
      <c r="BJ44" s="78" t="e">
        <v>#N/A</v>
      </c>
    </row>
    <row r="45" customFormat="false" ht="15.75" hidden="false" customHeight="false" outlineLevel="0" collapsed="false">
      <c r="A45" s="78" t="e">
        <v>#N/A</v>
      </c>
      <c r="B45" s="120" t="e">
        <v>#N/A</v>
      </c>
      <c r="C45" s="78" t="e">
        <v>#N/A</v>
      </c>
      <c r="D45" s="78" t="e">
        <v>#N/A</v>
      </c>
      <c r="E45" s="120" t="e">
        <v>#N/A</v>
      </c>
      <c r="F45" s="78" t="e">
        <v>#N/A</v>
      </c>
      <c r="G45" s="78" t="e">
        <v>#N/A</v>
      </c>
      <c r="AN45" s="78" t="e">
        <v>#N/A</v>
      </c>
      <c r="AO45" s="120" t="str">
        <v>Мирный</v>
      </c>
      <c r="AP45" s="78" t="n">
        <v>2.5</v>
      </c>
      <c r="AQ45" s="78" t="n">
        <v>3.25</v>
      </c>
      <c r="AR45" s="120" t="n">
        <v>0</v>
      </c>
      <c r="AS45" s="78" t="n">
        <v>0</v>
      </c>
      <c r="AT45" s="78" t="n">
        <v>0</v>
      </c>
      <c r="AV45" s="78" t="e">
        <v>#N/A</v>
      </c>
      <c r="AW45" s="120" t="e">
        <v>#N/A</v>
      </c>
      <c r="AX45" s="78" t="e">
        <v>#N/A</v>
      </c>
      <c r="AY45" s="78" t="e">
        <v>#N/A</v>
      </c>
      <c r="AZ45" s="120" t="e">
        <v>#N/A</v>
      </c>
      <c r="BA45" s="78" t="e">
        <v>#N/A</v>
      </c>
      <c r="BB45" s="78" t="e">
        <v>#N/A</v>
      </c>
      <c r="BD45" s="78" t="e">
        <v>#N/A</v>
      </c>
      <c r="BE45" s="120" t="e">
        <v>#N/A</v>
      </c>
      <c r="BF45" s="78" t="e">
        <v>#N/A</v>
      </c>
      <c r="BG45" s="78" t="e">
        <v>#N/A</v>
      </c>
      <c r="BH45" s="120" t="e">
        <v>#N/A</v>
      </c>
      <c r="BI45" s="78" t="e">
        <v>#N/A</v>
      </c>
      <c r="BJ45" s="78" t="e">
        <v>#N/A</v>
      </c>
    </row>
    <row r="46" customFormat="false" ht="15.75" hidden="false" customHeight="false" outlineLevel="0" collapsed="false">
      <c r="A46" s="78" t="e">
        <v>#N/A</v>
      </c>
      <c r="B46" s="120" t="e">
        <v>#N/A</v>
      </c>
      <c r="C46" s="78" t="e">
        <v>#N/A</v>
      </c>
      <c r="D46" s="78" t="e">
        <v>#N/A</v>
      </c>
      <c r="E46" s="120" t="e">
        <v>#N/A</v>
      </c>
      <c r="F46" s="78" t="e">
        <v>#N/A</v>
      </c>
      <c r="G46" s="78" t="e">
        <v>#N/A</v>
      </c>
      <c r="AN46" s="78" t="e">
        <v>#N/A</v>
      </c>
      <c r="AO46" s="120" t="str">
        <v>Мафия</v>
      </c>
      <c r="AP46" s="78" t="n">
        <v>0</v>
      </c>
      <c r="AQ46" s="78" t="n">
        <v>3.5</v>
      </c>
      <c r="AR46" s="120" t="str">
        <v>У/Проигрыш</v>
      </c>
      <c r="AS46" s="78" t="n">
        <v>0</v>
      </c>
      <c r="AT46" s="78" t="n">
        <v>0</v>
      </c>
      <c r="AV46" s="78" t="e">
        <v>#N/A</v>
      </c>
      <c r="AW46" s="120" t="e">
        <v>#N/A</v>
      </c>
      <c r="AX46" s="78" t="e">
        <v>#N/A</v>
      </c>
      <c r="AY46" s="78" t="e">
        <v>#N/A</v>
      </c>
      <c r="AZ46" s="120" t="e">
        <v>#N/A</v>
      </c>
      <c r="BA46" s="78" t="e">
        <v>#N/A</v>
      </c>
      <c r="BB46" s="78" t="e">
        <v>#N/A</v>
      </c>
      <c r="BD46" s="78" t="e">
        <v>#N/A</v>
      </c>
      <c r="BE46" s="120" t="e">
        <v>#N/A</v>
      </c>
      <c r="BF46" s="78" t="e">
        <v>#N/A</v>
      </c>
      <c r="BG46" s="78" t="e">
        <v>#N/A</v>
      </c>
      <c r="BH46" s="120" t="e">
        <v>#N/A</v>
      </c>
      <c r="BI46" s="78" t="e">
        <v>#N/A</v>
      </c>
      <c r="BJ46" s="78" t="e">
        <v>#N/A</v>
      </c>
    </row>
    <row r="47" customFormat="false" ht="15.75" hidden="false" customHeight="false" outlineLevel="0" collapsed="false">
      <c r="A47" s="78" t="e">
        <v>#N/A</v>
      </c>
      <c r="B47" s="120" t="e">
        <v>#N/A</v>
      </c>
      <c r="C47" s="78" t="e">
        <v>#N/A</v>
      </c>
      <c r="D47" s="78" t="e">
        <v>#N/A</v>
      </c>
      <c r="E47" s="120" t="e">
        <v>#N/A</v>
      </c>
      <c r="F47" s="78" t="e">
        <v>#N/A</v>
      </c>
      <c r="G47" s="78" t="e">
        <v>#N/A</v>
      </c>
      <c r="AN47" s="78" t="e">
        <v>#N/A</v>
      </c>
      <c r="AO47" s="120" t="str">
        <v>Дон</v>
      </c>
      <c r="AP47" s="78" t="n">
        <v>0</v>
      </c>
      <c r="AQ47" s="78" t="n">
        <v>1.5</v>
      </c>
      <c r="AR47" s="120" t="n">
        <v>0</v>
      </c>
      <c r="AS47" s="78" t="n">
        <v>0</v>
      </c>
      <c r="AT47" s="78" t="n">
        <v>0</v>
      </c>
      <c r="AV47" s="78" t="e">
        <v>#N/A</v>
      </c>
      <c r="AW47" s="120" t="e">
        <v>#N/A</v>
      </c>
      <c r="AX47" s="78" t="e">
        <v>#N/A</v>
      </c>
      <c r="AY47" s="78" t="e">
        <v>#N/A</v>
      </c>
      <c r="AZ47" s="120" t="e">
        <v>#N/A</v>
      </c>
      <c r="BA47" s="78" t="e">
        <v>#N/A</v>
      </c>
      <c r="BB47" s="78" t="e">
        <v>#N/A</v>
      </c>
      <c r="BD47" s="78" t="e">
        <v>#N/A</v>
      </c>
      <c r="BE47" s="120" t="e">
        <v>#N/A</v>
      </c>
      <c r="BF47" s="78" t="e">
        <v>#N/A</v>
      </c>
      <c r="BG47" s="78" t="e">
        <v>#N/A</v>
      </c>
      <c r="BH47" s="120" t="e">
        <v>#N/A</v>
      </c>
      <c r="BI47" s="78" t="e">
        <v>#N/A</v>
      </c>
      <c r="BJ47" s="78" t="e">
        <v>#N/A</v>
      </c>
    </row>
    <row r="48" customFormat="false" ht="15.75" hidden="false" customHeight="false" outlineLevel="0" collapsed="false">
      <c r="A48" s="78" t="e">
        <v>#N/A</v>
      </c>
      <c r="B48" s="120" t="e">
        <v>#N/A</v>
      </c>
      <c r="C48" s="78" t="e">
        <v>#N/A</v>
      </c>
      <c r="D48" s="78" t="e">
        <v>#N/A</v>
      </c>
      <c r="E48" s="120" t="e">
        <v>#N/A</v>
      </c>
      <c r="F48" s="78" t="e">
        <v>#N/A</v>
      </c>
      <c r="G48" s="78" t="e">
        <v>#N/A</v>
      </c>
      <c r="AN48" s="78" t="e">
        <v>#N/A</v>
      </c>
      <c r="AO48" s="120" t="str">
        <v>Шериф</v>
      </c>
      <c r="AP48" s="78" t="n">
        <v>2.5</v>
      </c>
      <c r="AQ48" s="78" t="n">
        <v>2</v>
      </c>
      <c r="AR48" s="120" t="n">
        <v>0</v>
      </c>
      <c r="AS48" s="78" t="n">
        <v>0</v>
      </c>
      <c r="AT48" s="78" t="n">
        <v>0</v>
      </c>
      <c r="AV48" s="78" t="e">
        <v>#N/A</v>
      </c>
      <c r="AW48" s="120" t="e">
        <v>#N/A</v>
      </c>
      <c r="AX48" s="78" t="e">
        <v>#N/A</v>
      </c>
      <c r="AY48" s="78" t="e">
        <v>#N/A</v>
      </c>
      <c r="AZ48" s="120" t="e">
        <v>#N/A</v>
      </c>
      <c r="BA48" s="78" t="e">
        <v>#N/A</v>
      </c>
      <c r="BB48" s="78" t="e">
        <v>#N/A</v>
      </c>
      <c r="BD48" s="78" t="e">
        <v>#N/A</v>
      </c>
      <c r="BE48" s="120" t="e">
        <v>#N/A</v>
      </c>
      <c r="BF48" s="78" t="e">
        <v>#N/A</v>
      </c>
      <c r="BG48" s="78" t="e">
        <v>#N/A</v>
      </c>
      <c r="BH48" s="120" t="e">
        <v>#N/A</v>
      </c>
      <c r="BI48" s="78" t="e">
        <v>#N/A</v>
      </c>
      <c r="BJ48" s="78" t="e">
        <v>#N/A</v>
      </c>
    </row>
    <row r="49" customFormat="false" ht="15.75" hidden="false" customHeight="false" outlineLevel="0" collapsed="false">
      <c r="A49" s="78" t="e">
        <v>#N/A</v>
      </c>
      <c r="B49" s="120" t="e">
        <v>#N/A</v>
      </c>
      <c r="C49" s="78" t="e">
        <v>#N/A</v>
      </c>
      <c r="D49" s="78" t="e">
        <v>#N/A</v>
      </c>
      <c r="E49" s="120" t="e">
        <v>#N/A</v>
      </c>
      <c r="F49" s="78" t="e">
        <v>#N/A</v>
      </c>
      <c r="G49" s="78" t="e">
        <v>#N/A</v>
      </c>
      <c r="AN49" s="78" t="e">
        <v>#N/A</v>
      </c>
      <c r="AO49" s="120" t="str">
        <v>Мирный</v>
      </c>
      <c r="AP49" s="78" t="n">
        <v>2.5</v>
      </c>
      <c r="AQ49" s="78" t="n">
        <v>3</v>
      </c>
      <c r="AR49" s="120" t="n">
        <v>0</v>
      </c>
      <c r="AS49" s="78" t="n">
        <v>0</v>
      </c>
      <c r="AT49" s="78" t="n">
        <v>0</v>
      </c>
      <c r="AV49" s="78" t="e">
        <v>#N/A</v>
      </c>
      <c r="AW49" s="120" t="e">
        <v>#N/A</v>
      </c>
      <c r="AX49" s="78" t="e">
        <v>#N/A</v>
      </c>
      <c r="AY49" s="78" t="e">
        <v>#N/A</v>
      </c>
      <c r="AZ49" s="120" t="e">
        <v>#N/A</v>
      </c>
      <c r="BA49" s="78" t="e">
        <v>#N/A</v>
      </c>
      <c r="BB49" s="78" t="e">
        <v>#N/A</v>
      </c>
      <c r="BD49" s="78" t="e">
        <v>#N/A</v>
      </c>
      <c r="BE49" s="120" t="e">
        <v>#N/A</v>
      </c>
      <c r="BF49" s="78" t="e">
        <v>#N/A</v>
      </c>
      <c r="BG49" s="78" t="e">
        <v>#N/A</v>
      </c>
      <c r="BH49" s="120" t="e">
        <v>#N/A</v>
      </c>
      <c r="BI49" s="78" t="e">
        <v>#N/A</v>
      </c>
      <c r="BJ49" s="78" t="e">
        <v>#N/A</v>
      </c>
    </row>
    <row r="50" customFormat="false" ht="15.75" hidden="false" customHeight="false" outlineLevel="0" collapsed="false">
      <c r="A50" s="78" t="e">
        <v>#N/A</v>
      </c>
      <c r="B50" s="120" t="e">
        <v>#N/A</v>
      </c>
      <c r="C50" s="78" t="e">
        <v>#N/A</v>
      </c>
      <c r="D50" s="78" t="e">
        <v>#N/A</v>
      </c>
      <c r="E50" s="120" t="e">
        <v>#N/A</v>
      </c>
      <c r="F50" s="78" t="e">
        <v>#N/A</v>
      </c>
      <c r="G50" s="78" t="e">
        <v>#N/A</v>
      </c>
      <c r="AN50" s="78" t="e">
        <v>#N/A</v>
      </c>
      <c r="AO50" s="120" t="str">
        <v>Мирный</v>
      </c>
      <c r="AP50" s="78" t="n">
        <v>2.5</v>
      </c>
      <c r="AQ50" s="78" t="n">
        <v>2.25</v>
      </c>
      <c r="AR50" s="120" t="str">
        <v>У/Победа</v>
      </c>
      <c r="AS50" s="78" t="n">
        <v>0</v>
      </c>
      <c r="AT50" s="78" t="n">
        <v>0</v>
      </c>
      <c r="AV50" s="78" t="e">
        <v>#N/A</v>
      </c>
      <c r="AW50" s="120" t="e">
        <v>#N/A</v>
      </c>
      <c r="AX50" s="78" t="e">
        <v>#N/A</v>
      </c>
      <c r="AY50" s="78" t="e">
        <v>#N/A</v>
      </c>
      <c r="AZ50" s="120" t="e">
        <v>#N/A</v>
      </c>
      <c r="BA50" s="78" t="e">
        <v>#N/A</v>
      </c>
      <c r="BB50" s="78" t="e">
        <v>#N/A</v>
      </c>
      <c r="BD50" s="78" t="e">
        <v>#N/A</v>
      </c>
      <c r="BE50" s="120" t="e">
        <v>#N/A</v>
      </c>
      <c r="BF50" s="78" t="e">
        <v>#N/A</v>
      </c>
      <c r="BG50" s="78" t="e">
        <v>#N/A</v>
      </c>
      <c r="BH50" s="120" t="e">
        <v>#N/A</v>
      </c>
      <c r="BI50" s="78" t="e">
        <v>#N/A</v>
      </c>
      <c r="BJ50" s="78" t="e">
        <v>#N/A</v>
      </c>
    </row>
    <row r="51" customFormat="false" ht="15.75" hidden="false" customHeight="false" outlineLevel="0" collapsed="false">
      <c r="A51" s="78" t="e">
        <v>#N/A</v>
      </c>
      <c r="B51" s="120" t="e">
        <v>#N/A</v>
      </c>
      <c r="C51" s="78" t="e">
        <v>#N/A</v>
      </c>
      <c r="D51" s="78" t="e">
        <v>#N/A</v>
      </c>
      <c r="E51" s="120" t="e">
        <v>#N/A</v>
      </c>
      <c r="F51" s="78" t="e">
        <v>#N/A</v>
      </c>
      <c r="G51" s="78" t="e">
        <v>#N/A</v>
      </c>
      <c r="AN51" s="78" t="e">
        <v>#N/A</v>
      </c>
      <c r="AO51" s="120" t="str">
        <v>Мирный</v>
      </c>
      <c r="AP51" s="78" t="n">
        <v>2.5</v>
      </c>
      <c r="AQ51" s="78" t="n">
        <v>2.5</v>
      </c>
      <c r="AR51" s="120" t="str">
        <v>ПУ</v>
      </c>
      <c r="AS51" s="78" t="n">
        <v>0</v>
      </c>
      <c r="AT51" s="78" t="n">
        <v>1</v>
      </c>
      <c r="AV51" s="78" t="e">
        <v>#N/A</v>
      </c>
      <c r="AW51" s="120" t="e">
        <v>#N/A</v>
      </c>
      <c r="AX51" s="78" t="e">
        <v>#N/A</v>
      </c>
      <c r="AY51" s="78" t="e">
        <v>#N/A</v>
      </c>
      <c r="AZ51" s="120" t="e">
        <v>#N/A</v>
      </c>
      <c r="BA51" s="78" t="e">
        <v>#N/A</v>
      </c>
      <c r="BB51" s="78" t="e">
        <v>#N/A</v>
      </c>
      <c r="BD51" s="78" t="e">
        <v>#N/A</v>
      </c>
      <c r="BE51" s="120" t="e">
        <v>#N/A</v>
      </c>
      <c r="BF51" s="78" t="e">
        <v>#N/A</v>
      </c>
      <c r="BG51" s="78" t="e">
        <v>#N/A</v>
      </c>
      <c r="BH51" s="120" t="e">
        <v>#N/A</v>
      </c>
      <c r="BI51" s="78" t="e">
        <v>#N/A</v>
      </c>
      <c r="BJ51" s="78" t="e">
        <v>#N/A</v>
      </c>
    </row>
    <row r="52" customFormat="false" ht="15.75" hidden="false" customHeight="false" outlineLevel="0" collapsed="false">
      <c r="A52" s="78" t="e">
        <v>#N/A</v>
      </c>
      <c r="B52" s="120" t="e">
        <v>#N/A</v>
      </c>
      <c r="C52" s="78" t="e">
        <v>#N/A</v>
      </c>
      <c r="D52" s="78" t="e">
        <v>#N/A</v>
      </c>
      <c r="E52" s="120" t="e">
        <v>#N/A</v>
      </c>
      <c r="F52" s="78" t="e">
        <v>#N/A</v>
      </c>
      <c r="G52" s="78" t="e">
        <v>#N/A</v>
      </c>
      <c r="AN52" s="78" t="e">
        <v>#N/A</v>
      </c>
      <c r="AO52" s="120" t="str">
        <v>Мафия</v>
      </c>
      <c r="AP52" s="78" t="n">
        <v>0</v>
      </c>
      <c r="AQ52" s="78" t="n">
        <v>1.75</v>
      </c>
      <c r="AR52" s="120" t="n">
        <v>0</v>
      </c>
      <c r="AS52" s="78" t="n">
        <v>0</v>
      </c>
      <c r="AT52" s="78" t="n">
        <v>0</v>
      </c>
      <c r="AV52" s="78" t="e">
        <v>#N/A</v>
      </c>
      <c r="AW52" s="120" t="e">
        <v>#N/A</v>
      </c>
      <c r="AX52" s="78" t="e">
        <v>#N/A</v>
      </c>
      <c r="AY52" s="78" t="e">
        <v>#N/A</v>
      </c>
      <c r="AZ52" s="120" t="e">
        <v>#N/A</v>
      </c>
      <c r="BA52" s="78" t="e">
        <v>#N/A</v>
      </c>
      <c r="BB52" s="78" t="e">
        <v>#N/A</v>
      </c>
      <c r="BD52" s="78" t="e">
        <v>#N/A</v>
      </c>
      <c r="BE52" s="120" t="e">
        <v>#N/A</v>
      </c>
      <c r="BF52" s="78" t="e">
        <v>#N/A</v>
      </c>
      <c r="BG52" s="78" t="e">
        <v>#N/A</v>
      </c>
      <c r="BH52" s="120" t="e">
        <v>#N/A</v>
      </c>
      <c r="BI52" s="78" t="e">
        <v>#N/A</v>
      </c>
      <c r="BJ52" s="78" t="e">
        <v>#N/A</v>
      </c>
    </row>
    <row r="53" customFormat="false" ht="15.75" hidden="false" customHeight="false" outlineLevel="0" collapsed="false">
      <c r="A53" s="78" t="e">
        <v>#N/A</v>
      </c>
      <c r="B53" s="120" t="e">
        <v>#N/A</v>
      </c>
      <c r="C53" s="78" t="e">
        <v>#N/A</v>
      </c>
      <c r="D53" s="78" t="e">
        <v>#N/A</v>
      </c>
      <c r="E53" s="120" t="e">
        <v>#N/A</v>
      </c>
      <c r="F53" s="78" t="e">
        <v>#N/A</v>
      </c>
      <c r="G53" s="78" t="e">
        <v>#N/A</v>
      </c>
      <c r="AN53" s="78" t="e">
        <v>#N/A</v>
      </c>
      <c r="AO53" s="120" t="str">
        <f aca="false" t="array" ref="AO53:AT62">'1 Полуфинал'!AK6:AP15</f>
        <v>Мирный</v>
      </c>
      <c r="AP53" s="78" t="n">
        <v>2.5</v>
      </c>
      <c r="AQ53" s="78" t="n">
        <v>2.5</v>
      </c>
      <c r="AR53" s="120" t="n">
        <v>0</v>
      </c>
      <c r="AS53" s="78" t="n">
        <v>0</v>
      </c>
      <c r="AT53" s="78" t="n">
        <v>0</v>
      </c>
      <c r="AV53" s="78" t="e">
        <v>#N/A</v>
      </c>
      <c r="AW53" s="120" t="e">
        <v>#N/A</v>
      </c>
      <c r="AX53" s="78" t="e">
        <v>#N/A</v>
      </c>
      <c r="AY53" s="78" t="e">
        <v>#N/A</v>
      </c>
      <c r="AZ53" s="120" t="e">
        <v>#N/A</v>
      </c>
      <c r="BA53" s="78" t="e">
        <v>#N/A</v>
      </c>
      <c r="BB53" s="78" t="e">
        <v>#N/A</v>
      </c>
      <c r="BD53" s="78" t="e">
        <v>#N/A</v>
      </c>
      <c r="BE53" s="120" t="e">
        <v>#N/A</v>
      </c>
      <c r="BF53" s="78" t="e">
        <v>#N/A</v>
      </c>
      <c r="BG53" s="78" t="e">
        <v>#N/A</v>
      </c>
      <c r="BH53" s="120" t="e">
        <v>#N/A</v>
      </c>
      <c r="BI53" s="78" t="e">
        <v>#N/A</v>
      </c>
      <c r="BJ53" s="78" t="e">
        <v>#N/A</v>
      </c>
    </row>
    <row r="54" customFormat="false" ht="15.75" hidden="false" customHeight="false" outlineLevel="0" collapsed="false">
      <c r="A54" s="78" t="e">
        <v>#N/A</v>
      </c>
      <c r="B54" s="120" t="e">
        <v>#N/A</v>
      </c>
      <c r="C54" s="78" t="e">
        <v>#N/A</v>
      </c>
      <c r="D54" s="78" t="e">
        <v>#N/A</v>
      </c>
      <c r="E54" s="120" t="e">
        <v>#N/A</v>
      </c>
      <c r="F54" s="78" t="e">
        <v>#N/A</v>
      </c>
      <c r="G54" s="78" t="e">
        <v>#N/A</v>
      </c>
      <c r="AN54" s="78" t="e">
        <v>#N/A</v>
      </c>
      <c r="AO54" s="120" t="str">
        <v>Мирный</v>
      </c>
      <c r="AP54" s="78" t="n">
        <v>2.5</v>
      </c>
      <c r="AQ54" s="78" t="n">
        <v>3</v>
      </c>
      <c r="AR54" s="120" t="str">
        <v>ПУ</v>
      </c>
      <c r="AS54" s="78" t="n">
        <v>0</v>
      </c>
      <c r="AT54" s="78" t="n">
        <v>0.5</v>
      </c>
      <c r="AV54" s="78" t="e">
        <v>#N/A</v>
      </c>
      <c r="AW54" s="120" t="e">
        <v>#N/A</v>
      </c>
      <c r="AX54" s="78" t="e">
        <v>#N/A</v>
      </c>
      <c r="AY54" s="78" t="e">
        <v>#N/A</v>
      </c>
      <c r="AZ54" s="120" t="e">
        <v>#N/A</v>
      </c>
      <c r="BA54" s="78" t="e">
        <v>#N/A</v>
      </c>
      <c r="BB54" s="78" t="e">
        <v>#N/A</v>
      </c>
      <c r="BD54" s="78" t="e">
        <v>#N/A</v>
      </c>
      <c r="BE54" s="120" t="e">
        <v>#N/A</v>
      </c>
      <c r="BF54" s="78" t="e">
        <v>#N/A</v>
      </c>
      <c r="BG54" s="78" t="e">
        <v>#N/A</v>
      </c>
      <c r="BH54" s="120" t="e">
        <v>#N/A</v>
      </c>
      <c r="BI54" s="78" t="e">
        <v>#N/A</v>
      </c>
      <c r="BJ54" s="78" t="e">
        <v>#N/A</v>
      </c>
    </row>
    <row r="55" customFormat="false" ht="15.75" hidden="false" customHeight="false" outlineLevel="0" collapsed="false">
      <c r="A55" s="78" t="e">
        <v>#N/A</v>
      </c>
      <c r="B55" s="120" t="e">
        <v>#N/A</v>
      </c>
      <c r="C55" s="78" t="e">
        <v>#N/A</v>
      </c>
      <c r="D55" s="78" t="e">
        <v>#N/A</v>
      </c>
      <c r="E55" s="120" t="e">
        <v>#N/A</v>
      </c>
      <c r="F55" s="78" t="e">
        <v>#N/A</v>
      </c>
      <c r="G55" s="78" t="e">
        <v>#N/A</v>
      </c>
      <c r="AN55" s="78" t="e">
        <v>#N/A</v>
      </c>
      <c r="AO55" s="120" t="str">
        <v>Мирный</v>
      </c>
      <c r="AP55" s="78" t="n">
        <v>2.5</v>
      </c>
      <c r="AQ55" s="78" t="n">
        <v>2.5</v>
      </c>
      <c r="AR55" s="120" t="n">
        <v>0</v>
      </c>
      <c r="AS55" s="78" t="n">
        <v>0</v>
      </c>
      <c r="AT55" s="78" t="n">
        <v>0</v>
      </c>
      <c r="AV55" s="78" t="e">
        <v>#N/A</v>
      </c>
      <c r="AW55" s="120" t="e">
        <v>#N/A</v>
      </c>
      <c r="AX55" s="78" t="e">
        <v>#N/A</v>
      </c>
      <c r="AY55" s="78" t="e">
        <v>#N/A</v>
      </c>
      <c r="AZ55" s="120" t="e">
        <v>#N/A</v>
      </c>
      <c r="BA55" s="78" t="e">
        <v>#N/A</v>
      </c>
      <c r="BB55" s="78" t="e">
        <v>#N/A</v>
      </c>
      <c r="BD55" s="78" t="e">
        <v>#N/A</v>
      </c>
      <c r="BE55" s="120" t="e">
        <v>#N/A</v>
      </c>
      <c r="BF55" s="78" t="e">
        <v>#N/A</v>
      </c>
      <c r="BG55" s="78" t="e">
        <v>#N/A</v>
      </c>
      <c r="BH55" s="120" t="e">
        <v>#N/A</v>
      </c>
      <c r="BI55" s="78" t="e">
        <v>#N/A</v>
      </c>
      <c r="BJ55" s="78" t="e">
        <v>#N/A</v>
      </c>
    </row>
    <row r="56" customFormat="false" ht="15.75" hidden="false" customHeight="false" outlineLevel="0" collapsed="false">
      <c r="A56" s="78" t="e">
        <v>#N/A</v>
      </c>
      <c r="B56" s="120" t="e">
        <v>#N/A</v>
      </c>
      <c r="C56" s="78" t="e">
        <v>#N/A</v>
      </c>
      <c r="D56" s="78" t="e">
        <v>#N/A</v>
      </c>
      <c r="E56" s="120" t="e">
        <v>#N/A</v>
      </c>
      <c r="F56" s="78" t="e">
        <v>#N/A</v>
      </c>
      <c r="G56" s="78" t="e">
        <v>#N/A</v>
      </c>
      <c r="AN56" s="78" t="e">
        <v>#N/A</v>
      </c>
      <c r="AO56" s="120" t="str">
        <v>Мафия</v>
      </c>
      <c r="AP56" s="78" t="n">
        <v>0</v>
      </c>
      <c r="AQ56" s="78" t="n">
        <v>2.5</v>
      </c>
      <c r="AR56" s="120" t="n">
        <v>0</v>
      </c>
      <c r="AS56" s="78" t="n">
        <v>0</v>
      </c>
      <c r="AT56" s="78" t="n">
        <v>0</v>
      </c>
      <c r="AV56" s="78" t="e">
        <v>#N/A</v>
      </c>
      <c r="AW56" s="120" t="e">
        <v>#N/A</v>
      </c>
      <c r="AX56" s="78" t="e">
        <v>#N/A</v>
      </c>
      <c r="AY56" s="78" t="e">
        <v>#N/A</v>
      </c>
      <c r="AZ56" s="120" t="e">
        <v>#N/A</v>
      </c>
      <c r="BA56" s="78" t="e">
        <v>#N/A</v>
      </c>
      <c r="BB56" s="78" t="e">
        <v>#N/A</v>
      </c>
      <c r="BD56" s="78" t="e">
        <v>#N/A</v>
      </c>
      <c r="BE56" s="120" t="e">
        <v>#N/A</v>
      </c>
      <c r="BF56" s="78" t="e">
        <v>#N/A</v>
      </c>
      <c r="BG56" s="78" t="e">
        <v>#N/A</v>
      </c>
      <c r="BH56" s="120" t="e">
        <v>#N/A</v>
      </c>
      <c r="BI56" s="78" t="e">
        <v>#N/A</v>
      </c>
      <c r="BJ56" s="78" t="e">
        <v>#N/A</v>
      </c>
    </row>
    <row r="57" customFormat="false" ht="15.75" hidden="false" customHeight="false" outlineLevel="0" collapsed="false">
      <c r="A57" s="78" t="e">
        <v>#N/A</v>
      </c>
      <c r="B57" s="120" t="e">
        <v>#N/A</v>
      </c>
      <c r="C57" s="78" t="e">
        <v>#N/A</v>
      </c>
      <c r="D57" s="78" t="e">
        <v>#N/A</v>
      </c>
      <c r="E57" s="120" t="e">
        <v>#N/A</v>
      </c>
      <c r="F57" s="78" t="e">
        <v>#N/A</v>
      </c>
      <c r="G57" s="78" t="e">
        <v>#N/A</v>
      </c>
      <c r="AN57" s="78" t="e">
        <v>#N/A</v>
      </c>
      <c r="AO57" s="120" t="str">
        <v>Дон</v>
      </c>
      <c r="AP57" s="78" t="n">
        <v>0</v>
      </c>
      <c r="AQ57" s="78" t="n">
        <v>1.5</v>
      </c>
      <c r="AR57" s="120" t="n">
        <v>0</v>
      </c>
      <c r="AS57" s="78" t="n">
        <v>0</v>
      </c>
      <c r="AT57" s="78" t="n">
        <v>0</v>
      </c>
      <c r="AV57" s="78" t="e">
        <v>#N/A</v>
      </c>
      <c r="AW57" s="120" t="e">
        <v>#N/A</v>
      </c>
      <c r="AX57" s="78" t="e">
        <v>#N/A</v>
      </c>
      <c r="AY57" s="78" t="e">
        <v>#N/A</v>
      </c>
      <c r="AZ57" s="120" t="e">
        <v>#N/A</v>
      </c>
      <c r="BA57" s="78" t="e">
        <v>#N/A</v>
      </c>
      <c r="BB57" s="78" t="e">
        <v>#N/A</v>
      </c>
      <c r="BD57" s="78" t="e">
        <v>#N/A</v>
      </c>
      <c r="BE57" s="120" t="e">
        <v>#N/A</v>
      </c>
      <c r="BF57" s="78" t="e">
        <v>#N/A</v>
      </c>
      <c r="BG57" s="78" t="e">
        <v>#N/A</v>
      </c>
      <c r="BH57" s="120" t="e">
        <v>#N/A</v>
      </c>
      <c r="BI57" s="78" t="e">
        <v>#N/A</v>
      </c>
      <c r="BJ57" s="78" t="e">
        <v>#N/A</v>
      </c>
    </row>
    <row r="58" customFormat="false" ht="15.75" hidden="false" customHeight="false" outlineLevel="0" collapsed="false">
      <c r="A58" s="78" t="e">
        <v>#N/A</v>
      </c>
      <c r="B58" s="120" t="e">
        <v>#N/A</v>
      </c>
      <c r="C58" s="78" t="e">
        <v>#N/A</v>
      </c>
      <c r="D58" s="78" t="e">
        <v>#N/A</v>
      </c>
      <c r="E58" s="120" t="e">
        <v>#N/A</v>
      </c>
      <c r="F58" s="78" t="e">
        <v>#N/A</v>
      </c>
      <c r="G58" s="78" t="e">
        <v>#N/A</v>
      </c>
      <c r="AN58" s="78" t="e">
        <v>#N/A</v>
      </c>
      <c r="AO58" s="120" t="str">
        <v>Мирный</v>
      </c>
      <c r="AP58" s="78" t="n">
        <v>2.5</v>
      </c>
      <c r="AQ58" s="78" t="n">
        <v>2.25</v>
      </c>
      <c r="AR58" s="120" t="n">
        <v>0</v>
      </c>
      <c r="AS58" s="78" t="n">
        <v>0</v>
      </c>
      <c r="AT58" s="78" t="n">
        <v>0</v>
      </c>
      <c r="AV58" s="78" t="e">
        <v>#N/A</v>
      </c>
      <c r="AW58" s="120" t="e">
        <v>#N/A</v>
      </c>
      <c r="AX58" s="78" t="e">
        <v>#N/A</v>
      </c>
      <c r="AY58" s="78" t="e">
        <v>#N/A</v>
      </c>
      <c r="AZ58" s="120" t="e">
        <v>#N/A</v>
      </c>
      <c r="BA58" s="78" t="e">
        <v>#N/A</v>
      </c>
      <c r="BB58" s="78" t="e">
        <v>#N/A</v>
      </c>
      <c r="BD58" s="78" t="e">
        <v>#N/A</v>
      </c>
      <c r="BE58" s="120" t="e">
        <v>#N/A</v>
      </c>
      <c r="BF58" s="78" t="e">
        <v>#N/A</v>
      </c>
      <c r="BG58" s="78" t="e">
        <v>#N/A</v>
      </c>
      <c r="BH58" s="120" t="e">
        <v>#N/A</v>
      </c>
      <c r="BI58" s="78" t="e">
        <v>#N/A</v>
      </c>
      <c r="BJ58" s="78" t="e">
        <v>#N/A</v>
      </c>
    </row>
    <row r="59" customFormat="false" ht="15.75" hidden="false" customHeight="false" outlineLevel="0" collapsed="false">
      <c r="A59" s="78" t="e">
        <v>#N/A</v>
      </c>
      <c r="B59" s="120" t="e">
        <v>#N/A</v>
      </c>
      <c r="C59" s="78" t="e">
        <v>#N/A</v>
      </c>
      <c r="D59" s="78" t="e">
        <v>#N/A</v>
      </c>
      <c r="E59" s="120" t="e">
        <v>#N/A</v>
      </c>
      <c r="F59" s="78" t="e">
        <v>#N/A</v>
      </c>
      <c r="G59" s="78" t="e">
        <v>#N/A</v>
      </c>
      <c r="AN59" s="78" t="e">
        <v>#N/A</v>
      </c>
      <c r="AO59" s="120" t="str">
        <v>Мирный</v>
      </c>
      <c r="AP59" s="78" t="n">
        <v>2.5</v>
      </c>
      <c r="AQ59" s="78" t="n">
        <v>2</v>
      </c>
      <c r="AR59" s="120" t="n">
        <v>0</v>
      </c>
      <c r="AS59" s="78" t="n">
        <v>0</v>
      </c>
      <c r="AT59" s="78" t="n">
        <v>0</v>
      </c>
      <c r="AV59" s="78" t="e">
        <v>#N/A</v>
      </c>
      <c r="AW59" s="120" t="e">
        <v>#N/A</v>
      </c>
      <c r="AX59" s="78" t="e">
        <v>#N/A</v>
      </c>
      <c r="AY59" s="78" t="e">
        <v>#N/A</v>
      </c>
      <c r="AZ59" s="120" t="e">
        <v>#N/A</v>
      </c>
      <c r="BA59" s="78" t="e">
        <v>#N/A</v>
      </c>
      <c r="BB59" s="78" t="e">
        <v>#N/A</v>
      </c>
      <c r="BD59" s="78" t="e">
        <v>#N/A</v>
      </c>
      <c r="BE59" s="120" t="e">
        <v>#N/A</v>
      </c>
      <c r="BF59" s="78" t="e">
        <v>#N/A</v>
      </c>
      <c r="BG59" s="78" t="e">
        <v>#N/A</v>
      </c>
      <c r="BH59" s="120" t="e">
        <v>#N/A</v>
      </c>
      <c r="BI59" s="78" t="e">
        <v>#N/A</v>
      </c>
      <c r="BJ59" s="78" t="e">
        <v>#N/A</v>
      </c>
    </row>
    <row r="60" customFormat="false" ht="15.75" hidden="false" customHeight="false" outlineLevel="0" collapsed="false">
      <c r="A60" s="78" t="e">
        <v>#N/A</v>
      </c>
      <c r="B60" s="120" t="e">
        <v>#N/A</v>
      </c>
      <c r="C60" s="78" t="e">
        <v>#N/A</v>
      </c>
      <c r="D60" s="78" t="e">
        <v>#N/A</v>
      </c>
      <c r="E60" s="120" t="e">
        <v>#N/A</v>
      </c>
      <c r="F60" s="78" t="e">
        <v>#N/A</v>
      </c>
      <c r="G60" s="78" t="e">
        <v>#N/A</v>
      </c>
      <c r="AN60" s="78" t="e">
        <v>#N/A</v>
      </c>
      <c r="AO60" s="120" t="str">
        <v>Мирный</v>
      </c>
      <c r="AP60" s="78" t="n">
        <v>2.5</v>
      </c>
      <c r="AQ60" s="78" t="n">
        <v>3</v>
      </c>
      <c r="AR60" s="120" t="n">
        <v>0</v>
      </c>
      <c r="AS60" s="78" t="n">
        <v>0</v>
      </c>
      <c r="AT60" s="78" t="n">
        <v>0</v>
      </c>
      <c r="AV60" s="78" t="e">
        <v>#N/A</v>
      </c>
      <c r="AW60" s="120" t="e">
        <v>#N/A</v>
      </c>
      <c r="AX60" s="78" t="e">
        <v>#N/A</v>
      </c>
      <c r="AY60" s="78" t="e">
        <v>#N/A</v>
      </c>
      <c r="AZ60" s="120" t="e">
        <v>#N/A</v>
      </c>
      <c r="BA60" s="78" t="e">
        <v>#N/A</v>
      </c>
      <c r="BB60" s="78" t="e">
        <v>#N/A</v>
      </c>
      <c r="BD60" s="78" t="e">
        <v>#N/A</v>
      </c>
      <c r="BE60" s="120" t="e">
        <v>#N/A</v>
      </c>
      <c r="BF60" s="78" t="e">
        <v>#N/A</v>
      </c>
      <c r="BG60" s="78" t="e">
        <v>#N/A</v>
      </c>
      <c r="BH60" s="120" t="e">
        <v>#N/A</v>
      </c>
      <c r="BI60" s="78" t="e">
        <v>#N/A</v>
      </c>
      <c r="BJ60" s="78" t="e">
        <v>#N/A</v>
      </c>
    </row>
    <row r="61" customFormat="false" ht="15.75" hidden="false" customHeight="false" outlineLevel="0" collapsed="false">
      <c r="A61" s="78" t="e">
        <v>#N/A</v>
      </c>
      <c r="B61" s="120" t="e">
        <v>#N/A</v>
      </c>
      <c r="C61" s="78" t="e">
        <v>#N/A</v>
      </c>
      <c r="D61" s="78" t="e">
        <v>#N/A</v>
      </c>
      <c r="E61" s="120" t="e">
        <v>#N/A</v>
      </c>
      <c r="F61" s="78" t="e">
        <v>#N/A</v>
      </c>
      <c r="G61" s="78" t="e">
        <v>#N/A</v>
      </c>
      <c r="AN61" s="78" t="e">
        <v>#N/A</v>
      </c>
      <c r="AO61" s="120" t="str">
        <v>Шериф</v>
      </c>
      <c r="AP61" s="78" t="n">
        <v>2.5</v>
      </c>
      <c r="AQ61" s="78" t="n">
        <v>5</v>
      </c>
      <c r="AR61" s="120" t="n">
        <v>0</v>
      </c>
      <c r="AS61" s="78" t="n">
        <v>0</v>
      </c>
      <c r="AT61" s="78" t="n">
        <v>0</v>
      </c>
      <c r="AV61" s="78" t="e">
        <v>#N/A</v>
      </c>
      <c r="AW61" s="120" t="e">
        <v>#N/A</v>
      </c>
      <c r="AX61" s="78" t="e">
        <v>#N/A</v>
      </c>
      <c r="AY61" s="78" t="e">
        <v>#N/A</v>
      </c>
      <c r="AZ61" s="120" t="e">
        <v>#N/A</v>
      </c>
      <c r="BA61" s="78" t="e">
        <v>#N/A</v>
      </c>
      <c r="BB61" s="78" t="e">
        <v>#N/A</v>
      </c>
      <c r="BD61" s="78" t="e">
        <v>#N/A</v>
      </c>
      <c r="BE61" s="120" t="e">
        <v>#N/A</v>
      </c>
      <c r="BF61" s="78" t="e">
        <v>#N/A</v>
      </c>
      <c r="BG61" s="78" t="e">
        <v>#N/A</v>
      </c>
      <c r="BH61" s="120" t="e">
        <v>#N/A</v>
      </c>
      <c r="BI61" s="78" t="e">
        <v>#N/A</v>
      </c>
      <c r="BJ61" s="78" t="e">
        <v>#N/A</v>
      </c>
    </row>
    <row r="62" customFormat="false" ht="15.75" hidden="false" customHeight="false" outlineLevel="0" collapsed="false">
      <c r="A62" s="78" t="e">
        <v>#N/A</v>
      </c>
      <c r="B62" s="120" t="e">
        <v>#N/A</v>
      </c>
      <c r="C62" s="78" t="e">
        <v>#N/A</v>
      </c>
      <c r="D62" s="78" t="e">
        <v>#N/A</v>
      </c>
      <c r="E62" s="120" t="e">
        <v>#N/A</v>
      </c>
      <c r="F62" s="78" t="e">
        <v>#N/A</v>
      </c>
      <c r="G62" s="78" t="e">
        <v>#N/A</v>
      </c>
      <c r="AN62" s="78" t="e">
        <v>#N/A</v>
      </c>
      <c r="AO62" s="120" t="str">
        <v>Мафия</v>
      </c>
      <c r="AP62" s="78" t="n">
        <v>0</v>
      </c>
      <c r="AQ62" s="78" t="n">
        <v>2.5</v>
      </c>
      <c r="AR62" s="120" t="n">
        <v>0</v>
      </c>
      <c r="AS62" s="78" t="n">
        <v>0</v>
      </c>
      <c r="AT62" s="78" t="n">
        <v>0</v>
      </c>
      <c r="AV62" s="78" t="e">
        <v>#N/A</v>
      </c>
      <c r="AW62" s="120" t="e">
        <v>#N/A</v>
      </c>
      <c r="AX62" s="78" t="e">
        <v>#N/A</v>
      </c>
      <c r="AY62" s="78" t="e">
        <v>#N/A</v>
      </c>
      <c r="AZ62" s="120" t="e">
        <v>#N/A</v>
      </c>
      <c r="BA62" s="78" t="e">
        <v>#N/A</v>
      </c>
      <c r="BB62" s="78" t="e">
        <v>#N/A</v>
      </c>
      <c r="BD62" s="78" t="e">
        <v>#N/A</v>
      </c>
      <c r="BE62" s="120" t="e">
        <v>#N/A</v>
      </c>
      <c r="BF62" s="78" t="e">
        <v>#N/A</v>
      </c>
      <c r="BG62" s="78" t="e">
        <v>#N/A</v>
      </c>
      <c r="BH62" s="120" t="e">
        <v>#N/A</v>
      </c>
      <c r="BI62" s="78" t="e">
        <v>#N/A</v>
      </c>
      <c r="BJ62" s="78" t="e">
        <v>#N/A</v>
      </c>
    </row>
    <row r="63" customFormat="false" ht="15.75" hidden="false" customHeight="false" outlineLevel="0" collapsed="false">
      <c r="A63" s="78" t="e">
        <v>#N/A</v>
      </c>
      <c r="B63" s="120" t="e">
        <v>#N/A</v>
      </c>
      <c r="C63" s="78" t="e">
        <v>#N/A</v>
      </c>
      <c r="D63" s="78" t="e">
        <v>#N/A</v>
      </c>
      <c r="E63" s="120" t="e">
        <v>#N/A</v>
      </c>
      <c r="F63" s="78" t="e">
        <v>#N/A</v>
      </c>
      <c r="G63" s="78" t="e">
        <v>#N/A</v>
      </c>
      <c r="AN63" s="78" t="e">
        <v>#N/A</v>
      </c>
      <c r="AO63" s="120" t="str">
        <f aca="false" t="array" ref="AO63:AT72">'1 Полуфинал'!AQ6:AV15</f>
        <v>Мирный</v>
      </c>
      <c r="AP63" s="78" t="n">
        <v>0</v>
      </c>
      <c r="AQ63" s="78" t="n">
        <v>4</v>
      </c>
      <c r="AR63" s="120" t="n">
        <v>0</v>
      </c>
      <c r="AS63" s="78" t="n">
        <v>0</v>
      </c>
      <c r="AT63" s="78" t="n">
        <v>0</v>
      </c>
      <c r="AV63" s="78" t="e">
        <v>#N/A</v>
      </c>
      <c r="AW63" s="120" t="e">
        <v>#N/A</v>
      </c>
      <c r="AX63" s="78" t="e">
        <v>#N/A</v>
      </c>
      <c r="AY63" s="78" t="e">
        <v>#N/A</v>
      </c>
      <c r="AZ63" s="120" t="e">
        <v>#N/A</v>
      </c>
      <c r="BA63" s="78" t="e">
        <v>#N/A</v>
      </c>
      <c r="BB63" s="78" t="e">
        <v>#N/A</v>
      </c>
      <c r="BD63" s="78" t="e">
        <v>#N/A</v>
      </c>
      <c r="BE63" s="120" t="e">
        <v>#N/A</v>
      </c>
      <c r="BF63" s="78" t="e">
        <v>#N/A</v>
      </c>
      <c r="BG63" s="78" t="e">
        <v>#N/A</v>
      </c>
      <c r="BH63" s="120" t="e">
        <v>#N/A</v>
      </c>
      <c r="BI63" s="78" t="e">
        <v>#N/A</v>
      </c>
      <c r="BJ63" s="78" t="e">
        <v>#N/A</v>
      </c>
    </row>
    <row r="64" customFormat="false" ht="15.75" hidden="false" customHeight="false" outlineLevel="0" collapsed="false">
      <c r="A64" s="78" t="e">
        <v>#N/A</v>
      </c>
      <c r="B64" s="120" t="e">
        <v>#N/A</v>
      </c>
      <c r="C64" s="78" t="e">
        <v>#N/A</v>
      </c>
      <c r="D64" s="78" t="e">
        <v>#N/A</v>
      </c>
      <c r="E64" s="120" t="e">
        <v>#N/A</v>
      </c>
      <c r="F64" s="78" t="e">
        <v>#N/A</v>
      </c>
      <c r="G64" s="78" t="e">
        <v>#N/A</v>
      </c>
      <c r="AN64" s="78" t="e">
        <v>#N/A</v>
      </c>
      <c r="AO64" s="120" t="str">
        <v>Мафия</v>
      </c>
      <c r="AP64" s="78" t="n">
        <v>2.5</v>
      </c>
      <c r="AQ64" s="78" t="n">
        <v>3.25</v>
      </c>
      <c r="AR64" s="120" t="n">
        <v>0</v>
      </c>
      <c r="AS64" s="78" t="n">
        <v>0</v>
      </c>
      <c r="AT64" s="78" t="n">
        <v>0</v>
      </c>
      <c r="AV64" s="78" t="e">
        <v>#N/A</v>
      </c>
      <c r="AW64" s="120" t="e">
        <v>#N/A</v>
      </c>
      <c r="AX64" s="78" t="e">
        <v>#N/A</v>
      </c>
      <c r="AY64" s="78" t="e">
        <v>#N/A</v>
      </c>
      <c r="AZ64" s="120" t="e">
        <v>#N/A</v>
      </c>
      <c r="BA64" s="78" t="e">
        <v>#N/A</v>
      </c>
      <c r="BB64" s="78" t="e">
        <v>#N/A</v>
      </c>
      <c r="BD64" s="78" t="e">
        <v>#N/A</v>
      </c>
      <c r="BE64" s="120" t="e">
        <v>#N/A</v>
      </c>
      <c r="BF64" s="78" t="e">
        <v>#N/A</v>
      </c>
      <c r="BG64" s="78" t="e">
        <v>#N/A</v>
      </c>
      <c r="BH64" s="120" t="e">
        <v>#N/A</v>
      </c>
      <c r="BI64" s="78" t="e">
        <v>#N/A</v>
      </c>
      <c r="BJ64" s="78" t="e">
        <v>#N/A</v>
      </c>
    </row>
    <row r="65" customFormat="false" ht="15.75" hidden="false" customHeight="false" outlineLevel="0" collapsed="false">
      <c r="A65" s="78" t="e">
        <v>#N/A</v>
      </c>
      <c r="B65" s="120" t="e">
        <v>#N/A</v>
      </c>
      <c r="C65" s="78" t="e">
        <v>#N/A</v>
      </c>
      <c r="D65" s="78" t="e">
        <v>#N/A</v>
      </c>
      <c r="E65" s="120" t="e">
        <v>#N/A</v>
      </c>
      <c r="F65" s="78" t="e">
        <v>#N/A</v>
      </c>
      <c r="G65" s="78" t="e">
        <v>#N/A</v>
      </c>
      <c r="AN65" s="78" t="e">
        <v>#N/A</v>
      </c>
      <c r="AO65" s="120" t="str">
        <v>Шериф</v>
      </c>
      <c r="AP65" s="78" t="n">
        <v>0</v>
      </c>
      <c r="AQ65" s="78" t="n">
        <v>2.75</v>
      </c>
      <c r="AR65" s="120" t="n">
        <v>0</v>
      </c>
      <c r="AS65" s="78" t="n">
        <v>0</v>
      </c>
      <c r="AT65" s="78" t="n">
        <v>0</v>
      </c>
      <c r="AV65" s="78" t="e">
        <v>#N/A</v>
      </c>
      <c r="AW65" s="120" t="e">
        <v>#N/A</v>
      </c>
      <c r="AX65" s="78" t="e">
        <v>#N/A</v>
      </c>
      <c r="AY65" s="78" t="e">
        <v>#N/A</v>
      </c>
      <c r="AZ65" s="120" t="e">
        <v>#N/A</v>
      </c>
      <c r="BA65" s="78" t="e">
        <v>#N/A</v>
      </c>
      <c r="BB65" s="78" t="e">
        <v>#N/A</v>
      </c>
      <c r="BD65" s="78" t="e">
        <v>#N/A</v>
      </c>
      <c r="BE65" s="120" t="e">
        <v>#N/A</v>
      </c>
      <c r="BF65" s="78" t="e">
        <v>#N/A</v>
      </c>
      <c r="BG65" s="78" t="e">
        <v>#N/A</v>
      </c>
      <c r="BH65" s="120" t="e">
        <v>#N/A</v>
      </c>
      <c r="BI65" s="78" t="e">
        <v>#N/A</v>
      </c>
      <c r="BJ65" s="78" t="e">
        <v>#N/A</v>
      </c>
    </row>
    <row r="66" customFormat="false" ht="15.75" hidden="false" customHeight="false" outlineLevel="0" collapsed="false">
      <c r="A66" s="78" t="e">
        <v>#N/A</v>
      </c>
      <c r="B66" s="120" t="e">
        <v>#N/A</v>
      </c>
      <c r="C66" s="78" t="e">
        <v>#N/A</v>
      </c>
      <c r="D66" s="78" t="e">
        <v>#N/A</v>
      </c>
      <c r="E66" s="120" t="e">
        <v>#N/A</v>
      </c>
      <c r="F66" s="78" t="e">
        <v>#N/A</v>
      </c>
      <c r="G66" s="78" t="e">
        <v>#N/A</v>
      </c>
      <c r="AN66" s="78" t="e">
        <v>#N/A</v>
      </c>
      <c r="AO66" s="120" t="str">
        <v>Мирный</v>
      </c>
      <c r="AP66" s="78" t="n">
        <v>0</v>
      </c>
      <c r="AQ66" s="78" t="n">
        <v>1.25</v>
      </c>
      <c r="AR66" s="120" t="n">
        <v>0</v>
      </c>
      <c r="AS66" s="78" t="n">
        <v>0</v>
      </c>
      <c r="AT66" s="78" t="n">
        <v>0</v>
      </c>
      <c r="AV66" s="78" t="e">
        <v>#N/A</v>
      </c>
      <c r="AW66" s="120" t="e">
        <v>#N/A</v>
      </c>
      <c r="AX66" s="78" t="e">
        <v>#N/A</v>
      </c>
      <c r="AY66" s="78" t="e">
        <v>#N/A</v>
      </c>
      <c r="AZ66" s="120" t="e">
        <v>#N/A</v>
      </c>
      <c r="BA66" s="78" t="e">
        <v>#N/A</v>
      </c>
      <c r="BB66" s="78" t="e">
        <v>#N/A</v>
      </c>
      <c r="BD66" s="78" t="e">
        <v>#N/A</v>
      </c>
      <c r="BE66" s="120" t="e">
        <v>#N/A</v>
      </c>
      <c r="BF66" s="78" t="e">
        <v>#N/A</v>
      </c>
      <c r="BG66" s="78" t="e">
        <v>#N/A</v>
      </c>
      <c r="BH66" s="120" t="e">
        <v>#N/A</v>
      </c>
      <c r="BI66" s="78" t="e">
        <v>#N/A</v>
      </c>
      <c r="BJ66" s="78" t="e">
        <v>#N/A</v>
      </c>
    </row>
    <row r="67" customFormat="false" ht="15.75" hidden="false" customHeight="false" outlineLevel="0" collapsed="false">
      <c r="A67" s="78" t="e">
        <v>#N/A</v>
      </c>
      <c r="B67" s="120" t="e">
        <v>#N/A</v>
      </c>
      <c r="C67" s="78" t="e">
        <v>#N/A</v>
      </c>
      <c r="D67" s="78" t="e">
        <v>#N/A</v>
      </c>
      <c r="E67" s="120" t="e">
        <v>#N/A</v>
      </c>
      <c r="F67" s="78" t="e">
        <v>#N/A</v>
      </c>
      <c r="G67" s="78" t="e">
        <v>#N/A</v>
      </c>
      <c r="AN67" s="78" t="e">
        <v>#N/A</v>
      </c>
      <c r="AO67" s="120" t="str">
        <v>Мафия</v>
      </c>
      <c r="AP67" s="78" t="n">
        <v>2.5</v>
      </c>
      <c r="AQ67" s="78" t="n">
        <v>3.25</v>
      </c>
      <c r="AR67" s="120" t="n">
        <v>0</v>
      </c>
      <c r="AS67" s="78" t="n">
        <v>0</v>
      </c>
      <c r="AT67" s="78" t="n">
        <v>0</v>
      </c>
      <c r="AV67" s="78" t="e">
        <v>#N/A</v>
      </c>
      <c r="AW67" s="120" t="e">
        <v>#N/A</v>
      </c>
      <c r="AX67" s="78" t="e">
        <v>#N/A</v>
      </c>
      <c r="AY67" s="78" t="e">
        <v>#N/A</v>
      </c>
      <c r="AZ67" s="120" t="e">
        <v>#N/A</v>
      </c>
      <c r="BA67" s="78" t="e">
        <v>#N/A</v>
      </c>
      <c r="BB67" s="78" t="e">
        <v>#N/A</v>
      </c>
      <c r="BD67" s="78" t="e">
        <v>#N/A</v>
      </c>
      <c r="BE67" s="120" t="e">
        <v>#N/A</v>
      </c>
      <c r="BF67" s="78" t="e">
        <v>#N/A</v>
      </c>
      <c r="BG67" s="78" t="e">
        <v>#N/A</v>
      </c>
      <c r="BH67" s="120" t="e">
        <v>#N/A</v>
      </c>
      <c r="BI67" s="78" t="e">
        <v>#N/A</v>
      </c>
      <c r="BJ67" s="78" t="e">
        <v>#N/A</v>
      </c>
    </row>
    <row r="68" customFormat="false" ht="15.75" hidden="false" customHeight="false" outlineLevel="0" collapsed="false">
      <c r="A68" s="78" t="e">
        <v>#N/A</v>
      </c>
      <c r="B68" s="120" t="e">
        <v>#N/A</v>
      </c>
      <c r="C68" s="78" t="e">
        <v>#N/A</v>
      </c>
      <c r="D68" s="78" t="e">
        <v>#N/A</v>
      </c>
      <c r="E68" s="120" t="e">
        <v>#N/A</v>
      </c>
      <c r="F68" s="78" t="e">
        <v>#N/A</v>
      </c>
      <c r="G68" s="78" t="e">
        <v>#N/A</v>
      </c>
      <c r="AN68" s="78" t="e">
        <v>#N/A</v>
      </c>
      <c r="AO68" s="120" t="str">
        <v>Мирный</v>
      </c>
      <c r="AP68" s="78" t="n">
        <v>0</v>
      </c>
      <c r="AQ68" s="78" t="n">
        <v>1.5</v>
      </c>
      <c r="AR68" s="120" t="n">
        <v>0</v>
      </c>
      <c r="AS68" s="78" t="n">
        <v>0</v>
      </c>
      <c r="AT68" s="78" t="n">
        <v>0</v>
      </c>
      <c r="AV68" s="78" t="e">
        <v>#N/A</v>
      </c>
      <c r="AW68" s="120" t="e">
        <v>#N/A</v>
      </c>
      <c r="AX68" s="78" t="e">
        <v>#N/A</v>
      </c>
      <c r="AY68" s="78" t="e">
        <v>#N/A</v>
      </c>
      <c r="AZ68" s="120" t="e">
        <v>#N/A</v>
      </c>
      <c r="BA68" s="78" t="e">
        <v>#N/A</v>
      </c>
      <c r="BB68" s="78" t="e">
        <v>#N/A</v>
      </c>
      <c r="BD68" s="78" t="e">
        <v>#N/A</v>
      </c>
      <c r="BE68" s="120" t="e">
        <v>#N/A</v>
      </c>
      <c r="BF68" s="78" t="e">
        <v>#N/A</v>
      </c>
      <c r="BG68" s="78" t="e">
        <v>#N/A</v>
      </c>
      <c r="BH68" s="120" t="e">
        <v>#N/A</v>
      </c>
      <c r="BI68" s="78" t="e">
        <v>#N/A</v>
      </c>
      <c r="BJ68" s="78" t="e">
        <v>#N/A</v>
      </c>
    </row>
    <row r="69" customFormat="false" ht="15.75" hidden="false" customHeight="false" outlineLevel="0" collapsed="false">
      <c r="A69" s="78" t="e">
        <v>#N/A</v>
      </c>
      <c r="B69" s="120" t="e">
        <v>#N/A</v>
      </c>
      <c r="C69" s="78" t="e">
        <v>#N/A</v>
      </c>
      <c r="D69" s="78" t="e">
        <v>#N/A</v>
      </c>
      <c r="E69" s="120" t="e">
        <v>#N/A</v>
      </c>
      <c r="F69" s="78" t="e">
        <v>#N/A</v>
      </c>
      <c r="G69" s="78" t="e">
        <v>#N/A</v>
      </c>
      <c r="AN69" s="78" t="e">
        <v>#N/A</v>
      </c>
      <c r="AO69" s="120" t="str">
        <v>Мирный</v>
      </c>
      <c r="AP69" s="78" t="n">
        <v>0</v>
      </c>
      <c r="AQ69" s="78" t="n">
        <v>3.25</v>
      </c>
      <c r="AR69" s="120" t="n">
        <v>0</v>
      </c>
      <c r="AS69" s="78" t="n">
        <v>0</v>
      </c>
      <c r="AT69" s="78" t="n">
        <v>0</v>
      </c>
      <c r="AV69" s="78" t="e">
        <v>#N/A</v>
      </c>
      <c r="AW69" s="120" t="e">
        <v>#N/A</v>
      </c>
      <c r="AX69" s="78" t="e">
        <v>#N/A</v>
      </c>
      <c r="AY69" s="78" t="e">
        <v>#N/A</v>
      </c>
      <c r="AZ69" s="120" t="e">
        <v>#N/A</v>
      </c>
      <c r="BA69" s="78" t="e">
        <v>#N/A</v>
      </c>
      <c r="BB69" s="78" t="e">
        <v>#N/A</v>
      </c>
      <c r="BD69" s="78" t="e">
        <v>#N/A</v>
      </c>
      <c r="BE69" s="120" t="e">
        <v>#N/A</v>
      </c>
      <c r="BF69" s="78" t="e">
        <v>#N/A</v>
      </c>
      <c r="BG69" s="78" t="e">
        <v>#N/A</v>
      </c>
      <c r="BH69" s="120" t="e">
        <v>#N/A</v>
      </c>
      <c r="BI69" s="78" t="e">
        <v>#N/A</v>
      </c>
      <c r="BJ69" s="78" t="e">
        <v>#N/A</v>
      </c>
    </row>
    <row r="70" customFormat="false" ht="15.75" hidden="false" customHeight="false" outlineLevel="0" collapsed="false">
      <c r="A70" s="78" t="e">
        <v>#N/A</v>
      </c>
      <c r="B70" s="120" t="e">
        <v>#N/A</v>
      </c>
      <c r="C70" s="78" t="e">
        <v>#N/A</v>
      </c>
      <c r="D70" s="78" t="e">
        <v>#N/A</v>
      </c>
      <c r="E70" s="120" t="e">
        <v>#N/A</v>
      </c>
      <c r="F70" s="78" t="e">
        <v>#N/A</v>
      </c>
      <c r="G70" s="78" t="e">
        <v>#N/A</v>
      </c>
      <c r="AN70" s="78" t="e">
        <v>#N/A</v>
      </c>
      <c r="AO70" s="120" t="str">
        <v>Дон</v>
      </c>
      <c r="AP70" s="78" t="n">
        <v>2.5</v>
      </c>
      <c r="AQ70" s="78" t="n">
        <v>4</v>
      </c>
      <c r="AR70" s="120" t="n">
        <v>0</v>
      </c>
      <c r="AS70" s="78" t="n">
        <v>0</v>
      </c>
      <c r="AT70" s="78" t="n">
        <v>0</v>
      </c>
      <c r="AV70" s="78" t="e">
        <v>#N/A</v>
      </c>
      <c r="AW70" s="120" t="e">
        <v>#N/A</v>
      </c>
      <c r="AX70" s="78" t="e">
        <v>#N/A</v>
      </c>
      <c r="AY70" s="78" t="e">
        <v>#N/A</v>
      </c>
      <c r="AZ70" s="120" t="e">
        <v>#N/A</v>
      </c>
      <c r="BA70" s="78" t="e">
        <v>#N/A</v>
      </c>
      <c r="BB70" s="78" t="e">
        <v>#N/A</v>
      </c>
      <c r="BD70" s="78" t="e">
        <v>#N/A</v>
      </c>
      <c r="BE70" s="120" t="e">
        <v>#N/A</v>
      </c>
      <c r="BF70" s="78" t="e">
        <v>#N/A</v>
      </c>
      <c r="BG70" s="78" t="e">
        <v>#N/A</v>
      </c>
      <c r="BH70" s="120" t="e">
        <v>#N/A</v>
      </c>
      <c r="BI70" s="78" t="e">
        <v>#N/A</v>
      </c>
      <c r="BJ70" s="78" t="e">
        <v>#N/A</v>
      </c>
    </row>
    <row r="71" customFormat="false" ht="15.75" hidden="false" customHeight="false" outlineLevel="0" collapsed="false">
      <c r="A71" s="78" t="e">
        <v>#N/A</v>
      </c>
      <c r="B71" s="120" t="e">
        <v>#N/A</v>
      </c>
      <c r="C71" s="78" t="e">
        <v>#N/A</v>
      </c>
      <c r="D71" s="78" t="e">
        <v>#N/A</v>
      </c>
      <c r="E71" s="120" t="e">
        <v>#N/A</v>
      </c>
      <c r="F71" s="78" t="e">
        <v>#N/A</v>
      </c>
      <c r="G71" s="78" t="e">
        <v>#N/A</v>
      </c>
      <c r="AN71" s="78" t="e">
        <v>#N/A</v>
      </c>
      <c r="AO71" s="120" t="str">
        <v>Мирный</v>
      </c>
      <c r="AP71" s="78" t="n">
        <v>0</v>
      </c>
      <c r="AQ71" s="78" t="n">
        <v>1.5</v>
      </c>
      <c r="AR71" s="120" t="str">
        <v>ПУ</v>
      </c>
      <c r="AS71" s="78" t="n">
        <v>0</v>
      </c>
      <c r="AT71" s="78" t="n">
        <v>1.5</v>
      </c>
      <c r="AV71" s="78" t="e">
        <v>#N/A</v>
      </c>
      <c r="AW71" s="120" t="e">
        <v>#N/A</v>
      </c>
      <c r="AX71" s="78" t="e">
        <v>#N/A</v>
      </c>
      <c r="AY71" s="78" t="e">
        <v>#N/A</v>
      </c>
      <c r="AZ71" s="120" t="e">
        <v>#N/A</v>
      </c>
      <c r="BA71" s="78" t="e">
        <v>#N/A</v>
      </c>
      <c r="BB71" s="78" t="e">
        <v>#N/A</v>
      </c>
      <c r="BD71" s="78" t="e">
        <v>#N/A</v>
      </c>
      <c r="BE71" s="120" t="e">
        <v>#N/A</v>
      </c>
      <c r="BF71" s="78" t="e">
        <v>#N/A</v>
      </c>
      <c r="BG71" s="78" t="e">
        <v>#N/A</v>
      </c>
      <c r="BH71" s="120" t="e">
        <v>#N/A</v>
      </c>
      <c r="BI71" s="78" t="e">
        <v>#N/A</v>
      </c>
      <c r="BJ71" s="78" t="e">
        <v>#N/A</v>
      </c>
    </row>
    <row r="72" customFormat="false" ht="15.75" hidden="false" customHeight="false" outlineLevel="0" collapsed="false">
      <c r="A72" s="78" t="e">
        <v>#N/A</v>
      </c>
      <c r="B72" s="120" t="e">
        <v>#N/A</v>
      </c>
      <c r="C72" s="78" t="e">
        <v>#N/A</v>
      </c>
      <c r="D72" s="78" t="e">
        <v>#N/A</v>
      </c>
      <c r="E72" s="120" t="e">
        <v>#N/A</v>
      </c>
      <c r="F72" s="78" t="e">
        <v>#N/A</v>
      </c>
      <c r="G72" s="78" t="e">
        <v>#N/A</v>
      </c>
      <c r="AN72" s="78" t="e">
        <v>#N/A</v>
      </c>
      <c r="AO72" s="120" t="str">
        <v>Мирный</v>
      </c>
      <c r="AP72" s="78" t="n">
        <v>0</v>
      </c>
      <c r="AQ72" s="78" t="n">
        <v>2</v>
      </c>
      <c r="AR72" s="120" t="n">
        <v>0</v>
      </c>
      <c r="AS72" s="78" t="n">
        <v>0</v>
      </c>
      <c r="AT72" s="78" t="n">
        <v>0</v>
      </c>
      <c r="AV72" s="78" t="e">
        <v>#N/A</v>
      </c>
      <c r="AW72" s="120" t="e">
        <v>#N/A</v>
      </c>
      <c r="AX72" s="78" t="e">
        <v>#N/A</v>
      </c>
      <c r="AY72" s="78" t="e">
        <v>#N/A</v>
      </c>
      <c r="AZ72" s="120" t="e">
        <v>#N/A</v>
      </c>
      <c r="BA72" s="78" t="e">
        <v>#N/A</v>
      </c>
      <c r="BB72" s="78" t="e">
        <v>#N/A</v>
      </c>
      <c r="BD72" s="78" t="e">
        <v>#N/A</v>
      </c>
      <c r="BE72" s="120" t="e">
        <v>#N/A</v>
      </c>
      <c r="BF72" s="78" t="e">
        <v>#N/A</v>
      </c>
      <c r="BG72" s="78" t="e">
        <v>#N/A</v>
      </c>
      <c r="BH72" s="120" t="e">
        <v>#N/A</v>
      </c>
      <c r="BI72" s="78" t="e">
        <v>#N/A</v>
      </c>
      <c r="BJ72" s="78" t="e">
        <v>#N/A</v>
      </c>
    </row>
    <row r="73" customFormat="false" ht="15.75" hidden="false" customHeight="false" outlineLevel="0" collapsed="false">
      <c r="A73" s="78" t="e">
        <v>#N/A</v>
      </c>
      <c r="B73" s="120" t="e">
        <v>#N/A</v>
      </c>
      <c r="C73" s="78" t="e">
        <v>#N/A</v>
      </c>
      <c r="D73" s="78" t="e">
        <v>#N/A</v>
      </c>
      <c r="E73" s="120" t="e">
        <v>#N/A</v>
      </c>
      <c r="F73" s="78" t="e">
        <v>#N/A</v>
      </c>
      <c r="G73" s="78" t="e">
        <v>#N/A</v>
      </c>
      <c r="AN73" s="78" t="e">
        <v>#N/A</v>
      </c>
      <c r="AO73" s="120" t="str">
        <f aca="false" t="array" ref="AO73:AT82">'1 Полуфинал'!AW6:BB15</f>
        <v>Шериф</v>
      </c>
      <c r="AP73" s="78" t="n">
        <v>2.5</v>
      </c>
      <c r="AQ73" s="78" t="n">
        <v>1.75</v>
      </c>
      <c r="AR73" s="120" t="str">
        <v>ПУ</v>
      </c>
      <c r="AS73" s="78" t="n">
        <v>0</v>
      </c>
      <c r="AT73" s="78" t="n">
        <v>0.5</v>
      </c>
      <c r="AV73" s="78" t="e">
        <v>#N/A</v>
      </c>
      <c r="AW73" s="120" t="e">
        <v>#N/A</v>
      </c>
      <c r="AX73" s="78" t="e">
        <v>#N/A</v>
      </c>
      <c r="AY73" s="78" t="e">
        <v>#N/A</v>
      </c>
      <c r="AZ73" s="120" t="e">
        <v>#N/A</v>
      </c>
      <c r="BA73" s="78" t="e">
        <v>#N/A</v>
      </c>
      <c r="BB73" s="78" t="e">
        <v>#N/A</v>
      </c>
      <c r="BD73" s="78" t="e">
        <v>#N/A</v>
      </c>
      <c r="BE73" s="120" t="e">
        <v>#N/A</v>
      </c>
      <c r="BF73" s="78" t="e">
        <v>#N/A</v>
      </c>
      <c r="BG73" s="78" t="e">
        <v>#N/A</v>
      </c>
      <c r="BH73" s="120" t="e">
        <v>#N/A</v>
      </c>
      <c r="BI73" s="78" t="e">
        <v>#N/A</v>
      </c>
      <c r="BJ73" s="78" t="e">
        <v>#N/A</v>
      </c>
    </row>
    <row r="74" customFormat="false" ht="15.75" hidden="false" customHeight="false" outlineLevel="0" collapsed="false">
      <c r="A74" s="78" t="e">
        <v>#N/A</v>
      </c>
      <c r="B74" s="120" t="e">
        <v>#N/A</v>
      </c>
      <c r="C74" s="78" t="e">
        <v>#N/A</v>
      </c>
      <c r="D74" s="78" t="e">
        <v>#N/A</v>
      </c>
      <c r="E74" s="120" t="e">
        <v>#N/A</v>
      </c>
      <c r="F74" s="78" t="e">
        <v>#N/A</v>
      </c>
      <c r="G74" s="78" t="e">
        <v>#N/A</v>
      </c>
      <c r="AN74" s="78" t="e">
        <v>#N/A</v>
      </c>
      <c r="AO74" s="120" t="str">
        <v>Мирный</v>
      </c>
      <c r="AP74" s="78" t="n">
        <v>2.5</v>
      </c>
      <c r="AQ74" s="78" t="n">
        <v>1.5</v>
      </c>
      <c r="AR74" s="120" t="n">
        <v>0</v>
      </c>
      <c r="AS74" s="78" t="n">
        <v>0</v>
      </c>
      <c r="AT74" s="78" t="n">
        <v>0</v>
      </c>
      <c r="AV74" s="78" t="e">
        <v>#N/A</v>
      </c>
      <c r="AW74" s="120" t="e">
        <v>#N/A</v>
      </c>
      <c r="AX74" s="78" t="e">
        <v>#N/A</v>
      </c>
      <c r="AY74" s="78" t="e">
        <v>#N/A</v>
      </c>
      <c r="AZ74" s="120" t="e">
        <v>#N/A</v>
      </c>
      <c r="BA74" s="78" t="e">
        <v>#N/A</v>
      </c>
      <c r="BB74" s="78" t="e">
        <v>#N/A</v>
      </c>
      <c r="BD74" s="78" t="e">
        <v>#N/A</v>
      </c>
      <c r="BE74" s="120" t="e">
        <v>#N/A</v>
      </c>
      <c r="BF74" s="78" t="e">
        <v>#N/A</v>
      </c>
      <c r="BG74" s="78" t="e">
        <v>#N/A</v>
      </c>
      <c r="BH74" s="120" t="e">
        <v>#N/A</v>
      </c>
      <c r="BI74" s="78" t="e">
        <v>#N/A</v>
      </c>
      <c r="BJ74" s="78" t="e">
        <v>#N/A</v>
      </c>
    </row>
    <row r="75" customFormat="false" ht="15.75" hidden="false" customHeight="false" outlineLevel="0" collapsed="false">
      <c r="A75" s="78" t="e">
        <v>#N/A</v>
      </c>
      <c r="B75" s="120" t="e">
        <v>#N/A</v>
      </c>
      <c r="C75" s="78" t="e">
        <v>#N/A</v>
      </c>
      <c r="D75" s="78" t="e">
        <v>#N/A</v>
      </c>
      <c r="E75" s="120" t="e">
        <v>#N/A</v>
      </c>
      <c r="F75" s="78" t="e">
        <v>#N/A</v>
      </c>
      <c r="G75" s="78" t="e">
        <v>#N/A</v>
      </c>
      <c r="AN75" s="78" t="e">
        <v>#N/A</v>
      </c>
      <c r="AO75" s="120" t="str">
        <v>Мирный</v>
      </c>
      <c r="AP75" s="78" t="n">
        <v>2.5</v>
      </c>
      <c r="AQ75" s="78" t="n">
        <v>3.75</v>
      </c>
      <c r="AR75" s="120" t="n">
        <v>0</v>
      </c>
      <c r="AS75" s="78" t="n">
        <v>0</v>
      </c>
      <c r="AT75" s="78" t="n">
        <v>0</v>
      </c>
      <c r="AV75" s="78" t="e">
        <v>#N/A</v>
      </c>
      <c r="AW75" s="120" t="e">
        <v>#N/A</v>
      </c>
      <c r="AX75" s="78" t="e">
        <v>#N/A</v>
      </c>
      <c r="AY75" s="78" t="e">
        <v>#N/A</v>
      </c>
      <c r="AZ75" s="120" t="e">
        <v>#N/A</v>
      </c>
      <c r="BA75" s="78" t="e">
        <v>#N/A</v>
      </c>
      <c r="BB75" s="78" t="e">
        <v>#N/A</v>
      </c>
      <c r="BD75" s="78" t="e">
        <v>#N/A</v>
      </c>
      <c r="BE75" s="120" t="e">
        <v>#N/A</v>
      </c>
      <c r="BF75" s="78" t="e">
        <v>#N/A</v>
      </c>
      <c r="BG75" s="78" t="e">
        <v>#N/A</v>
      </c>
      <c r="BH75" s="120" t="e">
        <v>#N/A</v>
      </c>
      <c r="BI75" s="78" t="e">
        <v>#N/A</v>
      </c>
      <c r="BJ75" s="78" t="e">
        <v>#N/A</v>
      </c>
    </row>
    <row r="76" customFormat="false" ht="15.75" hidden="false" customHeight="false" outlineLevel="0" collapsed="false">
      <c r="A76" s="78" t="e">
        <v>#N/A</v>
      </c>
      <c r="B76" s="120" t="e">
        <v>#N/A</v>
      </c>
      <c r="C76" s="78" t="e">
        <v>#N/A</v>
      </c>
      <c r="D76" s="78" t="e">
        <v>#N/A</v>
      </c>
      <c r="E76" s="120" t="e">
        <v>#N/A</v>
      </c>
      <c r="F76" s="78" t="e">
        <v>#N/A</v>
      </c>
      <c r="G76" s="78" t="e">
        <v>#N/A</v>
      </c>
      <c r="AN76" s="78" t="e">
        <v>#N/A</v>
      </c>
      <c r="AO76" s="120" t="str">
        <v>Мирный</v>
      </c>
      <c r="AP76" s="78" t="n">
        <v>2.5</v>
      </c>
      <c r="AQ76" s="78" t="n">
        <v>3.5</v>
      </c>
      <c r="AR76" s="120" t="n">
        <v>0</v>
      </c>
      <c r="AS76" s="78" t="n">
        <v>0</v>
      </c>
      <c r="AT76" s="78" t="n">
        <v>0</v>
      </c>
      <c r="AV76" s="78" t="e">
        <v>#N/A</v>
      </c>
      <c r="AW76" s="120" t="e">
        <v>#N/A</v>
      </c>
      <c r="AX76" s="78" t="e">
        <v>#N/A</v>
      </c>
      <c r="AY76" s="78" t="e">
        <v>#N/A</v>
      </c>
      <c r="AZ76" s="120" t="e">
        <v>#N/A</v>
      </c>
      <c r="BA76" s="78" t="e">
        <v>#N/A</v>
      </c>
      <c r="BB76" s="78" t="e">
        <v>#N/A</v>
      </c>
      <c r="BD76" s="78" t="e">
        <v>#N/A</v>
      </c>
      <c r="BE76" s="120" t="e">
        <v>#N/A</v>
      </c>
      <c r="BF76" s="78" t="e">
        <v>#N/A</v>
      </c>
      <c r="BG76" s="78" t="e">
        <v>#N/A</v>
      </c>
      <c r="BH76" s="120" t="e">
        <v>#N/A</v>
      </c>
      <c r="BI76" s="78" t="e">
        <v>#N/A</v>
      </c>
      <c r="BJ76" s="78" t="e">
        <v>#N/A</v>
      </c>
    </row>
    <row r="77" customFormat="false" ht="15.75" hidden="false" customHeight="false" outlineLevel="0" collapsed="false">
      <c r="A77" s="78" t="e">
        <v>#N/A</v>
      </c>
      <c r="B77" s="120" t="e">
        <v>#N/A</v>
      </c>
      <c r="C77" s="78" t="e">
        <v>#N/A</v>
      </c>
      <c r="D77" s="78" t="e">
        <v>#N/A</v>
      </c>
      <c r="E77" s="120" t="e">
        <v>#N/A</v>
      </c>
      <c r="F77" s="78" t="e">
        <v>#N/A</v>
      </c>
      <c r="G77" s="78" t="e">
        <v>#N/A</v>
      </c>
      <c r="AN77" s="78" t="e">
        <v>#N/A</v>
      </c>
      <c r="AO77" s="120" t="str">
        <v>Дон</v>
      </c>
      <c r="AP77" s="78" t="n">
        <v>0</v>
      </c>
      <c r="AQ77" s="78" t="n">
        <v>1.75</v>
      </c>
      <c r="AR77" s="120" t="n">
        <v>0</v>
      </c>
      <c r="AS77" s="78" t="n">
        <v>0</v>
      </c>
      <c r="AT77" s="78" t="n">
        <v>0</v>
      </c>
      <c r="AV77" s="78" t="e">
        <v>#N/A</v>
      </c>
      <c r="AW77" s="120" t="e">
        <v>#N/A</v>
      </c>
      <c r="AX77" s="78" t="e">
        <v>#N/A</v>
      </c>
      <c r="AY77" s="78" t="e">
        <v>#N/A</v>
      </c>
      <c r="AZ77" s="120" t="e">
        <v>#N/A</v>
      </c>
      <c r="BA77" s="78" t="e">
        <v>#N/A</v>
      </c>
      <c r="BB77" s="78" t="e">
        <v>#N/A</v>
      </c>
      <c r="BD77" s="78" t="e">
        <v>#N/A</v>
      </c>
      <c r="BE77" s="120" t="e">
        <v>#N/A</v>
      </c>
      <c r="BF77" s="78" t="e">
        <v>#N/A</v>
      </c>
      <c r="BG77" s="78" t="e">
        <v>#N/A</v>
      </c>
      <c r="BH77" s="120" t="e">
        <v>#N/A</v>
      </c>
      <c r="BI77" s="78" t="e">
        <v>#N/A</v>
      </c>
      <c r="BJ77" s="78" t="e">
        <v>#N/A</v>
      </c>
    </row>
    <row r="78" customFormat="false" ht="15.75" hidden="false" customHeight="false" outlineLevel="0" collapsed="false">
      <c r="A78" s="78" t="e">
        <v>#N/A</v>
      </c>
      <c r="B78" s="120" t="e">
        <v>#N/A</v>
      </c>
      <c r="C78" s="78" t="e">
        <v>#N/A</v>
      </c>
      <c r="D78" s="78" t="e">
        <v>#N/A</v>
      </c>
      <c r="E78" s="120" t="e">
        <v>#N/A</v>
      </c>
      <c r="F78" s="78" t="e">
        <v>#N/A</v>
      </c>
      <c r="G78" s="78" t="e">
        <v>#N/A</v>
      </c>
      <c r="AN78" s="78" t="e">
        <v>#N/A</v>
      </c>
      <c r="AO78" s="120" t="str">
        <v>Мирный</v>
      </c>
      <c r="AP78" s="78" t="n">
        <v>2.5</v>
      </c>
      <c r="AQ78" s="78" t="n">
        <v>3.75</v>
      </c>
      <c r="AR78" s="120" t="n">
        <v>0</v>
      </c>
      <c r="AS78" s="78" t="n">
        <v>0</v>
      </c>
      <c r="AT78" s="78" t="n">
        <v>0</v>
      </c>
      <c r="AV78" s="78" t="e">
        <v>#N/A</v>
      </c>
      <c r="AW78" s="120" t="e">
        <v>#N/A</v>
      </c>
      <c r="AX78" s="78" t="e">
        <v>#N/A</v>
      </c>
      <c r="AY78" s="78" t="e">
        <v>#N/A</v>
      </c>
      <c r="AZ78" s="120" t="e">
        <v>#N/A</v>
      </c>
      <c r="BA78" s="78" t="e">
        <v>#N/A</v>
      </c>
      <c r="BB78" s="78" t="e">
        <v>#N/A</v>
      </c>
      <c r="BD78" s="78" t="e">
        <v>#N/A</v>
      </c>
      <c r="BE78" s="120" t="e">
        <v>#N/A</v>
      </c>
      <c r="BF78" s="78" t="e">
        <v>#N/A</v>
      </c>
      <c r="BG78" s="78" t="e">
        <v>#N/A</v>
      </c>
      <c r="BH78" s="120" t="e">
        <v>#N/A</v>
      </c>
      <c r="BI78" s="78" t="e">
        <v>#N/A</v>
      </c>
      <c r="BJ78" s="78" t="e">
        <v>#N/A</v>
      </c>
    </row>
    <row r="79" customFormat="false" ht="15.75" hidden="false" customHeight="false" outlineLevel="0" collapsed="false">
      <c r="A79" s="78" t="e">
        <v>#N/A</v>
      </c>
      <c r="B79" s="120" t="e">
        <v>#N/A</v>
      </c>
      <c r="C79" s="78" t="e">
        <v>#N/A</v>
      </c>
      <c r="D79" s="78" t="e">
        <v>#N/A</v>
      </c>
      <c r="E79" s="120" t="e">
        <v>#N/A</v>
      </c>
      <c r="F79" s="78" t="e">
        <v>#N/A</v>
      </c>
      <c r="G79" s="78" t="e">
        <v>#N/A</v>
      </c>
      <c r="AN79" s="78" t="e">
        <v>#N/A</v>
      </c>
      <c r="AO79" s="120" t="str">
        <v>Мафия</v>
      </c>
      <c r="AP79" s="78" t="n">
        <v>0</v>
      </c>
      <c r="AQ79" s="78" t="n">
        <v>2.5</v>
      </c>
      <c r="AR79" s="120" t="n">
        <v>0</v>
      </c>
      <c r="AS79" s="78" t="n">
        <v>0</v>
      </c>
      <c r="AT79" s="78" t="n">
        <v>0</v>
      </c>
      <c r="AV79" s="78" t="e">
        <v>#N/A</v>
      </c>
      <c r="AW79" s="120" t="e">
        <v>#N/A</v>
      </c>
      <c r="AX79" s="78" t="e">
        <v>#N/A</v>
      </c>
      <c r="AY79" s="78" t="e">
        <v>#N/A</v>
      </c>
      <c r="AZ79" s="120" t="e">
        <v>#N/A</v>
      </c>
      <c r="BA79" s="78" t="e">
        <v>#N/A</v>
      </c>
      <c r="BB79" s="78" t="e">
        <v>#N/A</v>
      </c>
      <c r="BD79" s="78" t="e">
        <v>#N/A</v>
      </c>
      <c r="BE79" s="120" t="e">
        <v>#N/A</v>
      </c>
      <c r="BF79" s="78" t="e">
        <v>#N/A</v>
      </c>
      <c r="BG79" s="78" t="e">
        <v>#N/A</v>
      </c>
      <c r="BH79" s="120" t="e">
        <v>#N/A</v>
      </c>
      <c r="BI79" s="78" t="e">
        <v>#N/A</v>
      </c>
      <c r="BJ79" s="78" t="e">
        <v>#N/A</v>
      </c>
    </row>
    <row r="80" customFormat="false" ht="15.75" hidden="false" customHeight="false" outlineLevel="0" collapsed="false">
      <c r="A80" s="78" t="e">
        <v>#N/A</v>
      </c>
      <c r="B80" s="120" t="e">
        <v>#N/A</v>
      </c>
      <c r="C80" s="78" t="e">
        <v>#N/A</v>
      </c>
      <c r="D80" s="78" t="e">
        <v>#N/A</v>
      </c>
      <c r="E80" s="120" t="e">
        <v>#N/A</v>
      </c>
      <c r="F80" s="78" t="e">
        <v>#N/A</v>
      </c>
      <c r="G80" s="78" t="e">
        <v>#N/A</v>
      </c>
      <c r="AN80" s="78" t="e">
        <v>#N/A</v>
      </c>
      <c r="AO80" s="120" t="str">
        <v>Мафия</v>
      </c>
      <c r="AP80" s="78" t="n">
        <v>0</v>
      </c>
      <c r="AQ80" s="78" t="n">
        <v>1.75</v>
      </c>
      <c r="AR80" s="120" t="n">
        <v>0</v>
      </c>
      <c r="AS80" s="78" t="n">
        <v>0</v>
      </c>
      <c r="AT80" s="78" t="n">
        <v>0</v>
      </c>
      <c r="AV80" s="78" t="e">
        <v>#N/A</v>
      </c>
      <c r="AW80" s="120" t="e">
        <v>#N/A</v>
      </c>
      <c r="AX80" s="78" t="e">
        <v>#N/A</v>
      </c>
      <c r="AY80" s="78" t="e">
        <v>#N/A</v>
      </c>
      <c r="AZ80" s="120" t="e">
        <v>#N/A</v>
      </c>
      <c r="BA80" s="78" t="e">
        <v>#N/A</v>
      </c>
      <c r="BB80" s="78" t="e">
        <v>#N/A</v>
      </c>
      <c r="BD80" s="78" t="e">
        <v>#N/A</v>
      </c>
      <c r="BE80" s="120" t="e">
        <v>#N/A</v>
      </c>
      <c r="BF80" s="78" t="e">
        <v>#N/A</v>
      </c>
      <c r="BG80" s="78" t="e">
        <v>#N/A</v>
      </c>
      <c r="BH80" s="120" t="e">
        <v>#N/A</v>
      </c>
      <c r="BI80" s="78" t="e">
        <v>#N/A</v>
      </c>
      <c r="BJ80" s="78" t="e">
        <v>#N/A</v>
      </c>
    </row>
    <row r="81" customFormat="false" ht="15.75" hidden="false" customHeight="false" outlineLevel="0" collapsed="false">
      <c r="A81" s="78" t="e">
        <v>#N/A</v>
      </c>
      <c r="B81" s="120" t="e">
        <v>#N/A</v>
      </c>
      <c r="C81" s="78" t="e">
        <v>#N/A</v>
      </c>
      <c r="D81" s="78" t="e">
        <v>#N/A</v>
      </c>
      <c r="E81" s="120" t="e">
        <v>#N/A</v>
      </c>
      <c r="F81" s="78" t="e">
        <v>#N/A</v>
      </c>
      <c r="G81" s="78" t="e">
        <v>#N/A</v>
      </c>
      <c r="AN81" s="78" t="e">
        <v>#N/A</v>
      </c>
      <c r="AO81" s="120" t="str">
        <v>Мирный</v>
      </c>
      <c r="AP81" s="78" t="n">
        <v>2.5</v>
      </c>
      <c r="AQ81" s="78" t="n">
        <v>4</v>
      </c>
      <c r="AR81" s="120" t="n">
        <v>0</v>
      </c>
      <c r="AS81" s="78" t="n">
        <v>0</v>
      </c>
      <c r="AT81" s="78" t="n">
        <v>0</v>
      </c>
      <c r="AV81" s="78" t="e">
        <v>#N/A</v>
      </c>
      <c r="AW81" s="120" t="e">
        <v>#N/A</v>
      </c>
      <c r="AX81" s="78" t="e">
        <v>#N/A</v>
      </c>
      <c r="AY81" s="78" t="e">
        <v>#N/A</v>
      </c>
      <c r="AZ81" s="120" t="e">
        <v>#N/A</v>
      </c>
      <c r="BA81" s="78" t="e">
        <v>#N/A</v>
      </c>
      <c r="BB81" s="78" t="e">
        <v>#N/A</v>
      </c>
      <c r="BD81" s="78" t="e">
        <v>#N/A</v>
      </c>
      <c r="BE81" s="120" t="e">
        <v>#N/A</v>
      </c>
      <c r="BF81" s="78" t="e">
        <v>#N/A</v>
      </c>
      <c r="BG81" s="78" t="e">
        <v>#N/A</v>
      </c>
      <c r="BH81" s="120" t="e">
        <v>#N/A</v>
      </c>
      <c r="BI81" s="78" t="e">
        <v>#N/A</v>
      </c>
      <c r="BJ81" s="78" t="e">
        <v>#N/A</v>
      </c>
    </row>
    <row r="82" customFormat="false" ht="15.75" hidden="false" customHeight="false" outlineLevel="0" collapsed="false">
      <c r="A82" s="78" t="e">
        <v>#N/A</v>
      </c>
      <c r="B82" s="120" t="e">
        <v>#N/A</v>
      </c>
      <c r="C82" s="78" t="e">
        <v>#N/A</v>
      </c>
      <c r="D82" s="78" t="e">
        <v>#N/A</v>
      </c>
      <c r="E82" s="120" t="e">
        <v>#N/A</v>
      </c>
      <c r="F82" s="78" t="e">
        <v>#N/A</v>
      </c>
      <c r="G82" s="78" t="e">
        <v>#N/A</v>
      </c>
      <c r="AN82" s="78" t="e">
        <v>#N/A</v>
      </c>
      <c r="AO82" s="120" t="str">
        <v>Мирный</v>
      </c>
      <c r="AP82" s="78" t="n">
        <v>2.5</v>
      </c>
      <c r="AQ82" s="78" t="n">
        <v>3.75</v>
      </c>
      <c r="AR82" s="120" t="n">
        <v>0</v>
      </c>
      <c r="AS82" s="78" t="n">
        <v>0</v>
      </c>
      <c r="AT82" s="78" t="n">
        <v>0</v>
      </c>
      <c r="AV82" s="78" t="e">
        <v>#N/A</v>
      </c>
      <c r="AW82" s="120" t="e">
        <v>#N/A</v>
      </c>
      <c r="AX82" s="78" t="e">
        <v>#N/A</v>
      </c>
      <c r="AY82" s="78" t="e">
        <v>#N/A</v>
      </c>
      <c r="AZ82" s="120" t="e">
        <v>#N/A</v>
      </c>
      <c r="BA82" s="78" t="e">
        <v>#N/A</v>
      </c>
      <c r="BB82" s="78" t="e">
        <v>#N/A</v>
      </c>
      <c r="BD82" s="78" t="e">
        <v>#N/A</v>
      </c>
      <c r="BE82" s="120" t="e">
        <v>#N/A</v>
      </c>
      <c r="BF82" s="78" t="e">
        <v>#N/A</v>
      </c>
      <c r="BG82" s="78" t="e">
        <v>#N/A</v>
      </c>
      <c r="BH82" s="120" t="e">
        <v>#N/A</v>
      </c>
      <c r="BI82" s="78" t="e">
        <v>#N/A</v>
      </c>
      <c r="BJ82" s="78" t="e">
        <v>#N/A</v>
      </c>
    </row>
    <row r="83" customFormat="false" ht="15.75" hidden="false" customHeight="false" outlineLevel="0" collapsed="false">
      <c r="A83" s="78" t="e">
        <v>#N/A</v>
      </c>
      <c r="B83" s="120" t="e">
        <v>#N/A</v>
      </c>
      <c r="C83" s="78" t="e">
        <v>#N/A</v>
      </c>
      <c r="D83" s="78" t="e">
        <v>#N/A</v>
      </c>
      <c r="E83" s="120" t="e">
        <v>#N/A</v>
      </c>
      <c r="F83" s="78" t="e">
        <v>#N/A</v>
      </c>
      <c r="G83" s="78" t="e">
        <v>#N/A</v>
      </c>
      <c r="BD83" s="78" t="e">
        <v>#N/A</v>
      </c>
      <c r="BE83" s="120" t="e">
        <v>#N/A</v>
      </c>
      <c r="BF83" s="78" t="e">
        <v>#N/A</v>
      </c>
      <c r="BG83" s="78" t="e">
        <v>#N/A</v>
      </c>
      <c r="BH83" s="120" t="e">
        <v>#N/A</v>
      </c>
      <c r="BI83" s="78" t="e">
        <v>#N/A</v>
      </c>
      <c r="BJ83" s="78" t="e">
        <v>#N/A</v>
      </c>
    </row>
    <row r="84" customFormat="false" ht="15.75" hidden="false" customHeight="false" outlineLevel="0" collapsed="false">
      <c r="A84" s="78" t="e">
        <v>#N/A</v>
      </c>
      <c r="B84" s="120" t="e">
        <v>#N/A</v>
      </c>
      <c r="C84" s="78" t="e">
        <v>#N/A</v>
      </c>
      <c r="D84" s="78" t="e">
        <v>#N/A</v>
      </c>
      <c r="E84" s="120" t="e">
        <v>#N/A</v>
      </c>
      <c r="F84" s="78" t="e">
        <v>#N/A</v>
      </c>
      <c r="G84" s="78" t="e">
        <v>#N/A</v>
      </c>
      <c r="BD84" s="78" t="e">
        <v>#N/A</v>
      </c>
      <c r="BE84" s="120" t="e">
        <v>#N/A</v>
      </c>
      <c r="BF84" s="78" t="e">
        <v>#N/A</v>
      </c>
      <c r="BG84" s="78" t="e">
        <v>#N/A</v>
      </c>
      <c r="BH84" s="120" t="e">
        <v>#N/A</v>
      </c>
      <c r="BI84" s="78" t="e">
        <v>#N/A</v>
      </c>
      <c r="BJ84" s="78" t="e">
        <v>#N/A</v>
      </c>
    </row>
    <row r="85" customFormat="false" ht="15.75" hidden="false" customHeight="false" outlineLevel="0" collapsed="false">
      <c r="A85" s="78" t="e">
        <v>#N/A</v>
      </c>
      <c r="B85" s="120" t="e">
        <v>#N/A</v>
      </c>
      <c r="C85" s="78" t="e">
        <v>#N/A</v>
      </c>
      <c r="D85" s="78" t="e">
        <v>#N/A</v>
      </c>
      <c r="E85" s="120" t="e">
        <v>#N/A</v>
      </c>
      <c r="F85" s="78" t="e">
        <v>#N/A</v>
      </c>
      <c r="G85" s="78" t="e">
        <v>#N/A</v>
      </c>
      <c r="BD85" s="78" t="e">
        <v>#N/A</v>
      </c>
      <c r="BE85" s="120" t="e">
        <v>#N/A</v>
      </c>
      <c r="BF85" s="78" t="e">
        <v>#N/A</v>
      </c>
      <c r="BG85" s="78" t="e">
        <v>#N/A</v>
      </c>
      <c r="BH85" s="120" t="e">
        <v>#N/A</v>
      </c>
      <c r="BI85" s="78" t="e">
        <v>#N/A</v>
      </c>
      <c r="BJ85" s="78" t="e">
        <v>#N/A</v>
      </c>
    </row>
    <row r="86" customFormat="false" ht="15.75" hidden="false" customHeight="false" outlineLevel="0" collapsed="false">
      <c r="A86" s="78" t="e">
        <v>#N/A</v>
      </c>
      <c r="B86" s="120" t="e">
        <v>#N/A</v>
      </c>
      <c r="C86" s="78" t="e">
        <v>#N/A</v>
      </c>
      <c r="D86" s="78" t="e">
        <v>#N/A</v>
      </c>
      <c r="E86" s="120" t="e">
        <v>#N/A</v>
      </c>
      <c r="F86" s="78" t="e">
        <v>#N/A</v>
      </c>
      <c r="G86" s="78" t="e">
        <v>#N/A</v>
      </c>
      <c r="BD86" s="78" t="e">
        <v>#N/A</v>
      </c>
      <c r="BE86" s="120" t="e">
        <v>#N/A</v>
      </c>
      <c r="BF86" s="78" t="e">
        <v>#N/A</v>
      </c>
      <c r="BG86" s="78" t="e">
        <v>#N/A</v>
      </c>
      <c r="BH86" s="120" t="e">
        <v>#N/A</v>
      </c>
      <c r="BI86" s="78" t="e">
        <v>#N/A</v>
      </c>
      <c r="BJ86" s="78" t="e">
        <v>#N/A</v>
      </c>
    </row>
    <row r="87" customFormat="false" ht="15.75" hidden="false" customHeight="false" outlineLevel="0" collapsed="false">
      <c r="A87" s="78" t="e">
        <v>#N/A</v>
      </c>
      <c r="B87" s="120" t="e">
        <v>#N/A</v>
      </c>
      <c r="C87" s="78" t="e">
        <v>#N/A</v>
      </c>
      <c r="D87" s="78" t="e">
        <v>#N/A</v>
      </c>
      <c r="E87" s="120" t="e">
        <v>#N/A</v>
      </c>
      <c r="F87" s="78" t="e">
        <v>#N/A</v>
      </c>
      <c r="G87" s="78" t="e">
        <v>#N/A</v>
      </c>
      <c r="BD87" s="78" t="e">
        <v>#N/A</v>
      </c>
      <c r="BE87" s="120" t="e">
        <v>#N/A</v>
      </c>
      <c r="BF87" s="78" t="e">
        <v>#N/A</v>
      </c>
      <c r="BG87" s="78" t="e">
        <v>#N/A</v>
      </c>
      <c r="BH87" s="120" t="e">
        <v>#N/A</v>
      </c>
      <c r="BI87" s="78" t="e">
        <v>#N/A</v>
      </c>
      <c r="BJ87" s="78" t="e">
        <v>#N/A</v>
      </c>
    </row>
    <row r="88" customFormat="false" ht="15.75" hidden="false" customHeight="false" outlineLevel="0" collapsed="false">
      <c r="A88" s="78" t="e">
        <v>#N/A</v>
      </c>
      <c r="B88" s="120" t="e">
        <v>#N/A</v>
      </c>
      <c r="C88" s="78" t="e">
        <v>#N/A</v>
      </c>
      <c r="D88" s="78" t="e">
        <v>#N/A</v>
      </c>
      <c r="E88" s="120" t="e">
        <v>#N/A</v>
      </c>
      <c r="F88" s="78" t="e">
        <v>#N/A</v>
      </c>
      <c r="G88" s="78" t="e">
        <v>#N/A</v>
      </c>
      <c r="BD88" s="78" t="e">
        <v>#N/A</v>
      </c>
      <c r="BE88" s="120" t="e">
        <v>#N/A</v>
      </c>
      <c r="BF88" s="78" t="e">
        <v>#N/A</v>
      </c>
      <c r="BG88" s="78" t="e">
        <v>#N/A</v>
      </c>
      <c r="BH88" s="120" t="e">
        <v>#N/A</v>
      </c>
      <c r="BI88" s="78" t="e">
        <v>#N/A</v>
      </c>
      <c r="BJ88" s="78" t="e">
        <v>#N/A</v>
      </c>
    </row>
    <row r="89" customFormat="false" ht="15.75" hidden="false" customHeight="false" outlineLevel="0" collapsed="false">
      <c r="A89" s="78" t="e">
        <v>#N/A</v>
      </c>
      <c r="B89" s="120" t="e">
        <v>#N/A</v>
      </c>
      <c r="C89" s="78" t="e">
        <v>#N/A</v>
      </c>
      <c r="D89" s="78" t="e">
        <v>#N/A</v>
      </c>
      <c r="E89" s="120" t="e">
        <v>#N/A</v>
      </c>
      <c r="F89" s="78" t="e">
        <v>#N/A</v>
      </c>
      <c r="G89" s="78" t="e">
        <v>#N/A</v>
      </c>
      <c r="BD89" s="78" t="e">
        <v>#N/A</v>
      </c>
      <c r="BE89" s="120" t="e">
        <v>#N/A</v>
      </c>
      <c r="BF89" s="78" t="e">
        <v>#N/A</v>
      </c>
      <c r="BG89" s="78" t="e">
        <v>#N/A</v>
      </c>
      <c r="BH89" s="120" t="e">
        <v>#N/A</v>
      </c>
      <c r="BI89" s="78" t="e">
        <v>#N/A</v>
      </c>
      <c r="BJ89" s="78" t="e">
        <v>#N/A</v>
      </c>
    </row>
    <row r="90" customFormat="false" ht="15.75" hidden="false" customHeight="false" outlineLevel="0" collapsed="false">
      <c r="A90" s="78" t="e">
        <v>#N/A</v>
      </c>
      <c r="B90" s="120" t="e">
        <v>#N/A</v>
      </c>
      <c r="C90" s="78" t="e">
        <v>#N/A</v>
      </c>
      <c r="D90" s="78" t="e">
        <v>#N/A</v>
      </c>
      <c r="E90" s="120" t="e">
        <v>#N/A</v>
      </c>
      <c r="F90" s="78" t="e">
        <v>#N/A</v>
      </c>
      <c r="G90" s="78" t="e">
        <v>#N/A</v>
      </c>
      <c r="BD90" s="78" t="e">
        <v>#N/A</v>
      </c>
      <c r="BE90" s="120" t="e">
        <v>#N/A</v>
      </c>
      <c r="BF90" s="78" t="e">
        <v>#N/A</v>
      </c>
      <c r="BG90" s="78" t="e">
        <v>#N/A</v>
      </c>
      <c r="BH90" s="120" t="e">
        <v>#N/A</v>
      </c>
      <c r="BI90" s="78" t="e">
        <v>#N/A</v>
      </c>
      <c r="BJ90" s="78" t="e">
        <v>#N/A</v>
      </c>
    </row>
    <row r="91" customFormat="false" ht="15.75" hidden="false" customHeight="false" outlineLevel="0" collapsed="false">
      <c r="A91" s="78" t="e">
        <v>#N/A</v>
      </c>
      <c r="B91" s="120" t="e">
        <v>#N/A</v>
      </c>
      <c r="C91" s="78" t="e">
        <v>#N/A</v>
      </c>
      <c r="D91" s="78" t="e">
        <v>#N/A</v>
      </c>
      <c r="E91" s="120" t="e">
        <v>#N/A</v>
      </c>
      <c r="F91" s="78" t="e">
        <v>#N/A</v>
      </c>
      <c r="G91" s="78" t="e">
        <v>#N/A</v>
      </c>
      <c r="BD91" s="78" t="e">
        <v>#N/A</v>
      </c>
      <c r="BE91" s="120" t="e">
        <v>#N/A</v>
      </c>
      <c r="BF91" s="78" t="e">
        <v>#N/A</v>
      </c>
      <c r="BG91" s="78" t="e">
        <v>#N/A</v>
      </c>
      <c r="BH91" s="120" t="e">
        <v>#N/A</v>
      </c>
      <c r="BI91" s="78" t="e">
        <v>#N/A</v>
      </c>
      <c r="BJ91" s="78" t="e">
        <v>#N/A</v>
      </c>
    </row>
    <row r="92" customFormat="false" ht="15.75" hidden="false" customHeight="false" outlineLevel="0" collapsed="false">
      <c r="A92" s="78" t="e">
        <v>#N/A</v>
      </c>
      <c r="B92" s="120" t="e">
        <v>#N/A</v>
      </c>
      <c r="C92" s="78" t="e">
        <v>#N/A</v>
      </c>
      <c r="D92" s="78" t="e">
        <v>#N/A</v>
      </c>
      <c r="E92" s="120" t="e">
        <v>#N/A</v>
      </c>
      <c r="F92" s="78" t="e">
        <v>#N/A</v>
      </c>
      <c r="G92" s="78" t="e">
        <v>#N/A</v>
      </c>
      <c r="BD92" s="78" t="e">
        <v>#N/A</v>
      </c>
      <c r="BE92" s="120" t="e">
        <v>#N/A</v>
      </c>
      <c r="BF92" s="78" t="e">
        <v>#N/A</v>
      </c>
      <c r="BG92" s="78" t="e">
        <v>#N/A</v>
      </c>
      <c r="BH92" s="120" t="e">
        <v>#N/A</v>
      </c>
      <c r="BI92" s="78" t="e">
        <v>#N/A</v>
      </c>
      <c r="BJ92" s="78" t="e">
        <v>#N/A</v>
      </c>
    </row>
    <row r="93" customFormat="false" ht="15.75" hidden="false" customHeight="false" outlineLevel="0" collapsed="false">
      <c r="A93" s="78" t="e">
        <v>#N/A</v>
      </c>
      <c r="B93" s="120" t="e">
        <v>#N/A</v>
      </c>
      <c r="C93" s="78" t="e">
        <v>#N/A</v>
      </c>
      <c r="D93" s="78" t="e">
        <v>#N/A</v>
      </c>
      <c r="E93" s="120" t="e">
        <v>#N/A</v>
      </c>
      <c r="F93" s="78" t="e">
        <v>#N/A</v>
      </c>
      <c r="G93" s="78" t="e">
        <v>#N/A</v>
      </c>
      <c r="BD93" s="78" t="e">
        <v>#N/A</v>
      </c>
      <c r="BE93" s="120" t="e">
        <v>#N/A</v>
      </c>
      <c r="BF93" s="78" t="e">
        <v>#N/A</v>
      </c>
      <c r="BG93" s="78" t="e">
        <v>#N/A</v>
      </c>
      <c r="BH93" s="120" t="e">
        <v>#N/A</v>
      </c>
      <c r="BI93" s="78" t="e">
        <v>#N/A</v>
      </c>
      <c r="BJ93" s="78" t="e">
        <v>#N/A</v>
      </c>
    </row>
    <row r="94" customFormat="false" ht="15.75" hidden="false" customHeight="false" outlineLevel="0" collapsed="false">
      <c r="A94" s="78" t="e">
        <v>#N/A</v>
      </c>
      <c r="B94" s="120" t="e">
        <v>#N/A</v>
      </c>
      <c r="C94" s="78" t="e">
        <v>#N/A</v>
      </c>
      <c r="D94" s="78" t="e">
        <v>#N/A</v>
      </c>
      <c r="E94" s="120" t="e">
        <v>#N/A</v>
      </c>
      <c r="F94" s="78" t="e">
        <v>#N/A</v>
      </c>
      <c r="G94" s="78" t="e">
        <v>#N/A</v>
      </c>
      <c r="BD94" s="78" t="e">
        <v>#N/A</v>
      </c>
      <c r="BE94" s="120" t="e">
        <v>#N/A</v>
      </c>
      <c r="BF94" s="78" t="e">
        <v>#N/A</v>
      </c>
      <c r="BG94" s="78" t="e">
        <v>#N/A</v>
      </c>
      <c r="BH94" s="120" t="e">
        <v>#N/A</v>
      </c>
      <c r="BI94" s="78" t="e">
        <v>#N/A</v>
      </c>
      <c r="BJ94" s="78" t="e">
        <v>#N/A</v>
      </c>
    </row>
    <row r="95" customFormat="false" ht="15.75" hidden="false" customHeight="false" outlineLevel="0" collapsed="false">
      <c r="A95" s="78" t="e">
        <v>#N/A</v>
      </c>
      <c r="B95" s="120" t="e">
        <v>#N/A</v>
      </c>
      <c r="C95" s="78" t="e">
        <v>#N/A</v>
      </c>
      <c r="D95" s="78" t="e">
        <v>#N/A</v>
      </c>
      <c r="E95" s="120" t="e">
        <v>#N/A</v>
      </c>
      <c r="F95" s="78" t="e">
        <v>#N/A</v>
      </c>
      <c r="G95" s="78" t="e">
        <v>#N/A</v>
      </c>
      <c r="BD95" s="78" t="e">
        <v>#N/A</v>
      </c>
      <c r="BE95" s="120" t="e">
        <v>#N/A</v>
      </c>
      <c r="BF95" s="78" t="e">
        <v>#N/A</v>
      </c>
      <c r="BG95" s="78" t="e">
        <v>#N/A</v>
      </c>
      <c r="BH95" s="120" t="e">
        <v>#N/A</v>
      </c>
      <c r="BI95" s="78" t="e">
        <v>#N/A</v>
      </c>
      <c r="BJ95" s="78" t="e">
        <v>#N/A</v>
      </c>
    </row>
    <row r="96" customFormat="false" ht="15.75" hidden="false" customHeight="false" outlineLevel="0" collapsed="false">
      <c r="A96" s="78" t="e">
        <v>#N/A</v>
      </c>
      <c r="B96" s="120" t="e">
        <v>#N/A</v>
      </c>
      <c r="C96" s="78" t="e">
        <v>#N/A</v>
      </c>
      <c r="D96" s="78" t="e">
        <v>#N/A</v>
      </c>
      <c r="E96" s="120" t="e">
        <v>#N/A</v>
      </c>
      <c r="F96" s="78" t="e">
        <v>#N/A</v>
      </c>
      <c r="G96" s="78" t="e">
        <v>#N/A</v>
      </c>
      <c r="BD96" s="78" t="e">
        <v>#N/A</v>
      </c>
      <c r="BE96" s="120" t="e">
        <v>#N/A</v>
      </c>
      <c r="BF96" s="78" t="e">
        <v>#N/A</v>
      </c>
      <c r="BG96" s="78" t="e">
        <v>#N/A</v>
      </c>
      <c r="BH96" s="120" t="e">
        <v>#N/A</v>
      </c>
      <c r="BI96" s="78" t="e">
        <v>#N/A</v>
      </c>
      <c r="BJ96" s="78" t="e">
        <v>#N/A</v>
      </c>
    </row>
    <row r="97" customFormat="false" ht="15.75" hidden="false" customHeight="false" outlineLevel="0" collapsed="false">
      <c r="A97" s="78" t="e">
        <v>#N/A</v>
      </c>
      <c r="B97" s="120" t="e">
        <v>#N/A</v>
      </c>
      <c r="C97" s="78" t="e">
        <v>#N/A</v>
      </c>
      <c r="D97" s="78" t="e">
        <v>#N/A</v>
      </c>
      <c r="E97" s="120" t="e">
        <v>#N/A</v>
      </c>
      <c r="F97" s="78" t="e">
        <v>#N/A</v>
      </c>
      <c r="G97" s="78" t="e">
        <v>#N/A</v>
      </c>
      <c r="BD97" s="78" t="e">
        <v>#N/A</v>
      </c>
      <c r="BE97" s="120" t="e">
        <v>#N/A</v>
      </c>
      <c r="BF97" s="78" t="e">
        <v>#N/A</v>
      </c>
      <c r="BG97" s="78" t="e">
        <v>#N/A</v>
      </c>
      <c r="BH97" s="120" t="e">
        <v>#N/A</v>
      </c>
      <c r="BI97" s="78" t="e">
        <v>#N/A</v>
      </c>
      <c r="BJ97" s="78" t="e">
        <v>#N/A</v>
      </c>
    </row>
    <row r="98" customFormat="false" ht="15.75" hidden="false" customHeight="false" outlineLevel="0" collapsed="false">
      <c r="A98" s="78" t="e">
        <v>#N/A</v>
      </c>
      <c r="B98" s="120" t="e">
        <v>#N/A</v>
      </c>
      <c r="C98" s="78" t="e">
        <v>#N/A</v>
      </c>
      <c r="D98" s="78" t="e">
        <v>#N/A</v>
      </c>
      <c r="E98" s="120" t="e">
        <v>#N/A</v>
      </c>
      <c r="F98" s="78" t="e">
        <v>#N/A</v>
      </c>
      <c r="G98" s="78" t="e">
        <v>#N/A</v>
      </c>
      <c r="BD98" s="78" t="e">
        <v>#N/A</v>
      </c>
      <c r="BE98" s="120" t="e">
        <v>#N/A</v>
      </c>
      <c r="BF98" s="78" t="e">
        <v>#N/A</v>
      </c>
      <c r="BG98" s="78" t="e">
        <v>#N/A</v>
      </c>
      <c r="BH98" s="120" t="e">
        <v>#N/A</v>
      </c>
      <c r="BI98" s="78" t="e">
        <v>#N/A</v>
      </c>
      <c r="BJ98" s="78" t="e">
        <v>#N/A</v>
      </c>
    </row>
    <row r="99" customFormat="false" ht="15.75" hidden="false" customHeight="false" outlineLevel="0" collapsed="false">
      <c r="A99" s="78" t="e">
        <v>#N/A</v>
      </c>
      <c r="B99" s="120" t="e">
        <v>#N/A</v>
      </c>
      <c r="C99" s="78" t="e">
        <v>#N/A</v>
      </c>
      <c r="D99" s="78" t="e">
        <v>#N/A</v>
      </c>
      <c r="E99" s="120" t="e">
        <v>#N/A</v>
      </c>
      <c r="F99" s="78" t="e">
        <v>#N/A</v>
      </c>
      <c r="G99" s="78" t="e">
        <v>#N/A</v>
      </c>
      <c r="BD99" s="78" t="e">
        <v>#N/A</v>
      </c>
      <c r="BE99" s="120" t="e">
        <v>#N/A</v>
      </c>
      <c r="BF99" s="78" t="e">
        <v>#N/A</v>
      </c>
      <c r="BG99" s="78" t="e">
        <v>#N/A</v>
      </c>
      <c r="BH99" s="120" t="e">
        <v>#N/A</v>
      </c>
      <c r="BI99" s="78" t="e">
        <v>#N/A</v>
      </c>
      <c r="BJ99" s="78" t="e">
        <v>#N/A</v>
      </c>
    </row>
    <row r="100" customFormat="false" ht="15.75" hidden="false" customHeight="false" outlineLevel="0" collapsed="false">
      <c r="A100" s="78" t="e">
        <v>#N/A</v>
      </c>
      <c r="B100" s="120" t="e">
        <v>#N/A</v>
      </c>
      <c r="C100" s="78" t="e">
        <v>#N/A</v>
      </c>
      <c r="D100" s="78" t="e">
        <v>#N/A</v>
      </c>
      <c r="E100" s="120" t="e">
        <v>#N/A</v>
      </c>
      <c r="F100" s="78" t="e">
        <v>#N/A</v>
      </c>
      <c r="G100" s="78" t="e">
        <v>#N/A</v>
      </c>
      <c r="BD100" s="78" t="e">
        <v>#N/A</v>
      </c>
      <c r="BE100" s="120" t="e">
        <v>#N/A</v>
      </c>
      <c r="BF100" s="78" t="e">
        <v>#N/A</v>
      </c>
      <c r="BG100" s="78" t="e">
        <v>#N/A</v>
      </c>
      <c r="BH100" s="120" t="e">
        <v>#N/A</v>
      </c>
      <c r="BI100" s="78" t="e">
        <v>#N/A</v>
      </c>
      <c r="BJ100" s="78" t="e">
        <v>#N/A</v>
      </c>
    </row>
    <row r="101" customFormat="false" ht="15.75" hidden="false" customHeight="false" outlineLevel="0" collapsed="false">
      <c r="A101" s="78" t="e">
        <v>#N/A</v>
      </c>
      <c r="B101" s="120" t="e">
        <v>#N/A</v>
      </c>
      <c r="C101" s="78" t="e">
        <v>#N/A</v>
      </c>
      <c r="D101" s="78" t="e">
        <v>#N/A</v>
      </c>
      <c r="E101" s="120" t="e">
        <v>#N/A</v>
      </c>
      <c r="F101" s="78" t="e">
        <v>#N/A</v>
      </c>
      <c r="G101" s="78" t="e">
        <v>#N/A</v>
      </c>
      <c r="BD101" s="78" t="e">
        <v>#N/A</v>
      </c>
      <c r="BE101" s="120" t="e">
        <v>#N/A</v>
      </c>
      <c r="BF101" s="78" t="e">
        <v>#N/A</v>
      </c>
      <c r="BG101" s="78" t="e">
        <v>#N/A</v>
      </c>
      <c r="BH101" s="120" t="e">
        <v>#N/A</v>
      </c>
      <c r="BI101" s="78" t="e">
        <v>#N/A</v>
      </c>
      <c r="BJ101" s="78" t="e">
        <v>#N/A</v>
      </c>
    </row>
    <row r="102" customFormat="false" ht="15.75" hidden="false" customHeight="false" outlineLevel="0" collapsed="false">
      <c r="A102" s="78" t="e">
        <v>#N/A</v>
      </c>
      <c r="B102" s="120" t="e">
        <v>#N/A</v>
      </c>
      <c r="C102" s="78" t="e">
        <v>#N/A</v>
      </c>
      <c r="D102" s="78" t="e">
        <v>#N/A</v>
      </c>
      <c r="E102" s="120" t="e">
        <v>#N/A</v>
      </c>
      <c r="F102" s="78" t="e">
        <v>#N/A</v>
      </c>
      <c r="G102" s="78" t="e">
        <v>#N/A</v>
      </c>
      <c r="BD102" s="78" t="e">
        <v>#N/A</v>
      </c>
      <c r="BE102" s="120" t="e">
        <v>#N/A</v>
      </c>
      <c r="BF102" s="78" t="e">
        <v>#N/A</v>
      </c>
      <c r="BG102" s="78" t="e">
        <v>#N/A</v>
      </c>
      <c r="BH102" s="120" t="e">
        <v>#N/A</v>
      </c>
      <c r="BI102" s="78" t="e">
        <v>#N/A</v>
      </c>
      <c r="BJ102" s="78" t="e">
        <v>#N/A</v>
      </c>
    </row>
    <row r="103" customFormat="false" ht="15.75" hidden="false" customHeight="false" outlineLevel="0" collapsed="false">
      <c r="A103" s="78" t="e">
        <v>#N/A</v>
      </c>
      <c r="B103" s="120" t="e">
        <v>#N/A</v>
      </c>
      <c r="C103" s="78" t="e">
        <v>#N/A</v>
      </c>
      <c r="D103" s="78" t="e">
        <v>#N/A</v>
      </c>
      <c r="E103" s="120" t="e">
        <v>#N/A</v>
      </c>
      <c r="F103" s="78" t="e">
        <v>#N/A</v>
      </c>
      <c r="G103" s="78" t="e">
        <v>#N/A</v>
      </c>
      <c r="BD103" s="78" t="e">
        <v>#N/A</v>
      </c>
      <c r="BE103" s="120" t="e">
        <v>#N/A</v>
      </c>
      <c r="BF103" s="78" t="e">
        <v>#N/A</v>
      </c>
      <c r="BG103" s="78" t="e">
        <v>#N/A</v>
      </c>
      <c r="BH103" s="120" t="e">
        <v>#N/A</v>
      </c>
      <c r="BI103" s="78" t="e">
        <v>#N/A</v>
      </c>
      <c r="BJ103" s="78" t="e">
        <v>#N/A</v>
      </c>
    </row>
    <row r="104" customFormat="false" ht="15.75" hidden="false" customHeight="false" outlineLevel="0" collapsed="false">
      <c r="A104" s="78" t="e">
        <v>#N/A</v>
      </c>
      <c r="B104" s="120" t="e">
        <v>#N/A</v>
      </c>
      <c r="C104" s="78" t="e">
        <v>#N/A</v>
      </c>
      <c r="D104" s="78" t="e">
        <v>#N/A</v>
      </c>
      <c r="E104" s="120" t="e">
        <v>#N/A</v>
      </c>
      <c r="F104" s="78" t="e">
        <v>#N/A</v>
      </c>
      <c r="G104" s="78" t="e">
        <v>#N/A</v>
      </c>
      <c r="BD104" s="78" t="e">
        <v>#N/A</v>
      </c>
      <c r="BE104" s="120" t="e">
        <v>#N/A</v>
      </c>
      <c r="BF104" s="78" t="e">
        <v>#N/A</v>
      </c>
      <c r="BG104" s="78" t="e">
        <v>#N/A</v>
      </c>
      <c r="BH104" s="120" t="e">
        <v>#N/A</v>
      </c>
      <c r="BI104" s="78" t="e">
        <v>#N/A</v>
      </c>
      <c r="BJ104" s="78" t="e">
        <v>#N/A</v>
      </c>
    </row>
    <row r="105" customFormat="false" ht="15.75" hidden="false" customHeight="false" outlineLevel="0" collapsed="false">
      <c r="A105" s="78" t="e">
        <v>#N/A</v>
      </c>
      <c r="B105" s="120" t="e">
        <v>#N/A</v>
      </c>
      <c r="C105" s="78" t="e">
        <v>#N/A</v>
      </c>
      <c r="D105" s="78" t="e">
        <v>#N/A</v>
      </c>
      <c r="E105" s="120" t="e">
        <v>#N/A</v>
      </c>
      <c r="F105" s="78" t="e">
        <v>#N/A</v>
      </c>
      <c r="G105" s="78" t="e">
        <v>#N/A</v>
      </c>
      <c r="BD105" s="78" t="e">
        <v>#N/A</v>
      </c>
      <c r="BE105" s="120" t="e">
        <v>#N/A</v>
      </c>
      <c r="BF105" s="78" t="e">
        <v>#N/A</v>
      </c>
      <c r="BG105" s="78" t="e">
        <v>#N/A</v>
      </c>
      <c r="BH105" s="120" t="e">
        <v>#N/A</v>
      </c>
      <c r="BI105" s="78" t="e">
        <v>#N/A</v>
      </c>
      <c r="BJ105" s="78" t="e">
        <v>#N/A</v>
      </c>
    </row>
    <row r="106" customFormat="false" ht="15.75" hidden="false" customHeight="false" outlineLevel="0" collapsed="false">
      <c r="A106" s="78" t="e">
        <v>#N/A</v>
      </c>
      <c r="B106" s="120" t="e">
        <v>#N/A</v>
      </c>
      <c r="C106" s="78" t="e">
        <v>#N/A</v>
      </c>
      <c r="D106" s="78" t="e">
        <v>#N/A</v>
      </c>
      <c r="E106" s="120" t="e">
        <v>#N/A</v>
      </c>
      <c r="F106" s="78" t="e">
        <v>#N/A</v>
      </c>
      <c r="G106" s="78" t="e">
        <v>#N/A</v>
      </c>
      <c r="BD106" s="78" t="e">
        <v>#N/A</v>
      </c>
      <c r="BE106" s="120" t="e">
        <v>#N/A</v>
      </c>
      <c r="BF106" s="78" t="e">
        <v>#N/A</v>
      </c>
      <c r="BG106" s="78" t="e">
        <v>#N/A</v>
      </c>
      <c r="BH106" s="120" t="e">
        <v>#N/A</v>
      </c>
      <c r="BI106" s="78" t="e">
        <v>#N/A</v>
      </c>
      <c r="BJ106" s="78" t="e">
        <v>#N/A</v>
      </c>
    </row>
    <row r="107" customFormat="false" ht="15.75" hidden="false" customHeight="false" outlineLevel="0" collapsed="false">
      <c r="A107" s="78" t="e">
        <v>#N/A</v>
      </c>
      <c r="B107" s="120" t="e">
        <v>#N/A</v>
      </c>
      <c r="C107" s="78" t="e">
        <v>#N/A</v>
      </c>
      <c r="D107" s="78" t="e">
        <v>#N/A</v>
      </c>
      <c r="E107" s="120" t="e">
        <v>#N/A</v>
      </c>
      <c r="F107" s="78" t="e">
        <v>#N/A</v>
      </c>
      <c r="G107" s="78" t="e">
        <v>#N/A</v>
      </c>
      <c r="BD107" s="78" t="e">
        <v>#N/A</v>
      </c>
      <c r="BE107" s="120" t="e">
        <v>#N/A</v>
      </c>
      <c r="BF107" s="78" t="e">
        <v>#N/A</v>
      </c>
      <c r="BG107" s="78" t="e">
        <v>#N/A</v>
      </c>
      <c r="BH107" s="120" t="e">
        <v>#N/A</v>
      </c>
      <c r="BI107" s="78" t="e">
        <v>#N/A</v>
      </c>
      <c r="BJ107" s="78" t="e">
        <v>#N/A</v>
      </c>
    </row>
    <row r="108" customFormat="false" ht="15.75" hidden="false" customHeight="false" outlineLevel="0" collapsed="false">
      <c r="A108" s="78" t="e">
        <v>#N/A</v>
      </c>
      <c r="B108" s="120" t="e">
        <v>#N/A</v>
      </c>
      <c r="C108" s="78" t="e">
        <v>#N/A</v>
      </c>
      <c r="D108" s="78" t="e">
        <v>#N/A</v>
      </c>
      <c r="E108" s="120" t="e">
        <v>#N/A</v>
      </c>
      <c r="F108" s="78" t="e">
        <v>#N/A</v>
      </c>
      <c r="G108" s="78" t="e">
        <v>#N/A</v>
      </c>
      <c r="BD108" s="78" t="e">
        <v>#N/A</v>
      </c>
      <c r="BE108" s="120" t="e">
        <v>#N/A</v>
      </c>
      <c r="BF108" s="78" t="e">
        <v>#N/A</v>
      </c>
      <c r="BG108" s="78" t="e">
        <v>#N/A</v>
      </c>
      <c r="BH108" s="120" t="e">
        <v>#N/A</v>
      </c>
      <c r="BI108" s="78" t="e">
        <v>#N/A</v>
      </c>
      <c r="BJ108" s="78" t="e">
        <v>#N/A</v>
      </c>
    </row>
    <row r="109" customFormat="false" ht="15.75" hidden="false" customHeight="false" outlineLevel="0" collapsed="false">
      <c r="A109" s="78" t="e">
        <v>#N/A</v>
      </c>
      <c r="B109" s="120" t="e">
        <v>#N/A</v>
      </c>
      <c r="C109" s="78" t="e">
        <v>#N/A</v>
      </c>
      <c r="D109" s="78" t="e">
        <v>#N/A</v>
      </c>
      <c r="E109" s="120" t="e">
        <v>#N/A</v>
      </c>
      <c r="F109" s="78" t="e">
        <v>#N/A</v>
      </c>
      <c r="G109" s="78" t="e">
        <v>#N/A</v>
      </c>
      <c r="BD109" s="78" t="e">
        <v>#N/A</v>
      </c>
      <c r="BE109" s="120" t="e">
        <v>#N/A</v>
      </c>
      <c r="BF109" s="78" t="e">
        <v>#N/A</v>
      </c>
      <c r="BG109" s="78" t="e">
        <v>#N/A</v>
      </c>
      <c r="BH109" s="120" t="e">
        <v>#N/A</v>
      </c>
      <c r="BI109" s="78" t="e">
        <v>#N/A</v>
      </c>
      <c r="BJ109" s="78" t="e">
        <v>#N/A</v>
      </c>
    </row>
    <row r="110" customFormat="false" ht="15.75" hidden="false" customHeight="false" outlineLevel="0" collapsed="false">
      <c r="A110" s="78" t="e">
        <v>#N/A</v>
      </c>
      <c r="B110" s="120" t="e">
        <v>#N/A</v>
      </c>
      <c r="C110" s="78" t="e">
        <v>#N/A</v>
      </c>
      <c r="D110" s="78" t="e">
        <v>#N/A</v>
      </c>
      <c r="E110" s="120" t="e">
        <v>#N/A</v>
      </c>
      <c r="F110" s="78" t="e">
        <v>#N/A</v>
      </c>
      <c r="G110" s="78" t="e">
        <v>#N/A</v>
      </c>
      <c r="BD110" s="78" t="e">
        <v>#N/A</v>
      </c>
      <c r="BE110" s="120" t="e">
        <v>#N/A</v>
      </c>
      <c r="BF110" s="78" t="e">
        <v>#N/A</v>
      </c>
      <c r="BG110" s="78" t="e">
        <v>#N/A</v>
      </c>
      <c r="BH110" s="120" t="e">
        <v>#N/A</v>
      </c>
      <c r="BI110" s="78" t="e">
        <v>#N/A</v>
      </c>
      <c r="BJ110" s="78" t="e">
        <v>#N/A</v>
      </c>
    </row>
    <row r="111" customFormat="false" ht="15.75" hidden="false" customHeight="false" outlineLevel="0" collapsed="false">
      <c r="A111" s="78" t="e">
        <v>#N/A</v>
      </c>
      <c r="B111" s="120" t="e">
        <v>#N/A</v>
      </c>
      <c r="C111" s="78" t="e">
        <v>#N/A</v>
      </c>
      <c r="D111" s="78" t="e">
        <v>#N/A</v>
      </c>
      <c r="E111" s="120" t="e">
        <v>#N/A</v>
      </c>
      <c r="F111" s="78" t="e">
        <v>#N/A</v>
      </c>
      <c r="G111" s="78" t="e">
        <v>#N/A</v>
      </c>
      <c r="BD111" s="78" t="e">
        <v>#N/A</v>
      </c>
      <c r="BE111" s="120" t="e">
        <v>#N/A</v>
      </c>
      <c r="BF111" s="78" t="e">
        <v>#N/A</v>
      </c>
      <c r="BG111" s="78" t="e">
        <v>#N/A</v>
      </c>
      <c r="BH111" s="120" t="e">
        <v>#N/A</v>
      </c>
      <c r="BI111" s="78" t="e">
        <v>#N/A</v>
      </c>
      <c r="BJ111" s="78" t="e">
        <v>#N/A</v>
      </c>
    </row>
    <row r="112" customFormat="false" ht="15.75" hidden="false" customHeight="false" outlineLevel="0" collapsed="false">
      <c r="A112" s="78" t="e">
        <v>#N/A</v>
      </c>
      <c r="B112" s="120" t="e">
        <v>#N/A</v>
      </c>
      <c r="C112" s="78" t="e">
        <v>#N/A</v>
      </c>
      <c r="D112" s="78" t="e">
        <v>#N/A</v>
      </c>
      <c r="E112" s="120" t="e">
        <v>#N/A</v>
      </c>
      <c r="F112" s="78" t="e">
        <v>#N/A</v>
      </c>
      <c r="G112" s="78" t="e">
        <v>#N/A</v>
      </c>
      <c r="BD112" s="78" t="e">
        <v>#N/A</v>
      </c>
      <c r="BE112" s="120" t="e">
        <v>#N/A</v>
      </c>
      <c r="BF112" s="78" t="e">
        <v>#N/A</v>
      </c>
      <c r="BG112" s="78" t="e">
        <v>#N/A</v>
      </c>
      <c r="BH112" s="120" t="e">
        <v>#N/A</v>
      </c>
      <c r="BI112" s="78" t="e">
        <v>#N/A</v>
      </c>
      <c r="BJ112" s="78" t="e">
        <v>#N/A</v>
      </c>
    </row>
    <row r="113" customFormat="false" ht="15.75" hidden="false" customHeight="false" outlineLevel="0" collapsed="false">
      <c r="A113" s="78" t="e">
        <v>#N/A</v>
      </c>
      <c r="B113" s="120" t="e">
        <v>#N/A</v>
      </c>
      <c r="C113" s="78" t="e">
        <v>#N/A</v>
      </c>
      <c r="D113" s="78" t="e">
        <v>#N/A</v>
      </c>
      <c r="E113" s="120" t="e">
        <v>#N/A</v>
      </c>
      <c r="F113" s="78" t="e">
        <v>#N/A</v>
      </c>
      <c r="G113" s="78" t="e">
        <v>#N/A</v>
      </c>
      <c r="BD113" s="78" t="e">
        <v>#N/A</v>
      </c>
      <c r="BE113" s="120" t="e">
        <v>#N/A</v>
      </c>
      <c r="BF113" s="78" t="e">
        <v>#N/A</v>
      </c>
      <c r="BG113" s="78" t="e">
        <v>#N/A</v>
      </c>
      <c r="BH113" s="120" t="e">
        <v>#N/A</v>
      </c>
      <c r="BI113" s="78" t="e">
        <v>#N/A</v>
      </c>
      <c r="BJ113" s="78" t="e">
        <v>#N/A</v>
      </c>
    </row>
    <row r="114" customFormat="false" ht="15.75" hidden="false" customHeight="false" outlineLevel="0" collapsed="false">
      <c r="A114" s="78" t="e">
        <v>#N/A</v>
      </c>
      <c r="B114" s="120" t="e">
        <v>#N/A</v>
      </c>
      <c r="C114" s="78" t="e">
        <v>#N/A</v>
      </c>
      <c r="D114" s="78" t="e">
        <v>#N/A</v>
      </c>
      <c r="E114" s="120" t="e">
        <v>#N/A</v>
      </c>
      <c r="F114" s="78" t="e">
        <v>#N/A</v>
      </c>
      <c r="G114" s="78" t="e">
        <v>#N/A</v>
      </c>
      <c r="BD114" s="78" t="e">
        <v>#N/A</v>
      </c>
      <c r="BE114" s="120" t="e">
        <v>#N/A</v>
      </c>
      <c r="BF114" s="78" t="e">
        <v>#N/A</v>
      </c>
      <c r="BG114" s="78" t="e">
        <v>#N/A</v>
      </c>
      <c r="BH114" s="120" t="e">
        <v>#N/A</v>
      </c>
      <c r="BI114" s="78" t="e">
        <v>#N/A</v>
      </c>
      <c r="BJ114" s="78" t="e">
        <v>#N/A</v>
      </c>
    </row>
    <row r="115" customFormat="false" ht="15.75" hidden="false" customHeight="false" outlineLevel="0" collapsed="false">
      <c r="A115" s="78" t="e">
        <v>#N/A</v>
      </c>
      <c r="B115" s="120" t="e">
        <v>#N/A</v>
      </c>
      <c r="C115" s="78" t="e">
        <v>#N/A</v>
      </c>
      <c r="D115" s="78" t="e">
        <v>#N/A</v>
      </c>
      <c r="E115" s="120" t="e">
        <v>#N/A</v>
      </c>
      <c r="F115" s="78" t="e">
        <v>#N/A</v>
      </c>
      <c r="G115" s="78" t="e">
        <v>#N/A</v>
      </c>
      <c r="BD115" s="78" t="e">
        <v>#N/A</v>
      </c>
      <c r="BE115" s="120" t="e">
        <v>#N/A</v>
      </c>
      <c r="BF115" s="78" t="e">
        <v>#N/A</v>
      </c>
      <c r="BG115" s="78" t="e">
        <v>#N/A</v>
      </c>
      <c r="BH115" s="120" t="e">
        <v>#N/A</v>
      </c>
      <c r="BI115" s="78" t="e">
        <v>#N/A</v>
      </c>
      <c r="BJ115" s="78" t="e">
        <v>#N/A</v>
      </c>
    </row>
    <row r="116" customFormat="false" ht="15.75" hidden="false" customHeight="false" outlineLevel="0" collapsed="false">
      <c r="A116" s="78" t="e">
        <v>#N/A</v>
      </c>
      <c r="B116" s="120" t="e">
        <v>#N/A</v>
      </c>
      <c r="C116" s="78" t="e">
        <v>#N/A</v>
      </c>
      <c r="D116" s="78" t="e">
        <v>#N/A</v>
      </c>
      <c r="E116" s="120" t="e">
        <v>#N/A</v>
      </c>
      <c r="F116" s="78" t="e">
        <v>#N/A</v>
      </c>
      <c r="G116" s="78" t="e">
        <v>#N/A</v>
      </c>
      <c r="BD116" s="78" t="e">
        <v>#N/A</v>
      </c>
      <c r="BE116" s="120" t="e">
        <v>#N/A</v>
      </c>
      <c r="BF116" s="78" t="e">
        <v>#N/A</v>
      </c>
      <c r="BG116" s="78" t="e">
        <v>#N/A</v>
      </c>
      <c r="BH116" s="120" t="e">
        <v>#N/A</v>
      </c>
      <c r="BI116" s="78" t="e">
        <v>#N/A</v>
      </c>
      <c r="BJ116" s="78" t="e">
        <v>#N/A</v>
      </c>
    </row>
    <row r="117" customFormat="false" ht="15.75" hidden="false" customHeight="false" outlineLevel="0" collapsed="false">
      <c r="A117" s="78" t="e">
        <v>#N/A</v>
      </c>
      <c r="B117" s="120" t="e">
        <v>#N/A</v>
      </c>
      <c r="C117" s="78" t="e">
        <v>#N/A</v>
      </c>
      <c r="D117" s="78" t="e">
        <v>#N/A</v>
      </c>
      <c r="E117" s="120" t="e">
        <v>#N/A</v>
      </c>
      <c r="F117" s="78" t="e">
        <v>#N/A</v>
      </c>
      <c r="G117" s="78" t="e">
        <v>#N/A</v>
      </c>
      <c r="BD117" s="78" t="e">
        <v>#N/A</v>
      </c>
      <c r="BE117" s="120" t="e">
        <v>#N/A</v>
      </c>
      <c r="BF117" s="78" t="e">
        <v>#N/A</v>
      </c>
      <c r="BG117" s="78" t="e">
        <v>#N/A</v>
      </c>
      <c r="BH117" s="120" t="e">
        <v>#N/A</v>
      </c>
      <c r="BI117" s="78" t="e">
        <v>#N/A</v>
      </c>
      <c r="BJ117" s="78" t="e">
        <v>#N/A</v>
      </c>
    </row>
    <row r="118" customFormat="false" ht="15.75" hidden="false" customHeight="false" outlineLevel="0" collapsed="false">
      <c r="A118" s="78" t="e">
        <v>#N/A</v>
      </c>
      <c r="B118" s="120" t="e">
        <v>#N/A</v>
      </c>
      <c r="C118" s="78" t="e">
        <v>#N/A</v>
      </c>
      <c r="D118" s="78" t="e">
        <v>#N/A</v>
      </c>
      <c r="E118" s="120" t="e">
        <v>#N/A</v>
      </c>
      <c r="F118" s="78" t="e">
        <v>#N/A</v>
      </c>
      <c r="G118" s="78" t="e">
        <v>#N/A</v>
      </c>
      <c r="BD118" s="78" t="e">
        <v>#N/A</v>
      </c>
      <c r="BE118" s="120" t="e">
        <v>#N/A</v>
      </c>
      <c r="BF118" s="78" t="e">
        <v>#N/A</v>
      </c>
      <c r="BG118" s="78" t="e">
        <v>#N/A</v>
      </c>
      <c r="BH118" s="120" t="e">
        <v>#N/A</v>
      </c>
      <c r="BI118" s="78" t="e">
        <v>#N/A</v>
      </c>
      <c r="BJ118" s="78" t="e">
        <v>#N/A</v>
      </c>
    </row>
    <row r="119" customFormat="false" ht="15.75" hidden="false" customHeight="false" outlineLevel="0" collapsed="false">
      <c r="A119" s="78" t="e">
        <v>#N/A</v>
      </c>
      <c r="B119" s="120" t="e">
        <v>#N/A</v>
      </c>
      <c r="C119" s="78" t="e">
        <v>#N/A</v>
      </c>
      <c r="D119" s="78" t="e">
        <v>#N/A</v>
      </c>
      <c r="E119" s="120" t="e">
        <v>#N/A</v>
      </c>
      <c r="F119" s="78" t="e">
        <v>#N/A</v>
      </c>
      <c r="G119" s="78" t="e">
        <v>#N/A</v>
      </c>
      <c r="BD119" s="78" t="e">
        <v>#N/A</v>
      </c>
      <c r="BE119" s="120" t="e">
        <v>#N/A</v>
      </c>
      <c r="BF119" s="78" t="e">
        <v>#N/A</v>
      </c>
      <c r="BG119" s="78" t="e">
        <v>#N/A</v>
      </c>
      <c r="BH119" s="120" t="e">
        <v>#N/A</v>
      </c>
      <c r="BI119" s="78" t="e">
        <v>#N/A</v>
      </c>
      <c r="BJ119" s="78" t="e">
        <v>#N/A</v>
      </c>
    </row>
    <row r="120" customFormat="false" ht="15.75" hidden="false" customHeight="false" outlineLevel="0" collapsed="false">
      <c r="A120" s="78" t="e">
        <v>#N/A</v>
      </c>
      <c r="B120" s="120" t="e">
        <v>#N/A</v>
      </c>
      <c r="C120" s="78" t="e">
        <v>#N/A</v>
      </c>
      <c r="D120" s="78" t="e">
        <v>#N/A</v>
      </c>
      <c r="E120" s="120" t="e">
        <v>#N/A</v>
      </c>
      <c r="F120" s="78" t="e">
        <v>#N/A</v>
      </c>
      <c r="G120" s="78" t="e">
        <v>#N/A</v>
      </c>
      <c r="BD120" s="78" t="e">
        <v>#N/A</v>
      </c>
      <c r="BE120" s="120" t="e">
        <v>#N/A</v>
      </c>
      <c r="BF120" s="78" t="e">
        <v>#N/A</v>
      </c>
      <c r="BG120" s="78" t="e">
        <v>#N/A</v>
      </c>
      <c r="BH120" s="120" t="e">
        <v>#N/A</v>
      </c>
      <c r="BI120" s="78" t="e">
        <v>#N/A</v>
      </c>
      <c r="BJ120" s="78" t="e">
        <v>#N/A</v>
      </c>
    </row>
    <row r="121" customFormat="false" ht="15.75" hidden="false" customHeight="false" outlineLevel="0" collapsed="false">
      <c r="A121" s="78" t="e">
        <v>#N/A</v>
      </c>
      <c r="B121" s="120" t="e">
        <v>#N/A</v>
      </c>
      <c r="C121" s="78" t="e">
        <v>#N/A</v>
      </c>
      <c r="D121" s="78" t="e">
        <v>#N/A</v>
      </c>
      <c r="E121" s="120" t="e">
        <v>#N/A</v>
      </c>
      <c r="F121" s="78" t="e">
        <v>#N/A</v>
      </c>
      <c r="G121" s="78" t="e">
        <v>#N/A</v>
      </c>
      <c r="BD121" s="78" t="e">
        <v>#N/A</v>
      </c>
      <c r="BE121" s="120" t="e">
        <v>#N/A</v>
      </c>
      <c r="BF121" s="78" t="e">
        <v>#N/A</v>
      </c>
      <c r="BG121" s="78" t="e">
        <v>#N/A</v>
      </c>
      <c r="BH121" s="120" t="e">
        <v>#N/A</v>
      </c>
      <c r="BI121" s="78" t="e">
        <v>#N/A</v>
      </c>
      <c r="BJ121" s="78" t="e">
        <v>#N/A</v>
      </c>
    </row>
    <row r="122" customFormat="false" ht="15.75" hidden="false" customHeight="false" outlineLevel="0" collapsed="false">
      <c r="A122" s="78" t="e">
        <v>#N/A</v>
      </c>
      <c r="B122" s="120" t="e">
        <v>#N/A</v>
      </c>
      <c r="C122" s="78" t="e">
        <v>#N/A</v>
      </c>
      <c r="D122" s="78" t="e">
        <v>#N/A</v>
      </c>
      <c r="E122" s="120" t="e">
        <v>#N/A</v>
      </c>
      <c r="F122" s="78" t="e">
        <v>#N/A</v>
      </c>
      <c r="G122" s="78" t="e">
        <v>#N/A</v>
      </c>
      <c r="BD122" s="78" t="e">
        <v>#N/A</v>
      </c>
      <c r="BE122" s="120" t="e">
        <v>#N/A</v>
      </c>
      <c r="BF122" s="78" t="e">
        <v>#N/A</v>
      </c>
      <c r="BG122" s="78" t="e">
        <v>#N/A</v>
      </c>
      <c r="BH122" s="120" t="e">
        <v>#N/A</v>
      </c>
      <c r="BI122" s="78" t="e">
        <v>#N/A</v>
      </c>
      <c r="BJ122" s="78" t="e">
        <v>#N/A</v>
      </c>
    </row>
    <row r="123" customFormat="false" ht="15.75" hidden="false" customHeight="false" outlineLevel="0" collapsed="false">
      <c r="A123" s="78" t="e">
        <v>#N/A</v>
      </c>
      <c r="B123" s="120" t="e">
        <v>#N/A</v>
      </c>
      <c r="C123" s="78" t="e">
        <v>#N/A</v>
      </c>
      <c r="D123" s="78" t="e">
        <v>#N/A</v>
      </c>
      <c r="E123" s="120" t="e">
        <v>#N/A</v>
      </c>
      <c r="F123" s="78" t="e">
        <v>#N/A</v>
      </c>
      <c r="G123" s="78" t="e">
        <v>#N/A</v>
      </c>
      <c r="BD123" s="78" t="e">
        <v>#N/A</v>
      </c>
      <c r="BE123" s="120" t="e">
        <v>#N/A</v>
      </c>
      <c r="BF123" s="78" t="e">
        <v>#N/A</v>
      </c>
      <c r="BG123" s="78" t="e">
        <v>#N/A</v>
      </c>
      <c r="BH123" s="120" t="e">
        <v>#N/A</v>
      </c>
      <c r="BI123" s="78" t="e">
        <v>#N/A</v>
      </c>
      <c r="BJ123" s="78" t="e">
        <v>#N/A</v>
      </c>
    </row>
    <row r="124" customFormat="false" ht="15.75" hidden="false" customHeight="false" outlineLevel="0" collapsed="false">
      <c r="A124" s="78" t="e">
        <v>#N/A</v>
      </c>
      <c r="B124" s="120" t="e">
        <v>#N/A</v>
      </c>
      <c r="C124" s="78" t="e">
        <v>#N/A</v>
      </c>
      <c r="D124" s="78" t="e">
        <v>#N/A</v>
      </c>
      <c r="E124" s="120" t="e">
        <v>#N/A</v>
      </c>
      <c r="F124" s="78" t="e">
        <v>#N/A</v>
      </c>
      <c r="G124" s="78" t="e">
        <v>#N/A</v>
      </c>
      <c r="BD124" s="78" t="e">
        <v>#N/A</v>
      </c>
      <c r="BE124" s="120" t="e">
        <v>#N/A</v>
      </c>
      <c r="BF124" s="78" t="e">
        <v>#N/A</v>
      </c>
      <c r="BG124" s="78" t="e">
        <v>#N/A</v>
      </c>
      <c r="BH124" s="120" t="e">
        <v>#N/A</v>
      </c>
      <c r="BI124" s="78" t="e">
        <v>#N/A</v>
      </c>
      <c r="BJ124" s="78" t="e">
        <v>#N/A</v>
      </c>
    </row>
    <row r="125" customFormat="false" ht="15.75" hidden="false" customHeight="false" outlineLevel="0" collapsed="false">
      <c r="A125" s="78" t="e">
        <v>#N/A</v>
      </c>
      <c r="B125" s="120" t="e">
        <v>#N/A</v>
      </c>
      <c r="C125" s="78" t="e">
        <v>#N/A</v>
      </c>
      <c r="D125" s="78" t="e">
        <v>#N/A</v>
      </c>
      <c r="E125" s="120" t="e">
        <v>#N/A</v>
      </c>
      <c r="F125" s="78" t="e">
        <v>#N/A</v>
      </c>
      <c r="G125" s="78" t="e">
        <v>#N/A</v>
      </c>
      <c r="BD125" s="78" t="e">
        <v>#N/A</v>
      </c>
      <c r="BE125" s="120" t="e">
        <v>#N/A</v>
      </c>
      <c r="BF125" s="78" t="e">
        <v>#N/A</v>
      </c>
      <c r="BG125" s="78" t="e">
        <v>#N/A</v>
      </c>
      <c r="BH125" s="120" t="e">
        <v>#N/A</v>
      </c>
      <c r="BI125" s="78" t="e">
        <v>#N/A</v>
      </c>
      <c r="BJ125" s="78" t="e">
        <v>#N/A</v>
      </c>
    </row>
    <row r="126" customFormat="false" ht="15.75" hidden="false" customHeight="false" outlineLevel="0" collapsed="false">
      <c r="A126" s="78" t="e">
        <v>#N/A</v>
      </c>
      <c r="B126" s="120" t="e">
        <v>#N/A</v>
      </c>
      <c r="C126" s="78" t="e">
        <v>#N/A</v>
      </c>
      <c r="D126" s="78" t="e">
        <v>#N/A</v>
      </c>
      <c r="E126" s="120" t="e">
        <v>#N/A</v>
      </c>
      <c r="F126" s="78" t="e">
        <v>#N/A</v>
      </c>
      <c r="G126" s="78" t="e">
        <v>#N/A</v>
      </c>
      <c r="BD126" s="78" t="e">
        <v>#N/A</v>
      </c>
      <c r="BE126" s="120" t="e">
        <v>#N/A</v>
      </c>
      <c r="BF126" s="78" t="e">
        <v>#N/A</v>
      </c>
      <c r="BG126" s="78" t="e">
        <v>#N/A</v>
      </c>
      <c r="BH126" s="120" t="e">
        <v>#N/A</v>
      </c>
      <c r="BI126" s="78" t="e">
        <v>#N/A</v>
      </c>
      <c r="BJ126" s="78" t="e">
        <v>#N/A</v>
      </c>
    </row>
    <row r="127" customFormat="false" ht="15.75" hidden="false" customHeight="false" outlineLevel="0" collapsed="false">
      <c r="A127" s="78" t="e">
        <v>#N/A</v>
      </c>
      <c r="B127" s="120" t="e">
        <v>#N/A</v>
      </c>
      <c r="C127" s="78" t="e">
        <v>#N/A</v>
      </c>
      <c r="D127" s="78" t="e">
        <v>#N/A</v>
      </c>
      <c r="E127" s="120" t="e">
        <v>#N/A</v>
      </c>
      <c r="F127" s="78" t="e">
        <v>#N/A</v>
      </c>
      <c r="G127" s="78" t="e">
        <v>#N/A</v>
      </c>
      <c r="BD127" s="78" t="e">
        <v>#N/A</v>
      </c>
      <c r="BE127" s="120" t="e">
        <v>#N/A</v>
      </c>
      <c r="BF127" s="78" t="e">
        <v>#N/A</v>
      </c>
      <c r="BG127" s="78" t="e">
        <v>#N/A</v>
      </c>
      <c r="BH127" s="120" t="e">
        <v>#N/A</v>
      </c>
      <c r="BI127" s="78" t="e">
        <v>#N/A</v>
      </c>
      <c r="BJ127" s="78" t="e">
        <v>#N/A</v>
      </c>
    </row>
    <row r="128" customFormat="false" ht="15.75" hidden="false" customHeight="false" outlineLevel="0" collapsed="false">
      <c r="A128" s="78" t="e">
        <v>#N/A</v>
      </c>
      <c r="B128" s="120" t="e">
        <v>#N/A</v>
      </c>
      <c r="C128" s="78" t="e">
        <v>#N/A</v>
      </c>
      <c r="D128" s="78" t="e">
        <v>#N/A</v>
      </c>
      <c r="E128" s="120" t="e">
        <v>#N/A</v>
      </c>
      <c r="F128" s="78" t="e">
        <v>#N/A</v>
      </c>
      <c r="G128" s="78" t="e">
        <v>#N/A</v>
      </c>
      <c r="BD128" s="78" t="e">
        <v>#N/A</v>
      </c>
      <c r="BE128" s="120" t="e">
        <v>#N/A</v>
      </c>
      <c r="BF128" s="78" t="e">
        <v>#N/A</v>
      </c>
      <c r="BG128" s="78" t="e">
        <v>#N/A</v>
      </c>
      <c r="BH128" s="120" t="e">
        <v>#N/A</v>
      </c>
      <c r="BI128" s="78" t="e">
        <v>#N/A</v>
      </c>
      <c r="BJ128" s="78" t="e">
        <v>#N/A</v>
      </c>
    </row>
    <row r="129" customFormat="false" ht="15.75" hidden="false" customHeight="false" outlineLevel="0" collapsed="false">
      <c r="A129" s="78" t="e">
        <v>#N/A</v>
      </c>
      <c r="B129" s="120" t="e">
        <v>#N/A</v>
      </c>
      <c r="C129" s="78" t="e">
        <v>#N/A</v>
      </c>
      <c r="D129" s="78" t="e">
        <v>#N/A</v>
      </c>
      <c r="E129" s="120" t="e">
        <v>#N/A</v>
      </c>
      <c r="F129" s="78" t="e">
        <v>#N/A</v>
      </c>
      <c r="G129" s="78" t="e">
        <v>#N/A</v>
      </c>
      <c r="BD129" s="78" t="e">
        <v>#N/A</v>
      </c>
      <c r="BE129" s="120" t="e">
        <v>#N/A</v>
      </c>
      <c r="BF129" s="78" t="e">
        <v>#N/A</v>
      </c>
      <c r="BG129" s="78" t="e">
        <v>#N/A</v>
      </c>
      <c r="BH129" s="120" t="e">
        <v>#N/A</v>
      </c>
      <c r="BI129" s="78" t="e">
        <v>#N/A</v>
      </c>
      <c r="BJ129" s="78" t="e">
        <v>#N/A</v>
      </c>
    </row>
    <row r="130" customFormat="false" ht="15.75" hidden="false" customHeight="false" outlineLevel="0" collapsed="false">
      <c r="A130" s="78" t="e">
        <v>#N/A</v>
      </c>
      <c r="B130" s="120" t="e">
        <v>#N/A</v>
      </c>
      <c r="C130" s="78" t="e">
        <v>#N/A</v>
      </c>
      <c r="D130" s="78" t="e">
        <v>#N/A</v>
      </c>
      <c r="E130" s="120" t="e">
        <v>#N/A</v>
      </c>
      <c r="F130" s="78" t="e">
        <v>#N/A</v>
      </c>
      <c r="G130" s="78" t="e">
        <v>#N/A</v>
      </c>
      <c r="BD130" s="78" t="e">
        <v>#N/A</v>
      </c>
      <c r="BE130" s="120" t="e">
        <v>#N/A</v>
      </c>
      <c r="BF130" s="78" t="e">
        <v>#N/A</v>
      </c>
      <c r="BG130" s="78" t="e">
        <v>#N/A</v>
      </c>
      <c r="BH130" s="120" t="e">
        <v>#N/A</v>
      </c>
      <c r="BI130" s="78" t="e">
        <v>#N/A</v>
      </c>
      <c r="BJ130" s="78" t="e">
        <v>#N/A</v>
      </c>
    </row>
    <row r="131" customFormat="false" ht="15.75" hidden="false" customHeight="false" outlineLevel="0" collapsed="false">
      <c r="A131" s="78" t="e">
        <v>#N/A</v>
      </c>
      <c r="B131" s="120" t="e">
        <v>#N/A</v>
      </c>
      <c r="C131" s="78" t="e">
        <v>#N/A</v>
      </c>
      <c r="D131" s="78" t="e">
        <v>#N/A</v>
      </c>
      <c r="E131" s="120" t="e">
        <v>#N/A</v>
      </c>
      <c r="F131" s="78" t="e">
        <v>#N/A</v>
      </c>
      <c r="G131" s="78" t="e">
        <v>#N/A</v>
      </c>
      <c r="BD131" s="78" t="e">
        <v>#N/A</v>
      </c>
      <c r="BE131" s="120" t="e">
        <v>#N/A</v>
      </c>
      <c r="BF131" s="78" t="e">
        <v>#N/A</v>
      </c>
      <c r="BG131" s="78" t="e">
        <v>#N/A</v>
      </c>
      <c r="BH131" s="120" t="e">
        <v>#N/A</v>
      </c>
      <c r="BI131" s="78" t="e">
        <v>#N/A</v>
      </c>
      <c r="BJ131" s="78" t="e">
        <v>#N/A</v>
      </c>
    </row>
    <row r="132" customFormat="false" ht="15.75" hidden="false" customHeight="false" outlineLevel="0" collapsed="false">
      <c r="A132" s="78" t="e">
        <v>#N/A</v>
      </c>
      <c r="B132" s="120" t="e">
        <v>#N/A</v>
      </c>
      <c r="C132" s="78" t="e">
        <v>#N/A</v>
      </c>
      <c r="D132" s="78" t="e">
        <v>#N/A</v>
      </c>
      <c r="E132" s="120" t="e">
        <v>#N/A</v>
      </c>
      <c r="F132" s="78" t="e">
        <v>#N/A</v>
      </c>
      <c r="G132" s="78" t="e">
        <v>#N/A</v>
      </c>
      <c r="BD132" s="78" t="e">
        <v>#N/A</v>
      </c>
      <c r="BE132" s="120" t="e">
        <v>#N/A</v>
      </c>
      <c r="BF132" s="78" t="e">
        <v>#N/A</v>
      </c>
      <c r="BG132" s="78" t="e">
        <v>#N/A</v>
      </c>
      <c r="BH132" s="120" t="e">
        <v>#N/A</v>
      </c>
      <c r="BI132" s="78" t="e">
        <v>#N/A</v>
      </c>
      <c r="BJ132" s="78" t="e">
        <v>#N/A</v>
      </c>
    </row>
    <row r="133" customFormat="false" ht="15.75" hidden="false" customHeight="false" outlineLevel="0" collapsed="false">
      <c r="A133" s="78" t="e">
        <v>#N/A</v>
      </c>
      <c r="B133" s="120" t="e">
        <v>#N/A</v>
      </c>
      <c r="C133" s="78" t="e">
        <v>#N/A</v>
      </c>
      <c r="D133" s="78" t="e">
        <v>#N/A</v>
      </c>
      <c r="E133" s="120" t="e">
        <v>#N/A</v>
      </c>
      <c r="F133" s="78" t="e">
        <v>#N/A</v>
      </c>
      <c r="G133" s="78" t="e">
        <v>#N/A</v>
      </c>
      <c r="BD133" s="78" t="e">
        <v>#N/A</v>
      </c>
      <c r="BE133" s="120" t="e">
        <v>#N/A</v>
      </c>
      <c r="BF133" s="78" t="e">
        <v>#N/A</v>
      </c>
      <c r="BG133" s="78" t="e">
        <v>#N/A</v>
      </c>
      <c r="BH133" s="120" t="e">
        <v>#N/A</v>
      </c>
      <c r="BI133" s="78" t="e">
        <v>#N/A</v>
      </c>
      <c r="BJ133" s="78" t="e">
        <v>#N/A</v>
      </c>
    </row>
    <row r="134" customFormat="false" ht="15.75" hidden="false" customHeight="false" outlineLevel="0" collapsed="false">
      <c r="A134" s="78" t="e">
        <v>#N/A</v>
      </c>
      <c r="B134" s="120" t="e">
        <v>#N/A</v>
      </c>
      <c r="C134" s="78" t="e">
        <v>#N/A</v>
      </c>
      <c r="D134" s="78" t="e">
        <v>#N/A</v>
      </c>
      <c r="E134" s="120" t="e">
        <v>#N/A</v>
      </c>
      <c r="F134" s="78" t="e">
        <v>#N/A</v>
      </c>
      <c r="G134" s="78" t="e">
        <v>#N/A</v>
      </c>
      <c r="BD134" s="78" t="e">
        <v>#N/A</v>
      </c>
      <c r="BE134" s="120" t="e">
        <v>#N/A</v>
      </c>
      <c r="BF134" s="78" t="e">
        <v>#N/A</v>
      </c>
      <c r="BG134" s="78" t="e">
        <v>#N/A</v>
      </c>
      <c r="BH134" s="120" t="e">
        <v>#N/A</v>
      </c>
      <c r="BI134" s="78" t="e">
        <v>#N/A</v>
      </c>
      <c r="BJ134" s="78" t="e">
        <v>#N/A</v>
      </c>
    </row>
    <row r="135" customFormat="false" ht="15.75" hidden="false" customHeight="false" outlineLevel="0" collapsed="false">
      <c r="A135" s="78" t="e">
        <v>#N/A</v>
      </c>
      <c r="B135" s="120" t="e">
        <v>#N/A</v>
      </c>
      <c r="C135" s="78" t="e">
        <v>#N/A</v>
      </c>
      <c r="D135" s="78" t="e">
        <v>#N/A</v>
      </c>
      <c r="E135" s="120" t="e">
        <v>#N/A</v>
      </c>
      <c r="F135" s="78" t="e">
        <v>#N/A</v>
      </c>
      <c r="G135" s="78" t="e">
        <v>#N/A</v>
      </c>
      <c r="BD135" s="78" t="e">
        <v>#N/A</v>
      </c>
      <c r="BE135" s="120" t="e">
        <v>#N/A</v>
      </c>
      <c r="BF135" s="78" t="e">
        <v>#N/A</v>
      </c>
      <c r="BG135" s="78" t="e">
        <v>#N/A</v>
      </c>
      <c r="BH135" s="120" t="e">
        <v>#N/A</v>
      </c>
      <c r="BI135" s="78" t="e">
        <v>#N/A</v>
      </c>
      <c r="BJ135" s="78" t="e">
        <v>#N/A</v>
      </c>
    </row>
    <row r="136" customFormat="false" ht="15.75" hidden="false" customHeight="false" outlineLevel="0" collapsed="false">
      <c r="A136" s="78" t="e">
        <v>#N/A</v>
      </c>
      <c r="B136" s="120" t="e">
        <v>#N/A</v>
      </c>
      <c r="C136" s="78" t="e">
        <v>#N/A</v>
      </c>
      <c r="D136" s="78" t="e">
        <v>#N/A</v>
      </c>
      <c r="E136" s="120" t="e">
        <v>#N/A</v>
      </c>
      <c r="F136" s="78" t="e">
        <v>#N/A</v>
      </c>
      <c r="G136" s="78" t="e">
        <v>#N/A</v>
      </c>
      <c r="BD136" s="78" t="e">
        <v>#N/A</v>
      </c>
      <c r="BE136" s="120" t="e">
        <v>#N/A</v>
      </c>
      <c r="BF136" s="78" t="e">
        <v>#N/A</v>
      </c>
      <c r="BG136" s="78" t="e">
        <v>#N/A</v>
      </c>
      <c r="BH136" s="120" t="e">
        <v>#N/A</v>
      </c>
      <c r="BI136" s="78" t="e">
        <v>#N/A</v>
      </c>
      <c r="BJ136" s="78" t="e">
        <v>#N/A</v>
      </c>
    </row>
    <row r="137" customFormat="false" ht="15.75" hidden="false" customHeight="false" outlineLevel="0" collapsed="false">
      <c r="A137" s="78" t="e">
        <v>#N/A</v>
      </c>
      <c r="B137" s="120" t="e">
        <v>#N/A</v>
      </c>
      <c r="C137" s="78" t="e">
        <v>#N/A</v>
      </c>
      <c r="D137" s="78" t="e">
        <v>#N/A</v>
      </c>
      <c r="E137" s="120" t="e">
        <v>#N/A</v>
      </c>
      <c r="F137" s="78" t="e">
        <v>#N/A</v>
      </c>
      <c r="G137" s="78" t="e">
        <v>#N/A</v>
      </c>
      <c r="BD137" s="78" t="e">
        <v>#N/A</v>
      </c>
      <c r="BE137" s="120" t="e">
        <v>#N/A</v>
      </c>
      <c r="BF137" s="78" t="e">
        <v>#N/A</v>
      </c>
      <c r="BG137" s="78" t="e">
        <v>#N/A</v>
      </c>
      <c r="BH137" s="120" t="e">
        <v>#N/A</v>
      </c>
      <c r="BI137" s="78" t="e">
        <v>#N/A</v>
      </c>
      <c r="BJ137" s="78" t="e">
        <v>#N/A</v>
      </c>
    </row>
    <row r="138" customFormat="false" ht="15.75" hidden="false" customHeight="false" outlineLevel="0" collapsed="false">
      <c r="A138" s="78" t="e">
        <v>#N/A</v>
      </c>
      <c r="B138" s="120" t="e">
        <v>#N/A</v>
      </c>
      <c r="C138" s="78" t="e">
        <v>#N/A</v>
      </c>
      <c r="D138" s="78" t="e">
        <v>#N/A</v>
      </c>
      <c r="E138" s="120" t="e">
        <v>#N/A</v>
      </c>
      <c r="F138" s="78" t="e">
        <v>#N/A</v>
      </c>
      <c r="G138" s="78" t="e">
        <v>#N/A</v>
      </c>
      <c r="BD138" s="78" t="e">
        <v>#N/A</v>
      </c>
      <c r="BE138" s="120" t="e">
        <v>#N/A</v>
      </c>
      <c r="BF138" s="78" t="e">
        <v>#N/A</v>
      </c>
      <c r="BG138" s="78" t="e">
        <v>#N/A</v>
      </c>
      <c r="BH138" s="120" t="e">
        <v>#N/A</v>
      </c>
      <c r="BI138" s="78" t="e">
        <v>#N/A</v>
      </c>
      <c r="BJ138" s="78" t="e">
        <v>#N/A</v>
      </c>
    </row>
    <row r="139" customFormat="false" ht="15.75" hidden="false" customHeight="false" outlineLevel="0" collapsed="false">
      <c r="A139" s="78" t="e">
        <v>#N/A</v>
      </c>
      <c r="B139" s="120" t="e">
        <v>#N/A</v>
      </c>
      <c r="C139" s="78" t="e">
        <v>#N/A</v>
      </c>
      <c r="D139" s="78" t="e">
        <v>#N/A</v>
      </c>
      <c r="E139" s="120" t="e">
        <v>#N/A</v>
      </c>
      <c r="F139" s="78" t="e">
        <v>#N/A</v>
      </c>
      <c r="G139" s="78" t="e">
        <v>#N/A</v>
      </c>
      <c r="BD139" s="78" t="e">
        <v>#N/A</v>
      </c>
      <c r="BE139" s="120" t="e">
        <v>#N/A</v>
      </c>
      <c r="BF139" s="78" t="e">
        <v>#N/A</v>
      </c>
      <c r="BG139" s="78" t="e">
        <v>#N/A</v>
      </c>
      <c r="BH139" s="120" t="e">
        <v>#N/A</v>
      </c>
      <c r="BI139" s="78" t="e">
        <v>#N/A</v>
      </c>
      <c r="BJ139" s="78" t="e">
        <v>#N/A</v>
      </c>
    </row>
    <row r="140" customFormat="false" ht="15.75" hidden="false" customHeight="false" outlineLevel="0" collapsed="false">
      <c r="A140" s="78" t="e">
        <v>#N/A</v>
      </c>
      <c r="B140" s="120" t="e">
        <v>#N/A</v>
      </c>
      <c r="C140" s="78" t="e">
        <v>#N/A</v>
      </c>
      <c r="D140" s="78" t="e">
        <v>#N/A</v>
      </c>
      <c r="E140" s="120" t="e">
        <v>#N/A</v>
      </c>
      <c r="F140" s="78" t="e">
        <v>#N/A</v>
      </c>
      <c r="G140" s="78" t="e">
        <v>#N/A</v>
      </c>
      <c r="BD140" s="78" t="e">
        <v>#N/A</v>
      </c>
      <c r="BE140" s="120" t="e">
        <v>#N/A</v>
      </c>
      <c r="BF140" s="78" t="e">
        <v>#N/A</v>
      </c>
      <c r="BG140" s="78" t="e">
        <v>#N/A</v>
      </c>
      <c r="BH140" s="120" t="e">
        <v>#N/A</v>
      </c>
      <c r="BI140" s="78" t="e">
        <v>#N/A</v>
      </c>
      <c r="BJ140" s="78" t="e">
        <v>#N/A</v>
      </c>
    </row>
    <row r="141" customFormat="false" ht="15.75" hidden="false" customHeight="false" outlineLevel="0" collapsed="false">
      <c r="A141" s="78" t="e">
        <v>#N/A</v>
      </c>
      <c r="B141" s="120" t="e">
        <v>#N/A</v>
      </c>
      <c r="C141" s="78" t="e">
        <v>#N/A</v>
      </c>
      <c r="D141" s="78" t="e">
        <v>#N/A</v>
      </c>
      <c r="E141" s="120" t="e">
        <v>#N/A</v>
      </c>
      <c r="F141" s="78" t="e">
        <v>#N/A</v>
      </c>
      <c r="G141" s="78" t="e">
        <v>#N/A</v>
      </c>
      <c r="BD141" s="78" t="e">
        <v>#N/A</v>
      </c>
      <c r="BE141" s="120" t="e">
        <v>#N/A</v>
      </c>
      <c r="BF141" s="78" t="e">
        <v>#N/A</v>
      </c>
      <c r="BG141" s="78" t="e">
        <v>#N/A</v>
      </c>
      <c r="BH141" s="120" t="e">
        <v>#N/A</v>
      </c>
      <c r="BI141" s="78" t="e">
        <v>#N/A</v>
      </c>
      <c r="BJ141" s="78" t="e">
        <v>#N/A</v>
      </c>
    </row>
    <row r="142" customFormat="false" ht="15.75" hidden="false" customHeight="false" outlineLevel="0" collapsed="false">
      <c r="A142" s="78" t="e">
        <v>#N/A</v>
      </c>
      <c r="B142" s="120" t="e">
        <v>#N/A</v>
      </c>
      <c r="C142" s="78" t="e">
        <v>#N/A</v>
      </c>
      <c r="D142" s="78" t="e">
        <v>#N/A</v>
      </c>
      <c r="E142" s="120" t="e">
        <v>#N/A</v>
      </c>
      <c r="F142" s="78" t="e">
        <v>#N/A</v>
      </c>
      <c r="G142" s="78" t="e">
        <v>#N/A</v>
      </c>
      <c r="BD142" s="78" t="e">
        <v>#N/A</v>
      </c>
      <c r="BE142" s="120" t="e">
        <v>#N/A</v>
      </c>
      <c r="BF142" s="78" t="e">
        <v>#N/A</v>
      </c>
      <c r="BG142" s="78" t="e">
        <v>#N/A</v>
      </c>
      <c r="BH142" s="120" t="e">
        <v>#N/A</v>
      </c>
      <c r="BI142" s="78" t="e">
        <v>#N/A</v>
      </c>
      <c r="BJ142" s="78" t="e">
        <v>#N/A</v>
      </c>
    </row>
    <row r="143" customFormat="false" ht="15.75" hidden="false" customHeight="false" outlineLevel="0" collapsed="false">
      <c r="A143" s="78" t="e">
        <v>#N/A</v>
      </c>
      <c r="B143" s="120" t="e">
        <v>#N/A</v>
      </c>
      <c r="C143" s="78" t="e">
        <v>#N/A</v>
      </c>
      <c r="D143" s="78" t="e">
        <v>#N/A</v>
      </c>
      <c r="E143" s="120" t="e">
        <v>#N/A</v>
      </c>
      <c r="F143" s="78" t="e">
        <v>#N/A</v>
      </c>
      <c r="G143" s="78" t="e">
        <v>#N/A</v>
      </c>
    </row>
    <row r="144" customFormat="false" ht="15.75" hidden="false" customHeight="false" outlineLevel="0" collapsed="false">
      <c r="A144" s="78" t="e">
        <v>#N/A</v>
      </c>
      <c r="B144" s="120" t="e">
        <v>#N/A</v>
      </c>
      <c r="C144" s="78" t="e">
        <v>#N/A</v>
      </c>
      <c r="D144" s="78" t="e">
        <v>#N/A</v>
      </c>
      <c r="E144" s="120" t="e">
        <v>#N/A</v>
      </c>
      <c r="F144" s="78" t="e">
        <v>#N/A</v>
      </c>
      <c r="G144" s="78" t="e">
        <v>#N/A</v>
      </c>
    </row>
    <row r="145" customFormat="false" ht="15.75" hidden="false" customHeight="false" outlineLevel="0" collapsed="false">
      <c r="A145" s="78" t="e">
        <v>#N/A</v>
      </c>
      <c r="B145" s="120" t="e">
        <v>#N/A</v>
      </c>
      <c r="C145" s="78" t="e">
        <v>#N/A</v>
      </c>
      <c r="D145" s="78" t="e">
        <v>#N/A</v>
      </c>
      <c r="E145" s="120" t="e">
        <v>#N/A</v>
      </c>
      <c r="F145" s="78" t="e">
        <v>#N/A</v>
      </c>
      <c r="G145" s="78" t="e">
        <v>#N/A</v>
      </c>
    </row>
    <row r="146" customFormat="false" ht="15.75" hidden="false" customHeight="false" outlineLevel="0" collapsed="false">
      <c r="A146" s="78" t="e">
        <v>#N/A</v>
      </c>
      <c r="B146" s="120" t="e">
        <v>#N/A</v>
      </c>
      <c r="C146" s="78" t="e">
        <v>#N/A</v>
      </c>
      <c r="D146" s="78" t="e">
        <v>#N/A</v>
      </c>
      <c r="E146" s="120" t="e">
        <v>#N/A</v>
      </c>
      <c r="F146" s="78" t="e">
        <v>#N/A</v>
      </c>
      <c r="G146" s="78" t="e">
        <v>#N/A</v>
      </c>
    </row>
    <row r="147" customFormat="false" ht="15.75" hidden="false" customHeight="false" outlineLevel="0" collapsed="false">
      <c r="A147" s="78" t="e">
        <v>#N/A</v>
      </c>
      <c r="B147" s="120" t="e">
        <v>#N/A</v>
      </c>
      <c r="C147" s="78" t="e">
        <v>#N/A</v>
      </c>
      <c r="D147" s="78" t="e">
        <v>#N/A</v>
      </c>
      <c r="E147" s="120" t="e">
        <v>#N/A</v>
      </c>
      <c r="F147" s="78" t="e">
        <v>#N/A</v>
      </c>
      <c r="G147" s="78" t="e">
        <v>#N/A</v>
      </c>
    </row>
    <row r="148" customFormat="false" ht="15.75" hidden="false" customHeight="false" outlineLevel="0" collapsed="false">
      <c r="A148" s="78" t="e">
        <v>#N/A</v>
      </c>
      <c r="B148" s="120" t="e">
        <v>#N/A</v>
      </c>
      <c r="C148" s="78" t="e">
        <v>#N/A</v>
      </c>
      <c r="D148" s="78" t="e">
        <v>#N/A</v>
      </c>
      <c r="E148" s="120" t="e">
        <v>#N/A</v>
      </c>
      <c r="F148" s="78" t="e">
        <v>#N/A</v>
      </c>
      <c r="G148" s="78" t="e">
        <v>#N/A</v>
      </c>
    </row>
    <row r="149" customFormat="false" ht="15.75" hidden="false" customHeight="false" outlineLevel="0" collapsed="false">
      <c r="A149" s="78" t="e">
        <v>#N/A</v>
      </c>
      <c r="B149" s="120" t="e">
        <v>#N/A</v>
      </c>
      <c r="C149" s="78" t="e">
        <v>#N/A</v>
      </c>
      <c r="D149" s="78" t="e">
        <v>#N/A</v>
      </c>
      <c r="E149" s="120" t="e">
        <v>#N/A</v>
      </c>
      <c r="F149" s="78" t="e">
        <v>#N/A</v>
      </c>
      <c r="G149" s="78" t="e">
        <v>#N/A</v>
      </c>
    </row>
    <row r="150" customFormat="false" ht="15.75" hidden="false" customHeight="false" outlineLevel="0" collapsed="false">
      <c r="A150" s="78" t="e">
        <v>#N/A</v>
      </c>
      <c r="B150" s="120" t="e">
        <v>#N/A</v>
      </c>
      <c r="C150" s="78" t="e">
        <v>#N/A</v>
      </c>
      <c r="D150" s="78" t="e">
        <v>#N/A</v>
      </c>
      <c r="E150" s="120" t="e">
        <v>#N/A</v>
      </c>
      <c r="F150" s="78" t="e">
        <v>#N/A</v>
      </c>
      <c r="G150" s="78" t="e">
        <v>#N/A</v>
      </c>
    </row>
    <row r="151" customFormat="false" ht="15.75" hidden="false" customHeight="false" outlineLevel="0" collapsed="false">
      <c r="A151" s="78" t="e">
        <v>#N/A</v>
      </c>
      <c r="B151" s="120" t="e">
        <v>#N/A</v>
      </c>
      <c r="C151" s="78" t="e">
        <v>#N/A</v>
      </c>
      <c r="D151" s="78" t="e">
        <v>#N/A</v>
      </c>
      <c r="E151" s="120" t="e">
        <v>#N/A</v>
      </c>
      <c r="F151" s="78" t="e">
        <v>#N/A</v>
      </c>
      <c r="G151" s="78" t="e">
        <v>#N/A</v>
      </c>
    </row>
    <row r="152" customFormat="false" ht="15.75" hidden="false" customHeight="false" outlineLevel="0" collapsed="false">
      <c r="A152" s="78" t="e">
        <v>#N/A</v>
      </c>
      <c r="B152" s="120" t="e">
        <v>#N/A</v>
      </c>
      <c r="C152" s="78" t="e">
        <v>#N/A</v>
      </c>
      <c r="D152" s="78" t="e">
        <v>#N/A</v>
      </c>
      <c r="E152" s="120" t="e">
        <v>#N/A</v>
      </c>
      <c r="F152" s="78" t="e">
        <v>#N/A</v>
      </c>
      <c r="G152" s="78" t="e">
        <v>#N/A</v>
      </c>
    </row>
    <row r="153" customFormat="false" ht="15.75" hidden="false" customHeight="false" outlineLevel="0" collapsed="false">
      <c r="A153" s="78" t="e">
        <v>#N/A</v>
      </c>
      <c r="B153" s="120" t="e">
        <v>#N/A</v>
      </c>
      <c r="C153" s="78" t="e">
        <v>#N/A</v>
      </c>
      <c r="D153" s="78" t="e">
        <v>#N/A</v>
      </c>
      <c r="E153" s="120" t="e">
        <v>#N/A</v>
      </c>
      <c r="F153" s="78" t="e">
        <v>#N/A</v>
      </c>
      <c r="G153" s="78" t="e">
        <v>#N/A</v>
      </c>
    </row>
    <row r="154" customFormat="false" ht="15.75" hidden="false" customHeight="false" outlineLevel="0" collapsed="false">
      <c r="A154" s="78" t="e">
        <v>#N/A</v>
      </c>
      <c r="B154" s="120" t="e">
        <v>#N/A</v>
      </c>
      <c r="C154" s="78" t="e">
        <v>#N/A</v>
      </c>
      <c r="D154" s="78" t="e">
        <v>#N/A</v>
      </c>
      <c r="E154" s="120" t="e">
        <v>#N/A</v>
      </c>
      <c r="F154" s="78" t="e">
        <v>#N/A</v>
      </c>
      <c r="G154" s="78" t="e">
        <v>#N/A</v>
      </c>
    </row>
    <row r="155" customFormat="false" ht="15.75" hidden="false" customHeight="false" outlineLevel="0" collapsed="false">
      <c r="A155" s="78" t="e">
        <v>#N/A</v>
      </c>
      <c r="B155" s="120" t="e">
        <v>#N/A</v>
      </c>
      <c r="C155" s="78" t="e">
        <v>#N/A</v>
      </c>
      <c r="D155" s="78" t="e">
        <v>#N/A</v>
      </c>
      <c r="E155" s="120" t="e">
        <v>#N/A</v>
      </c>
      <c r="F155" s="78" t="e">
        <v>#N/A</v>
      </c>
      <c r="G155" s="78" t="e">
        <v>#N/A</v>
      </c>
    </row>
    <row r="156" customFormat="false" ht="15.75" hidden="false" customHeight="false" outlineLevel="0" collapsed="false">
      <c r="A156" s="78" t="e">
        <v>#N/A</v>
      </c>
      <c r="B156" s="120" t="e">
        <v>#N/A</v>
      </c>
      <c r="C156" s="78" t="e">
        <v>#N/A</v>
      </c>
      <c r="D156" s="78" t="e">
        <v>#N/A</v>
      </c>
      <c r="E156" s="120" t="e">
        <v>#N/A</v>
      </c>
      <c r="F156" s="78" t="e">
        <v>#N/A</v>
      </c>
      <c r="G156" s="78" t="e">
        <v>#N/A</v>
      </c>
    </row>
    <row r="157" customFormat="false" ht="15.75" hidden="false" customHeight="false" outlineLevel="0" collapsed="false">
      <c r="A157" s="78" t="e">
        <v>#N/A</v>
      </c>
      <c r="B157" s="120" t="e">
        <v>#N/A</v>
      </c>
      <c r="C157" s="78" t="e">
        <v>#N/A</v>
      </c>
      <c r="D157" s="78" t="e">
        <v>#N/A</v>
      </c>
      <c r="E157" s="120" t="e">
        <v>#N/A</v>
      </c>
      <c r="F157" s="78" t="e">
        <v>#N/A</v>
      </c>
      <c r="G157" s="78" t="e">
        <v>#N/A</v>
      </c>
    </row>
    <row r="158" customFormat="false" ht="15.75" hidden="false" customHeight="false" outlineLevel="0" collapsed="false">
      <c r="A158" s="78" t="e">
        <v>#N/A</v>
      </c>
      <c r="B158" s="120" t="e">
        <v>#N/A</v>
      </c>
      <c r="C158" s="78" t="e">
        <v>#N/A</v>
      </c>
      <c r="D158" s="78" t="e">
        <v>#N/A</v>
      </c>
      <c r="E158" s="120" t="e">
        <v>#N/A</v>
      </c>
      <c r="F158" s="78" t="e">
        <v>#N/A</v>
      </c>
      <c r="G158" s="78" t="e">
        <v>#N/A</v>
      </c>
    </row>
    <row r="159" customFormat="false" ht="15.75" hidden="false" customHeight="false" outlineLevel="0" collapsed="false">
      <c r="A159" s="78" t="e">
        <v>#N/A</v>
      </c>
      <c r="B159" s="120" t="e">
        <v>#N/A</v>
      </c>
      <c r="C159" s="78" t="e">
        <v>#N/A</v>
      </c>
      <c r="D159" s="78" t="e">
        <v>#N/A</v>
      </c>
      <c r="E159" s="120" t="e">
        <v>#N/A</v>
      </c>
      <c r="F159" s="78" t="e">
        <v>#N/A</v>
      </c>
      <c r="G159" s="78" t="e">
        <v>#N/A</v>
      </c>
    </row>
    <row r="160" customFormat="false" ht="15.75" hidden="false" customHeight="false" outlineLevel="0" collapsed="false">
      <c r="A160" s="78" t="e">
        <v>#N/A</v>
      </c>
      <c r="B160" s="120" t="e">
        <v>#N/A</v>
      </c>
      <c r="C160" s="78" t="e">
        <v>#N/A</v>
      </c>
      <c r="D160" s="78" t="e">
        <v>#N/A</v>
      </c>
      <c r="E160" s="120" t="e">
        <v>#N/A</v>
      </c>
      <c r="F160" s="78" t="e">
        <v>#N/A</v>
      </c>
      <c r="G160" s="78" t="e">
        <v>#N/A</v>
      </c>
    </row>
    <row r="161" customFormat="false" ht="15.75" hidden="false" customHeight="false" outlineLevel="0" collapsed="false">
      <c r="A161" s="78" t="e">
        <v>#N/A</v>
      </c>
      <c r="B161" s="120" t="e">
        <v>#N/A</v>
      </c>
      <c r="C161" s="78" t="e">
        <v>#N/A</v>
      </c>
      <c r="D161" s="78" t="e">
        <v>#N/A</v>
      </c>
      <c r="E161" s="120" t="e">
        <v>#N/A</v>
      </c>
      <c r="F161" s="78" t="e">
        <v>#N/A</v>
      </c>
      <c r="G161" s="78" t="e">
        <v>#N/A</v>
      </c>
    </row>
    <row r="162" customFormat="false" ht="15.75" hidden="false" customHeight="false" outlineLevel="0" collapsed="false">
      <c r="A162" s="78" t="e">
        <v>#N/A</v>
      </c>
      <c r="B162" s="120" t="e">
        <v>#N/A</v>
      </c>
      <c r="C162" s="78" t="e">
        <v>#N/A</v>
      </c>
      <c r="D162" s="78" t="e">
        <v>#N/A</v>
      </c>
      <c r="E162" s="120" t="e">
        <v>#N/A</v>
      </c>
      <c r="F162" s="78" t="e">
        <v>#N/A</v>
      </c>
      <c r="G162" s="78" t="e">
        <v>#N/A</v>
      </c>
    </row>
    <row r="163" customFormat="false" ht="15.75" hidden="false" customHeight="false" outlineLevel="0" collapsed="false">
      <c r="A163" s="78" t="e">
        <v>#N/A</v>
      </c>
      <c r="B163" s="120" t="e">
        <v>#N/A</v>
      </c>
      <c r="C163" s="78" t="e">
        <v>#N/A</v>
      </c>
      <c r="D163" s="78" t="e">
        <v>#N/A</v>
      </c>
      <c r="E163" s="120" t="e">
        <v>#N/A</v>
      </c>
      <c r="F163" s="78" t="e">
        <v>#N/A</v>
      </c>
      <c r="G163" s="78" t="e">
        <v>#N/A</v>
      </c>
    </row>
    <row r="164" customFormat="false" ht="15.75" hidden="false" customHeight="false" outlineLevel="0" collapsed="false">
      <c r="A164" s="78" t="e">
        <v>#N/A</v>
      </c>
      <c r="B164" s="120" t="e">
        <v>#N/A</v>
      </c>
      <c r="C164" s="78" t="e">
        <v>#N/A</v>
      </c>
      <c r="D164" s="78" t="e">
        <v>#N/A</v>
      </c>
      <c r="E164" s="120" t="e">
        <v>#N/A</v>
      </c>
      <c r="F164" s="78" t="e">
        <v>#N/A</v>
      </c>
      <c r="G164" s="78" t="e">
        <v>#N/A</v>
      </c>
    </row>
    <row r="165" customFormat="false" ht="15.75" hidden="false" customHeight="false" outlineLevel="0" collapsed="false">
      <c r="A165" s="78" t="e">
        <v>#N/A</v>
      </c>
      <c r="B165" s="120" t="e">
        <v>#N/A</v>
      </c>
      <c r="C165" s="78" t="e">
        <v>#N/A</v>
      </c>
      <c r="D165" s="78" t="e">
        <v>#N/A</v>
      </c>
      <c r="E165" s="120" t="e">
        <v>#N/A</v>
      </c>
      <c r="F165" s="78" t="e">
        <v>#N/A</v>
      </c>
      <c r="G165" s="78" t="e">
        <v>#N/A</v>
      </c>
    </row>
    <row r="166" customFormat="false" ht="15.75" hidden="false" customHeight="false" outlineLevel="0" collapsed="false">
      <c r="A166" s="78" t="e">
        <v>#N/A</v>
      </c>
      <c r="B166" s="120" t="e">
        <v>#N/A</v>
      </c>
      <c r="C166" s="78" t="e">
        <v>#N/A</v>
      </c>
      <c r="D166" s="78" t="e">
        <v>#N/A</v>
      </c>
      <c r="E166" s="120" t="e">
        <v>#N/A</v>
      </c>
      <c r="F166" s="78" t="e">
        <v>#N/A</v>
      </c>
      <c r="G166" s="78" t="e">
        <v>#N/A</v>
      </c>
    </row>
    <row r="167" customFormat="false" ht="15.75" hidden="false" customHeight="false" outlineLevel="0" collapsed="false">
      <c r="A167" s="78" t="e">
        <v>#N/A</v>
      </c>
      <c r="B167" s="120" t="e">
        <v>#N/A</v>
      </c>
      <c r="C167" s="78" t="e">
        <v>#N/A</v>
      </c>
      <c r="D167" s="78" t="e">
        <v>#N/A</v>
      </c>
      <c r="E167" s="120" t="e">
        <v>#N/A</v>
      </c>
      <c r="F167" s="78" t="e">
        <v>#N/A</v>
      </c>
      <c r="G167" s="78" t="e">
        <v>#N/A</v>
      </c>
    </row>
    <row r="168" customFormat="false" ht="15.75" hidden="false" customHeight="false" outlineLevel="0" collapsed="false">
      <c r="A168" s="78" t="e">
        <v>#N/A</v>
      </c>
      <c r="B168" s="120" t="e">
        <v>#N/A</v>
      </c>
      <c r="C168" s="78" t="e">
        <v>#N/A</v>
      </c>
      <c r="D168" s="78" t="e">
        <v>#N/A</v>
      </c>
      <c r="E168" s="120" t="e">
        <v>#N/A</v>
      </c>
      <c r="F168" s="78" t="e">
        <v>#N/A</v>
      </c>
      <c r="G168" s="78" t="e">
        <v>#N/A</v>
      </c>
    </row>
    <row r="169" customFormat="false" ht="15.75" hidden="false" customHeight="false" outlineLevel="0" collapsed="false">
      <c r="A169" s="78" t="e">
        <v>#N/A</v>
      </c>
      <c r="B169" s="120" t="e">
        <v>#N/A</v>
      </c>
      <c r="C169" s="78" t="e">
        <v>#N/A</v>
      </c>
      <c r="D169" s="78" t="e">
        <v>#N/A</v>
      </c>
      <c r="E169" s="120" t="e">
        <v>#N/A</v>
      </c>
      <c r="F169" s="78" t="e">
        <v>#N/A</v>
      </c>
      <c r="G169" s="78" t="e">
        <v>#N/A</v>
      </c>
    </row>
    <row r="170" customFormat="false" ht="15.75" hidden="false" customHeight="false" outlineLevel="0" collapsed="false">
      <c r="A170" s="78" t="e">
        <v>#N/A</v>
      </c>
      <c r="B170" s="120" t="e">
        <v>#N/A</v>
      </c>
      <c r="C170" s="78" t="e">
        <v>#N/A</v>
      </c>
      <c r="D170" s="78" t="e">
        <v>#N/A</v>
      </c>
      <c r="E170" s="120" t="e">
        <v>#N/A</v>
      </c>
      <c r="F170" s="78" t="e">
        <v>#N/A</v>
      </c>
      <c r="G170" s="78" t="e">
        <v>#N/A</v>
      </c>
    </row>
    <row r="171" customFormat="false" ht="15.75" hidden="false" customHeight="false" outlineLevel="0" collapsed="false">
      <c r="A171" s="78" t="e">
        <v>#N/A</v>
      </c>
      <c r="B171" s="120" t="e">
        <v>#N/A</v>
      </c>
      <c r="C171" s="78" t="e">
        <v>#N/A</v>
      </c>
      <c r="D171" s="78" t="e">
        <v>#N/A</v>
      </c>
      <c r="E171" s="120" t="e">
        <v>#N/A</v>
      </c>
      <c r="F171" s="78" t="e">
        <v>#N/A</v>
      </c>
      <c r="G171" s="78" t="e">
        <v>#N/A</v>
      </c>
    </row>
    <row r="172" customFormat="false" ht="15.75" hidden="false" customHeight="false" outlineLevel="0" collapsed="false">
      <c r="A172" s="78" t="e">
        <v>#N/A</v>
      </c>
      <c r="B172" s="120" t="e">
        <v>#N/A</v>
      </c>
      <c r="C172" s="78" t="e">
        <v>#N/A</v>
      </c>
      <c r="D172" s="78" t="e">
        <v>#N/A</v>
      </c>
      <c r="E172" s="120" t="e">
        <v>#N/A</v>
      </c>
      <c r="F172" s="78" t="e">
        <v>#N/A</v>
      </c>
      <c r="G172" s="78" t="e">
        <v>#N/A</v>
      </c>
    </row>
    <row r="173" customFormat="false" ht="15.75" hidden="false" customHeight="false" outlineLevel="0" collapsed="false">
      <c r="A173" s="78" t="e">
        <v>#N/A</v>
      </c>
      <c r="B173" s="120" t="e">
        <v>#N/A</v>
      </c>
      <c r="C173" s="78" t="e">
        <v>#N/A</v>
      </c>
      <c r="D173" s="78" t="e">
        <v>#N/A</v>
      </c>
      <c r="E173" s="120" t="e">
        <v>#N/A</v>
      </c>
      <c r="F173" s="78" t="e">
        <v>#N/A</v>
      </c>
      <c r="G173" s="78" t="e">
        <v>#N/A</v>
      </c>
    </row>
    <row r="174" customFormat="false" ht="15.75" hidden="false" customHeight="false" outlineLevel="0" collapsed="false">
      <c r="A174" s="78" t="e">
        <v>#N/A</v>
      </c>
      <c r="B174" s="120" t="e">
        <v>#N/A</v>
      </c>
      <c r="C174" s="78" t="e">
        <v>#N/A</v>
      </c>
      <c r="D174" s="78" t="e">
        <v>#N/A</v>
      </c>
      <c r="E174" s="120" t="e">
        <v>#N/A</v>
      </c>
      <c r="F174" s="78" t="e">
        <v>#N/A</v>
      </c>
      <c r="G174" s="78" t="e">
        <v>#N/A</v>
      </c>
    </row>
    <row r="175" customFormat="false" ht="15.75" hidden="false" customHeight="false" outlineLevel="0" collapsed="false">
      <c r="A175" s="78" t="e">
        <v>#N/A</v>
      </c>
      <c r="B175" s="120" t="e">
        <v>#N/A</v>
      </c>
      <c r="C175" s="78" t="e">
        <v>#N/A</v>
      </c>
      <c r="D175" s="78" t="e">
        <v>#N/A</v>
      </c>
      <c r="E175" s="120" t="e">
        <v>#N/A</v>
      </c>
      <c r="F175" s="78" t="e">
        <v>#N/A</v>
      </c>
      <c r="G175" s="78" t="e">
        <v>#N/A</v>
      </c>
    </row>
    <row r="176" customFormat="false" ht="15.75" hidden="false" customHeight="false" outlineLevel="0" collapsed="false">
      <c r="A176" s="78" t="e">
        <v>#N/A</v>
      </c>
      <c r="B176" s="120" t="e">
        <v>#N/A</v>
      </c>
      <c r="C176" s="78" t="e">
        <v>#N/A</v>
      </c>
      <c r="D176" s="78" t="e">
        <v>#N/A</v>
      </c>
      <c r="E176" s="120" t="e">
        <v>#N/A</v>
      </c>
      <c r="F176" s="78" t="e">
        <v>#N/A</v>
      </c>
      <c r="G176" s="78" t="e">
        <v>#N/A</v>
      </c>
    </row>
    <row r="177" customFormat="false" ht="15.75" hidden="false" customHeight="false" outlineLevel="0" collapsed="false">
      <c r="A177" s="78" t="e">
        <v>#N/A</v>
      </c>
      <c r="B177" s="120" t="e">
        <v>#N/A</v>
      </c>
      <c r="C177" s="78" t="e">
        <v>#N/A</v>
      </c>
      <c r="D177" s="78" t="e">
        <v>#N/A</v>
      </c>
      <c r="E177" s="120" t="e">
        <v>#N/A</v>
      </c>
      <c r="F177" s="78" t="e">
        <v>#N/A</v>
      </c>
      <c r="G177" s="78" t="e">
        <v>#N/A</v>
      </c>
    </row>
    <row r="178" customFormat="false" ht="15.75" hidden="false" customHeight="false" outlineLevel="0" collapsed="false">
      <c r="A178" s="78" t="e">
        <v>#N/A</v>
      </c>
      <c r="B178" s="120" t="e">
        <v>#N/A</v>
      </c>
      <c r="C178" s="78" t="e">
        <v>#N/A</v>
      </c>
      <c r="D178" s="78" t="e">
        <v>#N/A</v>
      </c>
      <c r="E178" s="120" t="e">
        <v>#N/A</v>
      </c>
      <c r="F178" s="78" t="e">
        <v>#N/A</v>
      </c>
      <c r="G178" s="78" t="e">
        <v>#N/A</v>
      </c>
    </row>
    <row r="179" customFormat="false" ht="15.75" hidden="false" customHeight="false" outlineLevel="0" collapsed="false">
      <c r="A179" s="78" t="e">
        <v>#N/A</v>
      </c>
      <c r="B179" s="120" t="e">
        <v>#N/A</v>
      </c>
      <c r="C179" s="78" t="e">
        <v>#N/A</v>
      </c>
      <c r="D179" s="78" t="e">
        <v>#N/A</v>
      </c>
      <c r="E179" s="120" t="e">
        <v>#N/A</v>
      </c>
      <c r="F179" s="78" t="e">
        <v>#N/A</v>
      </c>
      <c r="G179" s="78" t="e">
        <v>#N/A</v>
      </c>
    </row>
    <row r="180" customFormat="false" ht="15.75" hidden="false" customHeight="false" outlineLevel="0" collapsed="false">
      <c r="A180" s="78" t="e">
        <v>#N/A</v>
      </c>
      <c r="B180" s="120" t="e">
        <v>#N/A</v>
      </c>
      <c r="C180" s="78" t="e">
        <v>#N/A</v>
      </c>
      <c r="D180" s="78" t="e">
        <v>#N/A</v>
      </c>
      <c r="E180" s="120" t="e">
        <v>#N/A</v>
      </c>
      <c r="F180" s="78" t="e">
        <v>#N/A</v>
      </c>
      <c r="G180" s="78" t="e">
        <v>#N/A</v>
      </c>
    </row>
    <row r="181" customFormat="false" ht="15.75" hidden="false" customHeight="false" outlineLevel="0" collapsed="false">
      <c r="A181" s="78" t="e">
        <v>#N/A</v>
      </c>
      <c r="B181" s="120" t="e">
        <v>#N/A</v>
      </c>
      <c r="C181" s="78" t="e">
        <v>#N/A</v>
      </c>
      <c r="D181" s="78" t="e">
        <v>#N/A</v>
      </c>
      <c r="E181" s="120" t="e">
        <v>#N/A</v>
      </c>
      <c r="F181" s="78" t="e">
        <v>#N/A</v>
      </c>
      <c r="G181" s="78" t="e">
        <v>#N/A</v>
      </c>
    </row>
    <row r="182" customFormat="false" ht="15.75" hidden="false" customHeight="false" outlineLevel="0" collapsed="false">
      <c r="A182" s="78" t="e">
        <v>#N/A</v>
      </c>
      <c r="B182" s="120" t="e">
        <v>#N/A</v>
      </c>
      <c r="C182" s="78" t="e">
        <v>#N/A</v>
      </c>
      <c r="D182" s="78" t="e">
        <v>#N/A</v>
      </c>
      <c r="E182" s="120" t="e">
        <v>#N/A</v>
      </c>
      <c r="F182" s="78" t="e">
        <v>#N/A</v>
      </c>
      <c r="G182" s="78" t="e">
        <v>#N/A</v>
      </c>
    </row>
    <row r="183" customFormat="false" ht="15.75" hidden="false" customHeight="false" outlineLevel="0" collapsed="false">
      <c r="A183" s="78" t="e">
        <v>#N/A</v>
      </c>
      <c r="B183" s="120" t="e">
        <v>#N/A</v>
      </c>
      <c r="C183" s="78" t="e">
        <v>#N/A</v>
      </c>
      <c r="D183" s="78" t="e">
        <v>#N/A</v>
      </c>
      <c r="E183" s="120" t="e">
        <v>#N/A</v>
      </c>
      <c r="F183" s="78" t="e">
        <v>#N/A</v>
      </c>
      <c r="G183" s="78" t="e">
        <v>#N/A</v>
      </c>
    </row>
    <row r="184" customFormat="false" ht="15.75" hidden="false" customHeight="false" outlineLevel="0" collapsed="false">
      <c r="A184" s="78" t="e">
        <v>#N/A</v>
      </c>
      <c r="B184" s="120" t="e">
        <v>#N/A</v>
      </c>
      <c r="C184" s="78" t="e">
        <v>#N/A</v>
      </c>
      <c r="D184" s="78" t="e">
        <v>#N/A</v>
      </c>
      <c r="E184" s="120" t="e">
        <v>#N/A</v>
      </c>
      <c r="F184" s="78" t="e">
        <v>#N/A</v>
      </c>
      <c r="G184" s="78" t="e">
        <v>#N/A</v>
      </c>
    </row>
    <row r="185" customFormat="false" ht="15.75" hidden="false" customHeight="false" outlineLevel="0" collapsed="false">
      <c r="A185" s="78" t="e">
        <v>#N/A</v>
      </c>
      <c r="B185" s="120" t="e">
        <v>#N/A</v>
      </c>
      <c r="C185" s="78" t="e">
        <v>#N/A</v>
      </c>
      <c r="D185" s="78" t="e">
        <v>#N/A</v>
      </c>
      <c r="E185" s="120" t="e">
        <v>#N/A</v>
      </c>
      <c r="F185" s="78" t="e">
        <v>#N/A</v>
      </c>
      <c r="G185" s="78" t="e">
        <v>#N/A</v>
      </c>
    </row>
    <row r="186" customFormat="false" ht="15.75" hidden="false" customHeight="false" outlineLevel="0" collapsed="false">
      <c r="A186" s="78" t="e">
        <v>#N/A</v>
      </c>
      <c r="B186" s="120" t="e">
        <v>#N/A</v>
      </c>
      <c r="C186" s="78" t="e">
        <v>#N/A</v>
      </c>
      <c r="D186" s="78" t="e">
        <v>#N/A</v>
      </c>
      <c r="E186" s="120" t="e">
        <v>#N/A</v>
      </c>
      <c r="F186" s="78" t="e">
        <v>#N/A</v>
      </c>
      <c r="G186" s="78" t="e">
        <v>#N/A</v>
      </c>
    </row>
    <row r="187" customFormat="false" ht="15.75" hidden="false" customHeight="false" outlineLevel="0" collapsed="false">
      <c r="A187" s="78" t="e">
        <v>#N/A</v>
      </c>
      <c r="B187" s="120" t="e">
        <v>#N/A</v>
      </c>
      <c r="C187" s="78" t="e">
        <v>#N/A</v>
      </c>
      <c r="D187" s="78" t="e">
        <v>#N/A</v>
      </c>
      <c r="E187" s="120" t="e">
        <v>#N/A</v>
      </c>
      <c r="F187" s="78" t="e">
        <v>#N/A</v>
      </c>
      <c r="G187" s="78" t="e">
        <v>#N/A</v>
      </c>
    </row>
    <row r="188" customFormat="false" ht="15.75" hidden="false" customHeight="false" outlineLevel="0" collapsed="false">
      <c r="A188" s="78" t="e">
        <v>#N/A</v>
      </c>
      <c r="B188" s="120" t="e">
        <v>#N/A</v>
      </c>
      <c r="C188" s="78" t="e">
        <v>#N/A</v>
      </c>
      <c r="D188" s="78" t="e">
        <v>#N/A</v>
      </c>
      <c r="E188" s="120" t="e">
        <v>#N/A</v>
      </c>
      <c r="F188" s="78" t="e">
        <v>#N/A</v>
      </c>
      <c r="G188" s="78" t="e">
        <v>#N/A</v>
      </c>
    </row>
    <row r="189" customFormat="false" ht="15.75" hidden="false" customHeight="false" outlineLevel="0" collapsed="false">
      <c r="A189" s="78" t="e">
        <v>#N/A</v>
      </c>
      <c r="B189" s="120" t="e">
        <v>#N/A</v>
      </c>
      <c r="C189" s="78" t="e">
        <v>#N/A</v>
      </c>
      <c r="D189" s="78" t="e">
        <v>#N/A</v>
      </c>
      <c r="E189" s="120" t="e">
        <v>#N/A</v>
      </c>
      <c r="F189" s="78" t="e">
        <v>#N/A</v>
      </c>
      <c r="G189" s="78" t="e">
        <v>#N/A</v>
      </c>
    </row>
    <row r="190" customFormat="false" ht="15.75" hidden="false" customHeight="false" outlineLevel="0" collapsed="false">
      <c r="A190" s="78" t="e">
        <v>#N/A</v>
      </c>
      <c r="B190" s="120" t="e">
        <v>#N/A</v>
      </c>
      <c r="C190" s="78" t="e">
        <v>#N/A</v>
      </c>
      <c r="D190" s="78" t="e">
        <v>#N/A</v>
      </c>
      <c r="E190" s="120" t="e">
        <v>#N/A</v>
      </c>
      <c r="F190" s="78" t="e">
        <v>#N/A</v>
      </c>
      <c r="G190" s="78" t="e">
        <v>#N/A</v>
      </c>
    </row>
    <row r="191" customFormat="false" ht="15.75" hidden="false" customHeight="false" outlineLevel="0" collapsed="false">
      <c r="A191" s="78" t="e">
        <v>#N/A</v>
      </c>
      <c r="B191" s="120" t="e">
        <v>#N/A</v>
      </c>
      <c r="C191" s="78" t="e">
        <v>#N/A</v>
      </c>
      <c r="D191" s="78" t="e">
        <v>#N/A</v>
      </c>
      <c r="E191" s="120" t="e">
        <v>#N/A</v>
      </c>
      <c r="F191" s="78" t="e">
        <v>#N/A</v>
      </c>
      <c r="G191" s="78" t="e">
        <v>#N/A</v>
      </c>
    </row>
    <row r="192" customFormat="false" ht="15.75" hidden="false" customHeight="false" outlineLevel="0" collapsed="false">
      <c r="A192" s="78" t="e">
        <v>#N/A</v>
      </c>
      <c r="B192" s="120" t="e">
        <v>#N/A</v>
      </c>
      <c r="C192" s="78" t="e">
        <v>#N/A</v>
      </c>
      <c r="D192" s="78" t="e">
        <v>#N/A</v>
      </c>
      <c r="E192" s="120" t="e">
        <v>#N/A</v>
      </c>
      <c r="F192" s="78" t="e">
        <v>#N/A</v>
      </c>
      <c r="G192" s="78" t="e">
        <v>#N/A</v>
      </c>
    </row>
    <row r="193" customFormat="false" ht="15.75" hidden="false" customHeight="false" outlineLevel="0" collapsed="false">
      <c r="A193" s="78" t="e">
        <v>#N/A</v>
      </c>
      <c r="B193" s="120" t="e">
        <v>#N/A</v>
      </c>
      <c r="C193" s="78" t="e">
        <v>#N/A</v>
      </c>
      <c r="D193" s="78" t="e">
        <v>#N/A</v>
      </c>
      <c r="E193" s="120" t="e">
        <v>#N/A</v>
      </c>
      <c r="F193" s="78" t="e">
        <v>#N/A</v>
      </c>
      <c r="G193" s="78" t="e">
        <v>#N/A</v>
      </c>
    </row>
    <row r="194" customFormat="false" ht="15.75" hidden="false" customHeight="false" outlineLevel="0" collapsed="false">
      <c r="A194" s="78" t="e">
        <v>#N/A</v>
      </c>
      <c r="B194" s="120" t="e">
        <v>#N/A</v>
      </c>
      <c r="C194" s="78" t="e">
        <v>#N/A</v>
      </c>
      <c r="D194" s="78" t="e">
        <v>#N/A</v>
      </c>
      <c r="E194" s="120" t="e">
        <v>#N/A</v>
      </c>
      <c r="F194" s="78" t="e">
        <v>#N/A</v>
      </c>
      <c r="G194" s="78" t="e">
        <v>#N/A</v>
      </c>
    </row>
    <row r="195" customFormat="false" ht="15.75" hidden="false" customHeight="false" outlineLevel="0" collapsed="false">
      <c r="A195" s="78" t="e">
        <v>#N/A</v>
      </c>
      <c r="B195" s="120" t="e">
        <v>#N/A</v>
      </c>
      <c r="C195" s="78" t="e">
        <v>#N/A</v>
      </c>
      <c r="D195" s="78" t="e">
        <v>#N/A</v>
      </c>
      <c r="E195" s="120" t="e">
        <v>#N/A</v>
      </c>
      <c r="F195" s="78" t="e">
        <v>#N/A</v>
      </c>
      <c r="G195" s="78" t="e">
        <v>#N/A</v>
      </c>
    </row>
    <row r="196" customFormat="false" ht="15.75" hidden="false" customHeight="false" outlineLevel="0" collapsed="false">
      <c r="A196" s="78" t="e">
        <v>#N/A</v>
      </c>
      <c r="B196" s="120" t="e">
        <v>#N/A</v>
      </c>
      <c r="C196" s="78" t="e">
        <v>#N/A</v>
      </c>
      <c r="D196" s="78" t="e">
        <v>#N/A</v>
      </c>
      <c r="E196" s="120" t="e">
        <v>#N/A</v>
      </c>
      <c r="F196" s="78" t="e">
        <v>#N/A</v>
      </c>
      <c r="G196" s="78" t="e">
        <v>#N/A</v>
      </c>
    </row>
    <row r="197" customFormat="false" ht="15.75" hidden="false" customHeight="false" outlineLevel="0" collapsed="false">
      <c r="A197" s="78" t="e">
        <v>#N/A</v>
      </c>
      <c r="B197" s="120" t="e">
        <v>#N/A</v>
      </c>
      <c r="C197" s="78" t="e">
        <v>#N/A</v>
      </c>
      <c r="D197" s="78" t="e">
        <v>#N/A</v>
      </c>
      <c r="E197" s="120" t="e">
        <v>#N/A</v>
      </c>
      <c r="F197" s="78" t="e">
        <v>#N/A</v>
      </c>
      <c r="G197" s="78" t="e">
        <v>#N/A</v>
      </c>
    </row>
    <row r="198" customFormat="false" ht="15.75" hidden="false" customHeight="false" outlineLevel="0" collapsed="false">
      <c r="A198" s="78" t="e">
        <v>#N/A</v>
      </c>
      <c r="B198" s="120" t="e">
        <v>#N/A</v>
      </c>
      <c r="C198" s="78" t="e">
        <v>#N/A</v>
      </c>
      <c r="D198" s="78" t="e">
        <v>#N/A</v>
      </c>
      <c r="E198" s="120" t="e">
        <v>#N/A</v>
      </c>
      <c r="F198" s="78" t="e">
        <v>#N/A</v>
      </c>
      <c r="G198" s="78" t="e">
        <v>#N/A</v>
      </c>
    </row>
    <row r="199" customFormat="false" ht="15.75" hidden="false" customHeight="false" outlineLevel="0" collapsed="false">
      <c r="A199" s="78" t="e">
        <v>#N/A</v>
      </c>
      <c r="B199" s="120" t="e">
        <v>#N/A</v>
      </c>
      <c r="C199" s="78" t="e">
        <v>#N/A</v>
      </c>
      <c r="D199" s="78" t="e">
        <v>#N/A</v>
      </c>
      <c r="E199" s="120" t="e">
        <v>#N/A</v>
      </c>
      <c r="F199" s="78" t="e">
        <v>#N/A</v>
      </c>
      <c r="G199" s="78" t="e">
        <v>#N/A</v>
      </c>
    </row>
    <row r="200" customFormat="false" ht="15.75" hidden="false" customHeight="false" outlineLevel="0" collapsed="false">
      <c r="A200" s="78" t="e">
        <v>#N/A</v>
      </c>
      <c r="B200" s="120" t="e">
        <v>#N/A</v>
      </c>
      <c r="C200" s="78" t="e">
        <v>#N/A</v>
      </c>
      <c r="D200" s="78" t="e">
        <v>#N/A</v>
      </c>
      <c r="E200" s="120" t="e">
        <v>#N/A</v>
      </c>
      <c r="F200" s="78" t="e">
        <v>#N/A</v>
      </c>
      <c r="G200" s="78" t="e">
        <v>#N/A</v>
      </c>
    </row>
    <row r="201" customFormat="false" ht="15.75" hidden="false" customHeight="false" outlineLevel="0" collapsed="false">
      <c r="A201" s="78" t="e">
        <v>#N/A</v>
      </c>
      <c r="B201" s="120" t="e">
        <v>#N/A</v>
      </c>
      <c r="C201" s="78" t="e">
        <v>#N/A</v>
      </c>
      <c r="D201" s="78" t="e">
        <v>#N/A</v>
      </c>
      <c r="E201" s="120" t="e">
        <v>#N/A</v>
      </c>
      <c r="F201" s="78" t="e">
        <v>#N/A</v>
      </c>
      <c r="G201" s="78" t="e">
        <v>#N/A</v>
      </c>
    </row>
    <row r="202" customFormat="false" ht="15.75" hidden="false" customHeight="false" outlineLevel="0" collapsed="false">
      <c r="A202" s="78" t="e">
        <v>#N/A</v>
      </c>
      <c r="B202" s="120" t="e">
        <v>#N/A</v>
      </c>
      <c r="C202" s="78" t="e">
        <v>#N/A</v>
      </c>
      <c r="D202" s="78" t="e">
        <v>#N/A</v>
      </c>
      <c r="E202" s="120" t="e">
        <v>#N/A</v>
      </c>
      <c r="F202" s="78" t="e">
        <v>#N/A</v>
      </c>
      <c r="G202" s="78" t="e">
        <v>#N/A</v>
      </c>
    </row>
    <row r="203" customFormat="false" ht="15.75" hidden="false" customHeight="false" outlineLevel="0" collapsed="false">
      <c r="A203" s="78" t="e">
        <v>#N/A</v>
      </c>
      <c r="B203" s="120" t="e">
        <v>#N/A</v>
      </c>
      <c r="C203" s="78" t="e">
        <v>#N/A</v>
      </c>
      <c r="D203" s="78" t="e">
        <v>#N/A</v>
      </c>
      <c r="E203" s="120" t="e">
        <v>#N/A</v>
      </c>
      <c r="F203" s="78" t="e">
        <v>#N/A</v>
      </c>
      <c r="G203" s="78" t="e">
        <v>#N/A</v>
      </c>
    </row>
    <row r="204" customFormat="false" ht="15.75" hidden="false" customHeight="false" outlineLevel="0" collapsed="false">
      <c r="A204" s="78" t="e">
        <v>#N/A</v>
      </c>
      <c r="B204" s="120" t="e">
        <v>#N/A</v>
      </c>
      <c r="C204" s="78" t="e">
        <v>#N/A</v>
      </c>
      <c r="D204" s="78" t="e">
        <v>#N/A</v>
      </c>
      <c r="E204" s="120" t="e">
        <v>#N/A</v>
      </c>
      <c r="F204" s="78" t="e">
        <v>#N/A</v>
      </c>
      <c r="G204" s="78" t="e">
        <v>#N/A</v>
      </c>
    </row>
    <row r="205" customFormat="false" ht="15.75" hidden="false" customHeight="false" outlineLevel="0" collapsed="false">
      <c r="A205" s="78" t="e">
        <v>#N/A</v>
      </c>
      <c r="B205" s="120" t="e">
        <v>#N/A</v>
      </c>
      <c r="C205" s="78" t="e">
        <v>#N/A</v>
      </c>
      <c r="D205" s="78" t="e">
        <v>#N/A</v>
      </c>
      <c r="E205" s="120" t="e">
        <v>#N/A</v>
      </c>
      <c r="F205" s="78" t="e">
        <v>#N/A</v>
      </c>
      <c r="G205" s="78" t="e">
        <v>#N/A</v>
      </c>
    </row>
    <row r="206" customFormat="false" ht="15.75" hidden="false" customHeight="false" outlineLevel="0" collapsed="false">
      <c r="A206" s="78" t="e">
        <v>#N/A</v>
      </c>
      <c r="B206" s="120" t="e">
        <v>#N/A</v>
      </c>
      <c r="C206" s="78" t="e">
        <v>#N/A</v>
      </c>
      <c r="D206" s="78" t="e">
        <v>#N/A</v>
      </c>
      <c r="E206" s="120" t="e">
        <v>#N/A</v>
      </c>
      <c r="F206" s="78" t="e">
        <v>#N/A</v>
      </c>
      <c r="G206" s="78" t="e">
        <v>#N/A</v>
      </c>
    </row>
    <row r="207" customFormat="false" ht="15.75" hidden="false" customHeight="false" outlineLevel="0" collapsed="false">
      <c r="A207" s="78" t="e">
        <v>#N/A</v>
      </c>
      <c r="B207" s="120" t="e">
        <v>#N/A</v>
      </c>
      <c r="C207" s="78" t="e">
        <v>#N/A</v>
      </c>
      <c r="D207" s="78" t="e">
        <v>#N/A</v>
      </c>
      <c r="E207" s="120" t="e">
        <v>#N/A</v>
      </c>
      <c r="F207" s="78" t="e">
        <v>#N/A</v>
      </c>
      <c r="G207" s="78" t="e">
        <v>#N/A</v>
      </c>
    </row>
    <row r="208" customFormat="false" ht="15.75" hidden="false" customHeight="false" outlineLevel="0" collapsed="false">
      <c r="A208" s="78" t="e">
        <v>#N/A</v>
      </c>
      <c r="B208" s="120" t="e">
        <v>#N/A</v>
      </c>
      <c r="C208" s="78" t="e">
        <v>#N/A</v>
      </c>
      <c r="D208" s="78" t="e">
        <v>#N/A</v>
      </c>
      <c r="E208" s="120" t="e">
        <v>#N/A</v>
      </c>
      <c r="F208" s="78" t="e">
        <v>#N/A</v>
      </c>
      <c r="G208" s="78" t="e">
        <v>#N/A</v>
      </c>
    </row>
    <row r="209" customFormat="false" ht="15.75" hidden="false" customHeight="false" outlineLevel="0" collapsed="false">
      <c r="A209" s="78" t="e">
        <v>#N/A</v>
      </c>
      <c r="B209" s="120" t="e">
        <v>#N/A</v>
      </c>
      <c r="C209" s="78" t="e">
        <v>#N/A</v>
      </c>
      <c r="D209" s="78" t="e">
        <v>#N/A</v>
      </c>
      <c r="E209" s="120" t="e">
        <v>#N/A</v>
      </c>
      <c r="F209" s="78" t="e">
        <v>#N/A</v>
      </c>
      <c r="G209" s="78" t="e">
        <v>#N/A</v>
      </c>
    </row>
    <row r="210" customFormat="false" ht="15.75" hidden="false" customHeight="false" outlineLevel="0" collapsed="false">
      <c r="A210" s="78" t="e">
        <v>#N/A</v>
      </c>
      <c r="B210" s="120" t="e">
        <v>#N/A</v>
      </c>
      <c r="C210" s="78" t="e">
        <v>#N/A</v>
      </c>
      <c r="D210" s="78" t="e">
        <v>#N/A</v>
      </c>
      <c r="E210" s="120" t="e">
        <v>#N/A</v>
      </c>
      <c r="F210" s="78" t="e">
        <v>#N/A</v>
      </c>
      <c r="G210" s="78" t="e">
        <v>#N/A</v>
      </c>
    </row>
    <row r="211" customFormat="false" ht="15.75" hidden="false" customHeight="false" outlineLevel="0" collapsed="false">
      <c r="A211" s="78" t="e">
        <v>#N/A</v>
      </c>
      <c r="B211" s="120" t="e">
        <v>#N/A</v>
      </c>
      <c r="C211" s="78" t="e">
        <v>#N/A</v>
      </c>
      <c r="D211" s="78" t="e">
        <v>#N/A</v>
      </c>
      <c r="E211" s="120" t="e">
        <v>#N/A</v>
      </c>
      <c r="F211" s="78" t="e">
        <v>#N/A</v>
      </c>
      <c r="G211" s="78" t="e">
        <v>#N/A</v>
      </c>
    </row>
    <row r="212" customFormat="false" ht="15.75" hidden="false" customHeight="false" outlineLevel="0" collapsed="false">
      <c r="A212" s="78" t="e">
        <v>#N/A</v>
      </c>
      <c r="B212" s="120" t="e">
        <v>#N/A</v>
      </c>
      <c r="C212" s="78" t="e">
        <v>#N/A</v>
      </c>
      <c r="D212" s="78" t="e">
        <v>#N/A</v>
      </c>
      <c r="E212" s="120" t="e">
        <v>#N/A</v>
      </c>
      <c r="F212" s="78" t="e">
        <v>#N/A</v>
      </c>
      <c r="G212" s="78" t="e">
        <v>#N/A</v>
      </c>
    </row>
    <row r="213" customFormat="false" ht="15.75" hidden="false" customHeight="false" outlineLevel="0" collapsed="false">
      <c r="A213" s="78" t="e">
        <v>#N/A</v>
      </c>
      <c r="B213" s="120" t="e">
        <v>#N/A</v>
      </c>
      <c r="C213" s="78" t="e">
        <v>#N/A</v>
      </c>
      <c r="D213" s="78" t="e">
        <v>#N/A</v>
      </c>
      <c r="E213" s="120" t="e">
        <v>#N/A</v>
      </c>
      <c r="F213" s="78" t="e">
        <v>#N/A</v>
      </c>
      <c r="G213" s="78" t="e">
        <v>#N/A</v>
      </c>
    </row>
    <row r="214" customFormat="false" ht="15.75" hidden="false" customHeight="false" outlineLevel="0" collapsed="false">
      <c r="A214" s="78" t="e">
        <v>#N/A</v>
      </c>
      <c r="B214" s="120" t="e">
        <v>#N/A</v>
      </c>
      <c r="C214" s="78" t="e">
        <v>#N/A</v>
      </c>
      <c r="D214" s="78" t="e">
        <v>#N/A</v>
      </c>
      <c r="E214" s="120" t="e">
        <v>#N/A</v>
      </c>
      <c r="F214" s="78" t="e">
        <v>#N/A</v>
      </c>
      <c r="G214" s="78" t="e">
        <v>#N/A</v>
      </c>
    </row>
    <row r="215" customFormat="false" ht="15.75" hidden="false" customHeight="false" outlineLevel="0" collapsed="false">
      <c r="A215" s="78" t="e">
        <v>#N/A</v>
      </c>
      <c r="B215" s="120" t="e">
        <v>#N/A</v>
      </c>
      <c r="C215" s="78" t="e">
        <v>#N/A</v>
      </c>
      <c r="D215" s="78" t="e">
        <v>#N/A</v>
      </c>
      <c r="E215" s="120" t="e">
        <v>#N/A</v>
      </c>
      <c r="F215" s="78" t="e">
        <v>#N/A</v>
      </c>
      <c r="G215" s="78" t="e">
        <v>#N/A</v>
      </c>
    </row>
    <row r="216" customFormat="false" ht="15.75" hidden="false" customHeight="false" outlineLevel="0" collapsed="false">
      <c r="A216" s="78" t="e">
        <v>#N/A</v>
      </c>
      <c r="B216" s="120" t="e">
        <v>#N/A</v>
      </c>
      <c r="C216" s="78" t="e">
        <v>#N/A</v>
      </c>
      <c r="D216" s="78" t="e">
        <v>#N/A</v>
      </c>
      <c r="E216" s="120" t="e">
        <v>#N/A</v>
      </c>
      <c r="F216" s="78" t="e">
        <v>#N/A</v>
      </c>
      <c r="G216" s="78" t="e">
        <v>#N/A</v>
      </c>
    </row>
    <row r="217" customFormat="false" ht="15.75" hidden="false" customHeight="false" outlineLevel="0" collapsed="false">
      <c r="A217" s="78" t="e">
        <v>#N/A</v>
      </c>
      <c r="B217" s="120" t="e">
        <v>#N/A</v>
      </c>
      <c r="C217" s="78" t="e">
        <v>#N/A</v>
      </c>
      <c r="D217" s="78" t="e">
        <v>#N/A</v>
      </c>
      <c r="E217" s="120" t="e">
        <v>#N/A</v>
      </c>
      <c r="F217" s="78" t="e">
        <v>#N/A</v>
      </c>
      <c r="G217" s="78" t="e">
        <v>#N/A</v>
      </c>
    </row>
    <row r="218" customFormat="false" ht="15.75" hidden="false" customHeight="false" outlineLevel="0" collapsed="false">
      <c r="A218" s="78" t="e">
        <v>#N/A</v>
      </c>
      <c r="B218" s="120" t="e">
        <v>#N/A</v>
      </c>
      <c r="C218" s="78" t="e">
        <v>#N/A</v>
      </c>
      <c r="D218" s="78" t="e">
        <v>#N/A</v>
      </c>
      <c r="E218" s="120" t="e">
        <v>#N/A</v>
      </c>
      <c r="F218" s="78" t="e">
        <v>#N/A</v>
      </c>
      <c r="G218" s="78" t="e">
        <v>#N/A</v>
      </c>
    </row>
    <row r="219" customFormat="false" ht="15.75" hidden="false" customHeight="false" outlineLevel="0" collapsed="false">
      <c r="A219" s="78" t="e">
        <v>#N/A</v>
      </c>
      <c r="B219" s="120" t="e">
        <v>#N/A</v>
      </c>
      <c r="C219" s="78" t="e">
        <v>#N/A</v>
      </c>
      <c r="D219" s="78" t="e">
        <v>#N/A</v>
      </c>
      <c r="E219" s="120" t="e">
        <v>#N/A</v>
      </c>
      <c r="F219" s="78" t="e">
        <v>#N/A</v>
      </c>
      <c r="G219" s="78" t="e">
        <v>#N/A</v>
      </c>
    </row>
    <row r="220" customFormat="false" ht="15.75" hidden="false" customHeight="false" outlineLevel="0" collapsed="false">
      <c r="A220" s="78" t="e">
        <v>#N/A</v>
      </c>
      <c r="B220" s="120" t="e">
        <v>#N/A</v>
      </c>
      <c r="C220" s="78" t="e">
        <v>#N/A</v>
      </c>
      <c r="D220" s="78" t="e">
        <v>#N/A</v>
      </c>
      <c r="E220" s="120" t="e">
        <v>#N/A</v>
      </c>
      <c r="F220" s="78" t="e">
        <v>#N/A</v>
      </c>
      <c r="G220" s="78" t="e">
        <v>#N/A</v>
      </c>
    </row>
    <row r="221" customFormat="false" ht="15.75" hidden="false" customHeight="false" outlineLevel="0" collapsed="false">
      <c r="A221" s="78" t="e">
        <v>#N/A</v>
      </c>
      <c r="B221" s="120" t="e">
        <v>#N/A</v>
      </c>
      <c r="C221" s="78" t="e">
        <v>#N/A</v>
      </c>
      <c r="D221" s="78" t="e">
        <v>#N/A</v>
      </c>
      <c r="E221" s="120" t="e">
        <v>#N/A</v>
      </c>
      <c r="F221" s="78" t="e">
        <v>#N/A</v>
      </c>
      <c r="G221" s="78" t="e">
        <v>#N/A</v>
      </c>
    </row>
    <row r="222" customFormat="false" ht="15.75" hidden="false" customHeight="false" outlineLevel="0" collapsed="false">
      <c r="A222" s="78" t="e">
        <v>#N/A</v>
      </c>
      <c r="B222" s="120" t="e">
        <v>#N/A</v>
      </c>
      <c r="C222" s="78" t="e">
        <v>#N/A</v>
      </c>
      <c r="D222" s="78" t="e">
        <v>#N/A</v>
      </c>
      <c r="E222" s="120" t="e">
        <v>#N/A</v>
      </c>
      <c r="F222" s="78" t="e">
        <v>#N/A</v>
      </c>
      <c r="G222" s="78" t="e">
        <v>#N/A</v>
      </c>
    </row>
    <row r="223" customFormat="false" ht="15.75" hidden="false" customHeight="false" outlineLevel="0" collapsed="false">
      <c r="A223" s="78" t="e">
        <v>#N/A</v>
      </c>
      <c r="B223" s="120" t="e">
        <v>#N/A</v>
      </c>
      <c r="C223" s="78" t="e">
        <v>#N/A</v>
      </c>
      <c r="D223" s="78" t="e">
        <v>#N/A</v>
      </c>
      <c r="E223" s="120" t="e">
        <v>#N/A</v>
      </c>
      <c r="F223" s="78" t="e">
        <v>#N/A</v>
      </c>
      <c r="G223" s="78" t="e">
        <v>#N/A</v>
      </c>
    </row>
    <row r="224" customFormat="false" ht="15.75" hidden="false" customHeight="false" outlineLevel="0" collapsed="false">
      <c r="A224" s="78" t="e">
        <v>#N/A</v>
      </c>
      <c r="B224" s="120" t="e">
        <v>#N/A</v>
      </c>
      <c r="C224" s="78" t="e">
        <v>#N/A</v>
      </c>
      <c r="D224" s="78" t="e">
        <v>#N/A</v>
      </c>
      <c r="E224" s="120" t="e">
        <v>#N/A</v>
      </c>
      <c r="F224" s="78" t="e">
        <v>#N/A</v>
      </c>
      <c r="G224" s="78" t="e">
        <v>#N/A</v>
      </c>
    </row>
    <row r="225" customFormat="false" ht="15.75" hidden="false" customHeight="false" outlineLevel="0" collapsed="false">
      <c r="A225" s="78" t="e">
        <v>#N/A</v>
      </c>
      <c r="B225" s="120" t="e">
        <v>#N/A</v>
      </c>
      <c r="C225" s="78" t="e">
        <v>#N/A</v>
      </c>
      <c r="D225" s="78" t="e">
        <v>#N/A</v>
      </c>
      <c r="E225" s="120" t="e">
        <v>#N/A</v>
      </c>
      <c r="F225" s="78" t="e">
        <v>#N/A</v>
      </c>
      <c r="G225" s="78" t="e">
        <v>#N/A</v>
      </c>
    </row>
    <row r="226" customFormat="false" ht="15.75" hidden="false" customHeight="false" outlineLevel="0" collapsed="false">
      <c r="A226" s="78" t="e">
        <v>#N/A</v>
      </c>
      <c r="B226" s="120" t="e">
        <v>#N/A</v>
      </c>
      <c r="C226" s="78" t="e">
        <v>#N/A</v>
      </c>
      <c r="D226" s="78" t="e">
        <v>#N/A</v>
      </c>
      <c r="E226" s="120" t="e">
        <v>#N/A</v>
      </c>
      <c r="F226" s="78" t="e">
        <v>#N/A</v>
      </c>
      <c r="G226" s="78" t="e">
        <v>#N/A</v>
      </c>
    </row>
    <row r="227" customFormat="false" ht="15.75" hidden="false" customHeight="false" outlineLevel="0" collapsed="false">
      <c r="A227" s="78" t="e">
        <v>#N/A</v>
      </c>
      <c r="B227" s="120" t="e">
        <v>#N/A</v>
      </c>
      <c r="C227" s="78" t="e">
        <v>#N/A</v>
      </c>
      <c r="D227" s="78" t="e">
        <v>#N/A</v>
      </c>
      <c r="E227" s="120" t="e">
        <v>#N/A</v>
      </c>
      <c r="F227" s="78" t="e">
        <v>#N/A</v>
      </c>
      <c r="G227" s="78" t="e">
        <v>#N/A</v>
      </c>
    </row>
    <row r="228" customFormat="false" ht="15.75" hidden="false" customHeight="false" outlineLevel="0" collapsed="false">
      <c r="A228" s="78" t="e">
        <v>#N/A</v>
      </c>
      <c r="B228" s="120" t="e">
        <v>#N/A</v>
      </c>
      <c r="C228" s="78" t="e">
        <v>#N/A</v>
      </c>
      <c r="D228" s="78" t="e">
        <v>#N/A</v>
      </c>
      <c r="E228" s="120" t="e">
        <v>#N/A</v>
      </c>
      <c r="F228" s="78" t="e">
        <v>#N/A</v>
      </c>
      <c r="G228" s="78" t="e">
        <v>#N/A</v>
      </c>
    </row>
    <row r="229" customFormat="false" ht="15.75" hidden="false" customHeight="false" outlineLevel="0" collapsed="false">
      <c r="A229" s="78" t="e">
        <v>#N/A</v>
      </c>
      <c r="B229" s="120" t="e">
        <v>#N/A</v>
      </c>
      <c r="C229" s="78" t="e">
        <v>#N/A</v>
      </c>
      <c r="D229" s="78" t="e">
        <v>#N/A</v>
      </c>
      <c r="E229" s="120" t="e">
        <v>#N/A</v>
      </c>
      <c r="F229" s="78" t="e">
        <v>#N/A</v>
      </c>
      <c r="G229" s="78" t="e">
        <v>#N/A</v>
      </c>
    </row>
    <row r="230" customFormat="false" ht="15.75" hidden="false" customHeight="false" outlineLevel="0" collapsed="false">
      <c r="A230" s="78" t="e">
        <v>#N/A</v>
      </c>
      <c r="B230" s="120" t="e">
        <v>#N/A</v>
      </c>
      <c r="C230" s="78" t="e">
        <v>#N/A</v>
      </c>
      <c r="D230" s="78" t="e">
        <v>#N/A</v>
      </c>
      <c r="E230" s="120" t="e">
        <v>#N/A</v>
      </c>
      <c r="F230" s="78" t="e">
        <v>#N/A</v>
      </c>
      <c r="G230" s="78" t="e">
        <v>#N/A</v>
      </c>
    </row>
    <row r="231" customFormat="false" ht="15.75" hidden="false" customHeight="false" outlineLevel="0" collapsed="false">
      <c r="A231" s="78" t="e">
        <v>#N/A</v>
      </c>
      <c r="B231" s="120" t="e">
        <v>#N/A</v>
      </c>
      <c r="C231" s="78" t="e">
        <v>#N/A</v>
      </c>
      <c r="D231" s="78" t="e">
        <v>#N/A</v>
      </c>
      <c r="E231" s="120" t="e">
        <v>#N/A</v>
      </c>
      <c r="F231" s="78" t="e">
        <v>#N/A</v>
      </c>
      <c r="G231" s="78" t="e">
        <v>#N/A</v>
      </c>
    </row>
    <row r="232" customFormat="false" ht="15.75" hidden="false" customHeight="false" outlineLevel="0" collapsed="false">
      <c r="A232" s="78" t="e">
        <v>#N/A</v>
      </c>
      <c r="B232" s="120" t="e">
        <v>#N/A</v>
      </c>
      <c r="C232" s="78" t="e">
        <v>#N/A</v>
      </c>
      <c r="D232" s="78" t="e">
        <v>#N/A</v>
      </c>
      <c r="E232" s="120" t="e">
        <v>#N/A</v>
      </c>
      <c r="F232" s="78" t="e">
        <v>#N/A</v>
      </c>
      <c r="G232" s="78" t="e">
        <v>#N/A</v>
      </c>
    </row>
    <row r="233" customFormat="false" ht="15.75" hidden="false" customHeight="false" outlineLevel="0" collapsed="false">
      <c r="A233" s="78" t="e">
        <v>#N/A</v>
      </c>
      <c r="B233" s="120" t="e">
        <v>#N/A</v>
      </c>
      <c r="C233" s="78" t="e">
        <v>#N/A</v>
      </c>
      <c r="D233" s="78" t="e">
        <v>#N/A</v>
      </c>
      <c r="E233" s="120" t="e">
        <v>#N/A</v>
      </c>
      <c r="F233" s="78" t="e">
        <v>#N/A</v>
      </c>
      <c r="G233" s="78" t="e">
        <v>#N/A</v>
      </c>
    </row>
    <row r="234" customFormat="false" ht="15.75" hidden="false" customHeight="false" outlineLevel="0" collapsed="false">
      <c r="A234" s="78" t="e">
        <v>#N/A</v>
      </c>
      <c r="B234" s="120" t="e">
        <v>#N/A</v>
      </c>
      <c r="C234" s="78" t="e">
        <v>#N/A</v>
      </c>
      <c r="D234" s="78" t="e">
        <v>#N/A</v>
      </c>
      <c r="E234" s="120" t="e">
        <v>#N/A</v>
      </c>
      <c r="F234" s="78" t="e">
        <v>#N/A</v>
      </c>
      <c r="G234" s="78" t="e">
        <v>#N/A</v>
      </c>
    </row>
    <row r="235" customFormat="false" ht="15.75" hidden="false" customHeight="false" outlineLevel="0" collapsed="false">
      <c r="A235" s="78" t="e">
        <v>#N/A</v>
      </c>
      <c r="B235" s="120" t="e">
        <v>#N/A</v>
      </c>
      <c r="C235" s="78" t="e">
        <v>#N/A</v>
      </c>
      <c r="D235" s="78" t="e">
        <v>#N/A</v>
      </c>
      <c r="E235" s="120" t="e">
        <v>#N/A</v>
      </c>
      <c r="F235" s="78" t="e">
        <v>#N/A</v>
      </c>
      <c r="G235" s="78" t="e">
        <v>#N/A</v>
      </c>
    </row>
    <row r="236" customFormat="false" ht="15.75" hidden="false" customHeight="false" outlineLevel="0" collapsed="false">
      <c r="A236" s="78" t="e">
        <v>#N/A</v>
      </c>
      <c r="B236" s="120" t="e">
        <v>#N/A</v>
      </c>
      <c r="C236" s="78" t="e">
        <v>#N/A</v>
      </c>
      <c r="D236" s="78" t="e">
        <v>#N/A</v>
      </c>
      <c r="E236" s="120" t="e">
        <v>#N/A</v>
      </c>
      <c r="F236" s="78" t="e">
        <v>#N/A</v>
      </c>
      <c r="G236" s="78" t="e">
        <v>#N/A</v>
      </c>
    </row>
    <row r="237" customFormat="false" ht="15.75" hidden="false" customHeight="false" outlineLevel="0" collapsed="false">
      <c r="A237" s="78" t="e">
        <v>#N/A</v>
      </c>
      <c r="B237" s="120" t="e">
        <v>#N/A</v>
      </c>
      <c r="C237" s="78" t="e">
        <v>#N/A</v>
      </c>
      <c r="D237" s="78" t="e">
        <v>#N/A</v>
      </c>
      <c r="E237" s="120" t="e">
        <v>#N/A</v>
      </c>
      <c r="F237" s="78" t="e">
        <v>#N/A</v>
      </c>
      <c r="G237" s="78" t="e">
        <v>#N/A</v>
      </c>
    </row>
    <row r="238" customFormat="false" ht="15.75" hidden="false" customHeight="false" outlineLevel="0" collapsed="false">
      <c r="A238" s="78" t="e">
        <v>#N/A</v>
      </c>
      <c r="B238" s="120" t="e">
        <v>#N/A</v>
      </c>
      <c r="C238" s="78" t="e">
        <v>#N/A</v>
      </c>
      <c r="D238" s="78" t="e">
        <v>#N/A</v>
      </c>
      <c r="E238" s="120" t="e">
        <v>#N/A</v>
      </c>
      <c r="F238" s="78" t="e">
        <v>#N/A</v>
      </c>
      <c r="G238" s="78" t="e">
        <v>#N/A</v>
      </c>
    </row>
    <row r="239" customFormat="false" ht="15.75" hidden="false" customHeight="false" outlineLevel="0" collapsed="false">
      <c r="A239" s="78" t="e">
        <v>#N/A</v>
      </c>
      <c r="B239" s="120" t="e">
        <v>#N/A</v>
      </c>
      <c r="C239" s="78" t="e">
        <v>#N/A</v>
      </c>
      <c r="D239" s="78" t="e">
        <v>#N/A</v>
      </c>
      <c r="E239" s="120" t="e">
        <v>#N/A</v>
      </c>
      <c r="F239" s="78" t="e">
        <v>#N/A</v>
      </c>
      <c r="G239" s="78" t="e">
        <v>#N/A</v>
      </c>
    </row>
    <row r="240" customFormat="false" ht="15.75" hidden="false" customHeight="false" outlineLevel="0" collapsed="false">
      <c r="A240" s="78" t="e">
        <v>#N/A</v>
      </c>
      <c r="B240" s="120" t="e">
        <v>#N/A</v>
      </c>
      <c r="C240" s="78" t="e">
        <v>#N/A</v>
      </c>
      <c r="D240" s="78" t="e">
        <v>#N/A</v>
      </c>
      <c r="E240" s="120" t="e">
        <v>#N/A</v>
      </c>
      <c r="F240" s="78" t="e">
        <v>#N/A</v>
      </c>
      <c r="G240" s="78" t="e">
        <v>#N/A</v>
      </c>
    </row>
    <row r="241" customFormat="false" ht="15.75" hidden="false" customHeight="false" outlineLevel="0" collapsed="false">
      <c r="A241" s="78" t="e">
        <v>#N/A</v>
      </c>
      <c r="B241" s="120" t="e">
        <v>#N/A</v>
      </c>
      <c r="C241" s="78" t="e">
        <v>#N/A</v>
      </c>
      <c r="D241" s="78" t="e">
        <v>#N/A</v>
      </c>
      <c r="E241" s="120" t="e">
        <v>#N/A</v>
      </c>
      <c r="F241" s="78" t="e">
        <v>#N/A</v>
      </c>
      <c r="G241" s="78" t="e">
        <v>#N/A</v>
      </c>
    </row>
    <row r="242" customFormat="false" ht="15.75" hidden="false" customHeight="false" outlineLevel="0" collapsed="false">
      <c r="A242" s="78" t="e">
        <v>#N/A</v>
      </c>
      <c r="B242" s="120" t="e">
        <v>#N/A</v>
      </c>
      <c r="C242" s="78" t="e">
        <v>#N/A</v>
      </c>
      <c r="D242" s="78" t="e">
        <v>#N/A</v>
      </c>
      <c r="E242" s="120" t="e">
        <v>#N/A</v>
      </c>
      <c r="F242" s="78" t="e">
        <v>#N/A</v>
      </c>
      <c r="G242" s="78" t="e">
        <v>#N/A</v>
      </c>
    </row>
    <row r="243" customFormat="false" ht="15.75" hidden="false" customHeight="false" outlineLevel="0" collapsed="false">
      <c r="A243" s="78" t="e">
        <v>#N/A</v>
      </c>
      <c r="B243" s="120" t="e">
        <v>#N/A</v>
      </c>
      <c r="C243" s="78" t="e">
        <v>#N/A</v>
      </c>
      <c r="D243" s="78" t="e">
        <v>#N/A</v>
      </c>
      <c r="E243" s="120" t="e">
        <v>#N/A</v>
      </c>
      <c r="F243" s="78" t="e">
        <v>#N/A</v>
      </c>
      <c r="G243" s="78" t="e">
        <v>#N/A</v>
      </c>
    </row>
    <row r="244" customFormat="false" ht="15.75" hidden="false" customHeight="false" outlineLevel="0" collapsed="false">
      <c r="A244" s="78" t="e">
        <v>#N/A</v>
      </c>
      <c r="B244" s="120" t="e">
        <v>#N/A</v>
      </c>
      <c r="C244" s="78" t="e">
        <v>#N/A</v>
      </c>
      <c r="D244" s="78" t="e">
        <v>#N/A</v>
      </c>
      <c r="E244" s="120" t="e">
        <v>#N/A</v>
      </c>
      <c r="F244" s="78" t="e">
        <v>#N/A</v>
      </c>
      <c r="G244" s="78" t="e">
        <v>#N/A</v>
      </c>
    </row>
    <row r="245" customFormat="false" ht="15.75" hidden="false" customHeight="false" outlineLevel="0" collapsed="false">
      <c r="A245" s="78" t="e">
        <v>#N/A</v>
      </c>
      <c r="B245" s="120" t="e">
        <v>#N/A</v>
      </c>
      <c r="C245" s="78" t="e">
        <v>#N/A</v>
      </c>
      <c r="D245" s="78" t="e">
        <v>#N/A</v>
      </c>
      <c r="E245" s="120" t="e">
        <v>#N/A</v>
      </c>
      <c r="F245" s="78" t="e">
        <v>#N/A</v>
      </c>
      <c r="G245" s="78" t="e">
        <v>#N/A</v>
      </c>
    </row>
    <row r="246" customFormat="false" ht="15.75" hidden="false" customHeight="false" outlineLevel="0" collapsed="false">
      <c r="A246" s="78" t="e">
        <v>#N/A</v>
      </c>
      <c r="B246" s="120" t="e">
        <v>#N/A</v>
      </c>
      <c r="C246" s="78" t="e">
        <v>#N/A</v>
      </c>
      <c r="D246" s="78" t="e">
        <v>#N/A</v>
      </c>
      <c r="E246" s="120" t="e">
        <v>#N/A</v>
      </c>
      <c r="F246" s="78" t="e">
        <v>#N/A</v>
      </c>
      <c r="G246" s="78" t="e">
        <v>#N/A</v>
      </c>
    </row>
    <row r="247" customFormat="false" ht="15.75" hidden="false" customHeight="false" outlineLevel="0" collapsed="false">
      <c r="A247" s="78" t="e">
        <v>#N/A</v>
      </c>
      <c r="B247" s="120" t="e">
        <v>#N/A</v>
      </c>
      <c r="C247" s="78" t="e">
        <v>#N/A</v>
      </c>
      <c r="D247" s="78" t="e">
        <v>#N/A</v>
      </c>
      <c r="E247" s="120" t="e">
        <v>#N/A</v>
      </c>
      <c r="F247" s="78" t="e">
        <v>#N/A</v>
      </c>
      <c r="G247" s="78" t="e">
        <v>#N/A</v>
      </c>
    </row>
    <row r="248" customFormat="false" ht="15.75" hidden="false" customHeight="false" outlineLevel="0" collapsed="false">
      <c r="A248" s="78" t="e">
        <v>#N/A</v>
      </c>
      <c r="B248" s="120" t="e">
        <v>#N/A</v>
      </c>
      <c r="C248" s="78" t="e">
        <v>#N/A</v>
      </c>
      <c r="D248" s="78" t="e">
        <v>#N/A</v>
      </c>
      <c r="E248" s="120" t="e">
        <v>#N/A</v>
      </c>
      <c r="F248" s="78" t="e">
        <v>#N/A</v>
      </c>
      <c r="G248" s="78" t="e">
        <v>#N/A</v>
      </c>
    </row>
    <row r="249" customFormat="false" ht="15.75" hidden="false" customHeight="false" outlineLevel="0" collapsed="false">
      <c r="A249" s="78" t="e">
        <v>#N/A</v>
      </c>
      <c r="B249" s="120" t="e">
        <v>#N/A</v>
      </c>
      <c r="C249" s="78" t="e">
        <v>#N/A</v>
      </c>
      <c r="D249" s="78" t="e">
        <v>#N/A</v>
      </c>
      <c r="E249" s="120" t="e">
        <v>#N/A</v>
      </c>
      <c r="F249" s="78" t="e">
        <v>#N/A</v>
      </c>
      <c r="G249" s="78" t="e">
        <v>#N/A</v>
      </c>
    </row>
    <row r="250" customFormat="false" ht="15.75" hidden="false" customHeight="false" outlineLevel="0" collapsed="false">
      <c r="A250" s="78" t="e">
        <v>#N/A</v>
      </c>
      <c r="B250" s="120" t="e">
        <v>#N/A</v>
      </c>
      <c r="C250" s="78" t="e">
        <v>#N/A</v>
      </c>
      <c r="D250" s="78" t="e">
        <v>#N/A</v>
      </c>
      <c r="E250" s="120" t="e">
        <v>#N/A</v>
      </c>
      <c r="F250" s="78" t="e">
        <v>#N/A</v>
      </c>
      <c r="G250" s="78" t="e">
        <v>#N/A</v>
      </c>
    </row>
    <row r="251" customFormat="false" ht="15.75" hidden="false" customHeight="false" outlineLevel="0" collapsed="false">
      <c r="A251" s="78" t="e">
        <v>#N/A</v>
      </c>
      <c r="B251" s="120" t="e">
        <v>#N/A</v>
      </c>
      <c r="C251" s="78" t="e">
        <v>#N/A</v>
      </c>
      <c r="D251" s="78" t="e">
        <v>#N/A</v>
      </c>
      <c r="E251" s="120" t="e">
        <v>#N/A</v>
      </c>
      <c r="F251" s="78" t="e">
        <v>#N/A</v>
      </c>
      <c r="G251" s="78" t="e">
        <v>#N/A</v>
      </c>
    </row>
    <row r="252" customFormat="false" ht="15.75" hidden="false" customHeight="false" outlineLevel="0" collapsed="false">
      <c r="A252" s="78" t="e">
        <v>#N/A</v>
      </c>
      <c r="B252" s="120" t="e">
        <v>#N/A</v>
      </c>
      <c r="C252" s="78" t="e">
        <v>#N/A</v>
      </c>
      <c r="D252" s="78" t="e">
        <v>#N/A</v>
      </c>
      <c r="E252" s="120" t="e">
        <v>#N/A</v>
      </c>
      <c r="F252" s="78" t="e">
        <v>#N/A</v>
      </c>
      <c r="G252" s="78" t="e">
        <v>#N/A</v>
      </c>
    </row>
    <row r="253" customFormat="false" ht="15.75" hidden="false" customHeight="false" outlineLevel="0" collapsed="false">
      <c r="A253" s="78" t="e">
        <v>#N/A</v>
      </c>
      <c r="B253" s="120" t="e">
        <v>#N/A</v>
      </c>
      <c r="C253" s="78" t="e">
        <v>#N/A</v>
      </c>
      <c r="D253" s="78" t="e">
        <v>#N/A</v>
      </c>
      <c r="E253" s="120" t="e">
        <v>#N/A</v>
      </c>
      <c r="F253" s="78" t="e">
        <v>#N/A</v>
      </c>
      <c r="G253" s="78" t="e">
        <v>#N/A</v>
      </c>
    </row>
    <row r="254" customFormat="false" ht="15.75" hidden="false" customHeight="false" outlineLevel="0" collapsed="false">
      <c r="A254" s="78" t="e">
        <v>#N/A</v>
      </c>
      <c r="B254" s="120" t="e">
        <v>#N/A</v>
      </c>
      <c r="C254" s="78" t="e">
        <v>#N/A</v>
      </c>
      <c r="D254" s="78" t="e">
        <v>#N/A</v>
      </c>
      <c r="E254" s="120" t="e">
        <v>#N/A</v>
      </c>
      <c r="F254" s="78" t="e">
        <v>#N/A</v>
      </c>
      <c r="G254" s="78" t="e">
        <v>#N/A</v>
      </c>
    </row>
    <row r="255" customFormat="false" ht="15.75" hidden="false" customHeight="false" outlineLevel="0" collapsed="false">
      <c r="A255" s="78" t="e">
        <v>#N/A</v>
      </c>
      <c r="B255" s="120" t="e">
        <v>#N/A</v>
      </c>
      <c r="C255" s="78" t="e">
        <v>#N/A</v>
      </c>
      <c r="D255" s="78" t="e">
        <v>#N/A</v>
      </c>
      <c r="E255" s="120" t="e">
        <v>#N/A</v>
      </c>
      <c r="F255" s="78" t="e">
        <v>#N/A</v>
      </c>
      <c r="G255" s="78" t="e">
        <v>#N/A</v>
      </c>
    </row>
    <row r="256" customFormat="false" ht="15.75" hidden="false" customHeight="false" outlineLevel="0" collapsed="false">
      <c r="A256" s="78" t="e">
        <v>#N/A</v>
      </c>
      <c r="B256" s="120" t="e">
        <v>#N/A</v>
      </c>
      <c r="C256" s="78" t="e">
        <v>#N/A</v>
      </c>
      <c r="D256" s="78" t="e">
        <v>#N/A</v>
      </c>
      <c r="E256" s="120" t="e">
        <v>#N/A</v>
      </c>
      <c r="F256" s="78" t="e">
        <v>#N/A</v>
      </c>
      <c r="G256" s="78" t="e">
        <v>#N/A</v>
      </c>
    </row>
    <row r="257" customFormat="false" ht="15.75" hidden="false" customHeight="false" outlineLevel="0" collapsed="false">
      <c r="A257" s="78" t="e">
        <v>#N/A</v>
      </c>
      <c r="B257" s="120" t="e">
        <v>#N/A</v>
      </c>
      <c r="C257" s="78" t="e">
        <v>#N/A</v>
      </c>
      <c r="D257" s="78" t="e">
        <v>#N/A</v>
      </c>
      <c r="E257" s="120" t="e">
        <v>#N/A</v>
      </c>
      <c r="F257" s="78" t="e">
        <v>#N/A</v>
      </c>
      <c r="G257" s="78" t="e">
        <v>#N/A</v>
      </c>
    </row>
    <row r="258" customFormat="false" ht="15.75" hidden="false" customHeight="false" outlineLevel="0" collapsed="false">
      <c r="A258" s="78" t="e">
        <v>#N/A</v>
      </c>
      <c r="B258" s="120" t="e">
        <v>#N/A</v>
      </c>
      <c r="C258" s="78" t="e">
        <v>#N/A</v>
      </c>
      <c r="D258" s="78" t="e">
        <v>#N/A</v>
      </c>
      <c r="E258" s="120" t="e">
        <v>#N/A</v>
      </c>
      <c r="F258" s="78" t="e">
        <v>#N/A</v>
      </c>
      <c r="G258" s="78" t="e">
        <v>#N/A</v>
      </c>
    </row>
    <row r="259" customFormat="false" ht="15.75" hidden="false" customHeight="false" outlineLevel="0" collapsed="false">
      <c r="A259" s="78" t="e">
        <v>#N/A</v>
      </c>
      <c r="B259" s="120" t="e">
        <v>#N/A</v>
      </c>
      <c r="C259" s="78" t="e">
        <v>#N/A</v>
      </c>
      <c r="D259" s="78" t="e">
        <v>#N/A</v>
      </c>
      <c r="E259" s="120" t="e">
        <v>#N/A</v>
      </c>
      <c r="F259" s="78" t="e">
        <v>#N/A</v>
      </c>
      <c r="G259" s="78" t="e">
        <v>#N/A</v>
      </c>
    </row>
    <row r="260" customFormat="false" ht="15.75" hidden="false" customHeight="false" outlineLevel="0" collapsed="false">
      <c r="A260" s="78" t="e">
        <v>#N/A</v>
      </c>
      <c r="B260" s="120" t="e">
        <v>#N/A</v>
      </c>
      <c r="C260" s="78" t="e">
        <v>#N/A</v>
      </c>
      <c r="D260" s="78" t="e">
        <v>#N/A</v>
      </c>
      <c r="E260" s="120" t="e">
        <v>#N/A</v>
      </c>
      <c r="F260" s="78" t="e">
        <v>#N/A</v>
      </c>
      <c r="G260" s="78" t="e">
        <v>#N/A</v>
      </c>
    </row>
    <row r="261" customFormat="false" ht="15.75" hidden="false" customHeight="false" outlineLevel="0" collapsed="false">
      <c r="A261" s="78" t="e">
        <v>#N/A</v>
      </c>
      <c r="B261" s="120" t="e">
        <v>#N/A</v>
      </c>
      <c r="C261" s="78" t="e">
        <v>#N/A</v>
      </c>
      <c r="D261" s="78" t="e">
        <v>#N/A</v>
      </c>
      <c r="E261" s="120" t="e">
        <v>#N/A</v>
      </c>
      <c r="F261" s="78" t="e">
        <v>#N/A</v>
      </c>
      <c r="G261" s="78" t="e">
        <v>#N/A</v>
      </c>
    </row>
    <row r="262" customFormat="false" ht="15.75" hidden="false" customHeight="false" outlineLevel="0" collapsed="false">
      <c r="A262" s="78" t="e">
        <v>#N/A</v>
      </c>
      <c r="B262" s="120" t="e">
        <v>#N/A</v>
      </c>
      <c r="C262" s="78" t="e">
        <v>#N/A</v>
      </c>
      <c r="D262" s="78" t="e">
        <v>#N/A</v>
      </c>
      <c r="E262" s="120" t="e">
        <v>#N/A</v>
      </c>
      <c r="F262" s="78" t="e">
        <v>#N/A</v>
      </c>
      <c r="G262" s="78" t="e">
        <v>#N/A</v>
      </c>
    </row>
    <row r="263" customFormat="false" ht="15.75" hidden="false" customHeight="false" outlineLevel="0" collapsed="false">
      <c r="A263" s="78" t="e">
        <v>#N/A</v>
      </c>
      <c r="B263" s="120" t="e">
        <v>#N/A</v>
      </c>
      <c r="C263" s="78" t="e">
        <v>#N/A</v>
      </c>
      <c r="D263" s="78" t="e">
        <v>#N/A</v>
      </c>
      <c r="E263" s="120" t="e">
        <v>#N/A</v>
      </c>
      <c r="F263" s="78" t="e">
        <v>#N/A</v>
      </c>
      <c r="G263" s="78" t="e">
        <v>#N/A</v>
      </c>
    </row>
    <row r="264" customFormat="false" ht="15.75" hidden="false" customHeight="false" outlineLevel="0" collapsed="false">
      <c r="A264" s="78" t="e">
        <v>#N/A</v>
      </c>
      <c r="B264" s="120" t="e">
        <v>#N/A</v>
      </c>
      <c r="C264" s="78" t="e">
        <v>#N/A</v>
      </c>
      <c r="D264" s="78" t="e">
        <v>#N/A</v>
      </c>
      <c r="E264" s="120" t="e">
        <v>#N/A</v>
      </c>
      <c r="F264" s="78" t="e">
        <v>#N/A</v>
      </c>
      <c r="G264" s="78" t="e">
        <v>#N/A</v>
      </c>
    </row>
    <row r="265" customFormat="false" ht="15.75" hidden="false" customHeight="false" outlineLevel="0" collapsed="false">
      <c r="A265" s="78" t="e">
        <v>#N/A</v>
      </c>
      <c r="B265" s="120" t="e">
        <v>#N/A</v>
      </c>
      <c r="C265" s="78" t="e">
        <v>#N/A</v>
      </c>
      <c r="D265" s="78" t="e">
        <v>#N/A</v>
      </c>
      <c r="E265" s="120" t="e">
        <v>#N/A</v>
      </c>
      <c r="F265" s="78" t="e">
        <v>#N/A</v>
      </c>
      <c r="G265" s="78" t="e">
        <v>#N/A</v>
      </c>
    </row>
    <row r="266" customFormat="false" ht="15.75" hidden="false" customHeight="false" outlineLevel="0" collapsed="false">
      <c r="A266" s="78" t="e">
        <v>#N/A</v>
      </c>
      <c r="B266" s="120" t="e">
        <v>#N/A</v>
      </c>
      <c r="C266" s="78" t="e">
        <v>#N/A</v>
      </c>
      <c r="D266" s="78" t="e">
        <v>#N/A</v>
      </c>
      <c r="E266" s="120" t="e">
        <v>#N/A</v>
      </c>
      <c r="F266" s="78" t="e">
        <v>#N/A</v>
      </c>
      <c r="G266" s="78" t="e">
        <v>#N/A</v>
      </c>
    </row>
    <row r="267" customFormat="false" ht="15.75" hidden="false" customHeight="false" outlineLevel="0" collapsed="false">
      <c r="A267" s="78" t="e">
        <v>#N/A</v>
      </c>
      <c r="B267" s="120" t="e">
        <v>#N/A</v>
      </c>
      <c r="C267" s="78" t="e">
        <v>#N/A</v>
      </c>
      <c r="D267" s="78" t="e">
        <v>#N/A</v>
      </c>
      <c r="E267" s="120" t="e">
        <v>#N/A</v>
      </c>
      <c r="F267" s="78" t="e">
        <v>#N/A</v>
      </c>
      <c r="G267" s="78" t="e">
        <v>#N/A</v>
      </c>
    </row>
    <row r="268" customFormat="false" ht="15.75" hidden="false" customHeight="false" outlineLevel="0" collapsed="false">
      <c r="A268" s="78" t="e">
        <v>#N/A</v>
      </c>
      <c r="B268" s="120" t="e">
        <v>#N/A</v>
      </c>
      <c r="C268" s="78" t="e">
        <v>#N/A</v>
      </c>
      <c r="D268" s="78" t="e">
        <v>#N/A</v>
      </c>
      <c r="E268" s="120" t="e">
        <v>#N/A</v>
      </c>
      <c r="F268" s="78" t="e">
        <v>#N/A</v>
      </c>
      <c r="G268" s="78" t="e">
        <v>#N/A</v>
      </c>
    </row>
    <row r="269" customFormat="false" ht="15.75" hidden="false" customHeight="false" outlineLevel="0" collapsed="false">
      <c r="A269" s="78" t="e">
        <v>#N/A</v>
      </c>
      <c r="B269" s="120" t="e">
        <v>#N/A</v>
      </c>
      <c r="C269" s="78" t="e">
        <v>#N/A</v>
      </c>
      <c r="D269" s="78" t="e">
        <v>#N/A</v>
      </c>
      <c r="E269" s="120" t="e">
        <v>#N/A</v>
      </c>
      <c r="F269" s="78" t="e">
        <v>#N/A</v>
      </c>
      <c r="G269" s="78" t="e">
        <v>#N/A</v>
      </c>
    </row>
    <row r="270" customFormat="false" ht="15.75" hidden="false" customHeight="false" outlineLevel="0" collapsed="false">
      <c r="A270" s="78" t="e">
        <v>#N/A</v>
      </c>
      <c r="B270" s="120" t="e">
        <v>#N/A</v>
      </c>
      <c r="C270" s="78" t="e">
        <v>#N/A</v>
      </c>
      <c r="D270" s="78" t="e">
        <v>#N/A</v>
      </c>
      <c r="E270" s="120" t="e">
        <v>#N/A</v>
      </c>
      <c r="F270" s="78" t="e">
        <v>#N/A</v>
      </c>
      <c r="G270" s="78" t="e">
        <v>#N/A</v>
      </c>
    </row>
    <row r="271" customFormat="false" ht="15.75" hidden="false" customHeight="false" outlineLevel="0" collapsed="false">
      <c r="A271" s="78" t="e">
        <v>#N/A</v>
      </c>
      <c r="B271" s="120" t="e">
        <v>#N/A</v>
      </c>
      <c r="C271" s="78" t="e">
        <v>#N/A</v>
      </c>
      <c r="D271" s="78" t="e">
        <v>#N/A</v>
      </c>
      <c r="E271" s="120" t="e">
        <v>#N/A</v>
      </c>
      <c r="F271" s="78" t="e">
        <v>#N/A</v>
      </c>
      <c r="G271" s="78" t="e">
        <v>#N/A</v>
      </c>
    </row>
    <row r="272" customFormat="false" ht="15.75" hidden="false" customHeight="false" outlineLevel="0" collapsed="false">
      <c r="A272" s="78" t="e">
        <v>#N/A</v>
      </c>
      <c r="B272" s="120" t="e">
        <v>#N/A</v>
      </c>
      <c r="C272" s="78" t="e">
        <v>#N/A</v>
      </c>
      <c r="D272" s="78" t="e">
        <v>#N/A</v>
      </c>
      <c r="E272" s="120" t="e">
        <v>#N/A</v>
      </c>
      <c r="F272" s="78" t="e">
        <v>#N/A</v>
      </c>
      <c r="G272" s="78" t="e">
        <v>#N/A</v>
      </c>
    </row>
    <row r="273" customFormat="false" ht="15.75" hidden="false" customHeight="false" outlineLevel="0" collapsed="false">
      <c r="A273" s="78" t="e">
        <v>#N/A</v>
      </c>
      <c r="B273" s="120" t="e">
        <v>#N/A</v>
      </c>
      <c r="C273" s="78" t="e">
        <v>#N/A</v>
      </c>
      <c r="D273" s="78" t="e">
        <v>#N/A</v>
      </c>
      <c r="E273" s="120" t="e">
        <v>#N/A</v>
      </c>
      <c r="F273" s="78" t="e">
        <v>#N/A</v>
      </c>
      <c r="G273" s="78" t="e">
        <v>#N/A</v>
      </c>
    </row>
    <row r="274" customFormat="false" ht="15.75" hidden="false" customHeight="false" outlineLevel="0" collapsed="false">
      <c r="A274" s="78" t="e">
        <v>#N/A</v>
      </c>
      <c r="B274" s="120" t="e">
        <v>#N/A</v>
      </c>
      <c r="C274" s="78" t="e">
        <v>#N/A</v>
      </c>
      <c r="D274" s="78" t="e">
        <v>#N/A</v>
      </c>
      <c r="E274" s="120" t="e">
        <v>#N/A</v>
      </c>
      <c r="F274" s="78" t="e">
        <v>#N/A</v>
      </c>
      <c r="G274" s="78" t="e">
        <v>#N/A</v>
      </c>
    </row>
    <row r="275" customFormat="false" ht="15.75" hidden="false" customHeight="false" outlineLevel="0" collapsed="false">
      <c r="A275" s="78" t="e">
        <v>#N/A</v>
      </c>
      <c r="B275" s="120" t="e">
        <v>#N/A</v>
      </c>
      <c r="C275" s="78" t="e">
        <v>#N/A</v>
      </c>
      <c r="D275" s="78" t="e">
        <v>#N/A</v>
      </c>
      <c r="E275" s="120" t="e">
        <v>#N/A</v>
      </c>
      <c r="F275" s="78" t="e">
        <v>#N/A</v>
      </c>
      <c r="G275" s="78" t="e">
        <v>#N/A</v>
      </c>
    </row>
    <row r="276" customFormat="false" ht="15.75" hidden="false" customHeight="false" outlineLevel="0" collapsed="false">
      <c r="A276" s="78" t="e">
        <v>#N/A</v>
      </c>
      <c r="B276" s="120" t="e">
        <v>#N/A</v>
      </c>
      <c r="C276" s="78" t="e">
        <v>#N/A</v>
      </c>
      <c r="D276" s="78" t="e">
        <v>#N/A</v>
      </c>
      <c r="E276" s="120" t="e">
        <v>#N/A</v>
      </c>
      <c r="F276" s="78" t="e">
        <v>#N/A</v>
      </c>
      <c r="G276" s="78" t="e">
        <v>#N/A</v>
      </c>
    </row>
    <row r="277" customFormat="false" ht="15.75" hidden="false" customHeight="false" outlineLevel="0" collapsed="false">
      <c r="A277" s="78" t="e">
        <v>#N/A</v>
      </c>
      <c r="B277" s="120" t="e">
        <v>#N/A</v>
      </c>
      <c r="C277" s="78" t="e">
        <v>#N/A</v>
      </c>
      <c r="D277" s="78" t="e">
        <v>#N/A</v>
      </c>
      <c r="E277" s="120" t="e">
        <v>#N/A</v>
      </c>
      <c r="F277" s="78" t="e">
        <v>#N/A</v>
      </c>
      <c r="G277" s="78" t="e">
        <v>#N/A</v>
      </c>
    </row>
    <row r="278" customFormat="false" ht="15.75" hidden="false" customHeight="false" outlineLevel="0" collapsed="false">
      <c r="A278" s="78" t="e">
        <v>#N/A</v>
      </c>
      <c r="B278" s="120" t="e">
        <v>#N/A</v>
      </c>
      <c r="C278" s="78" t="e">
        <v>#N/A</v>
      </c>
      <c r="D278" s="78" t="e">
        <v>#N/A</v>
      </c>
      <c r="E278" s="120" t="e">
        <v>#N/A</v>
      </c>
      <c r="F278" s="78" t="e">
        <v>#N/A</v>
      </c>
      <c r="G278" s="78" t="e">
        <v>#N/A</v>
      </c>
    </row>
    <row r="279" customFormat="false" ht="15.75" hidden="false" customHeight="false" outlineLevel="0" collapsed="false">
      <c r="A279" s="78" t="e">
        <v>#N/A</v>
      </c>
      <c r="B279" s="120" t="e">
        <v>#N/A</v>
      </c>
      <c r="C279" s="78" t="e">
        <v>#N/A</v>
      </c>
      <c r="D279" s="78" t="e">
        <v>#N/A</v>
      </c>
      <c r="E279" s="120" t="e">
        <v>#N/A</v>
      </c>
      <c r="F279" s="78" t="e">
        <v>#N/A</v>
      </c>
      <c r="G279" s="78" t="e">
        <v>#N/A</v>
      </c>
    </row>
    <row r="280" customFormat="false" ht="15.75" hidden="false" customHeight="false" outlineLevel="0" collapsed="false">
      <c r="A280" s="78" t="e">
        <v>#N/A</v>
      </c>
      <c r="B280" s="120" t="e">
        <v>#N/A</v>
      </c>
      <c r="C280" s="78" t="e">
        <v>#N/A</v>
      </c>
      <c r="D280" s="78" t="e">
        <v>#N/A</v>
      </c>
      <c r="E280" s="120" t="e">
        <v>#N/A</v>
      </c>
      <c r="F280" s="78" t="e">
        <v>#N/A</v>
      </c>
      <c r="G280" s="78" t="e">
        <v>#N/A</v>
      </c>
    </row>
    <row r="281" customFormat="false" ht="15.75" hidden="false" customHeight="false" outlineLevel="0" collapsed="false">
      <c r="A281" s="78" t="e">
        <v>#N/A</v>
      </c>
      <c r="B281" s="120" t="e">
        <v>#N/A</v>
      </c>
      <c r="C281" s="78" t="e">
        <v>#N/A</v>
      </c>
      <c r="D281" s="78" t="e">
        <v>#N/A</v>
      </c>
      <c r="E281" s="120" t="e">
        <v>#N/A</v>
      </c>
      <c r="F281" s="78" t="e">
        <v>#N/A</v>
      </c>
      <c r="G281" s="78" t="e">
        <v>#N/A</v>
      </c>
    </row>
    <row r="282" customFormat="false" ht="15.75" hidden="false" customHeight="false" outlineLevel="0" collapsed="false">
      <c r="A282" s="78" t="e">
        <v>#N/A</v>
      </c>
      <c r="B282" s="120" t="e">
        <v>#N/A</v>
      </c>
      <c r="C282" s="78" t="e">
        <v>#N/A</v>
      </c>
      <c r="D282" s="78" t="e">
        <v>#N/A</v>
      </c>
      <c r="E282" s="120" t="e">
        <v>#N/A</v>
      </c>
      <c r="F282" s="78" t="e">
        <v>#N/A</v>
      </c>
      <c r="G282" s="78" t="e">
        <v>#N/A</v>
      </c>
    </row>
    <row r="283" customFormat="false" ht="15.75" hidden="false" customHeight="false" outlineLevel="0" collapsed="false">
      <c r="A283" s="78" t="e">
        <v>#N/A</v>
      </c>
      <c r="B283" s="120" t="e">
        <v>#N/A</v>
      </c>
      <c r="C283" s="78" t="e">
        <v>#N/A</v>
      </c>
      <c r="D283" s="78" t="e">
        <v>#N/A</v>
      </c>
      <c r="E283" s="120" t="e">
        <v>#N/A</v>
      </c>
      <c r="F283" s="78" t="e">
        <v>#N/A</v>
      </c>
      <c r="G283" s="78" t="e">
        <v>#N/A</v>
      </c>
    </row>
    <row r="284" customFormat="false" ht="15.75" hidden="false" customHeight="false" outlineLevel="0" collapsed="false">
      <c r="A284" s="78" t="e">
        <v>#N/A</v>
      </c>
      <c r="B284" s="120" t="e">
        <v>#N/A</v>
      </c>
      <c r="C284" s="78" t="e">
        <v>#N/A</v>
      </c>
      <c r="D284" s="78" t="e">
        <v>#N/A</v>
      </c>
      <c r="E284" s="120" t="e">
        <v>#N/A</v>
      </c>
      <c r="F284" s="78" t="e">
        <v>#N/A</v>
      </c>
      <c r="G284" s="78" t="e">
        <v>#N/A</v>
      </c>
    </row>
    <row r="285" customFormat="false" ht="15.75" hidden="false" customHeight="false" outlineLevel="0" collapsed="false">
      <c r="A285" s="78" t="e">
        <v>#N/A</v>
      </c>
      <c r="B285" s="120" t="e">
        <v>#N/A</v>
      </c>
      <c r="C285" s="78" t="e">
        <v>#N/A</v>
      </c>
      <c r="D285" s="78" t="e">
        <v>#N/A</v>
      </c>
      <c r="E285" s="120" t="e">
        <v>#N/A</v>
      </c>
      <c r="F285" s="78" t="e">
        <v>#N/A</v>
      </c>
      <c r="G285" s="78" t="e">
        <v>#N/A</v>
      </c>
    </row>
    <row r="286" customFormat="false" ht="15.75" hidden="false" customHeight="false" outlineLevel="0" collapsed="false">
      <c r="A286" s="78" t="e">
        <v>#N/A</v>
      </c>
      <c r="B286" s="120" t="e">
        <v>#N/A</v>
      </c>
      <c r="C286" s="78" t="e">
        <v>#N/A</v>
      </c>
      <c r="D286" s="78" t="e">
        <v>#N/A</v>
      </c>
      <c r="E286" s="120" t="e">
        <v>#N/A</v>
      </c>
      <c r="F286" s="78" t="e">
        <v>#N/A</v>
      </c>
      <c r="G286" s="78" t="e">
        <v>#N/A</v>
      </c>
    </row>
    <row r="287" customFormat="false" ht="15.75" hidden="false" customHeight="false" outlineLevel="0" collapsed="false">
      <c r="A287" s="78" t="e">
        <v>#N/A</v>
      </c>
      <c r="B287" s="120" t="e">
        <v>#N/A</v>
      </c>
      <c r="C287" s="78" t="e">
        <v>#N/A</v>
      </c>
      <c r="D287" s="78" t="e">
        <v>#N/A</v>
      </c>
      <c r="E287" s="120" t="e">
        <v>#N/A</v>
      </c>
      <c r="F287" s="78" t="e">
        <v>#N/A</v>
      </c>
      <c r="G287" s="78" t="e">
        <v>#N/A</v>
      </c>
    </row>
    <row r="288" customFormat="false" ht="15.75" hidden="false" customHeight="false" outlineLevel="0" collapsed="false">
      <c r="A288" s="78" t="e">
        <v>#N/A</v>
      </c>
      <c r="B288" s="120" t="e">
        <v>#N/A</v>
      </c>
      <c r="C288" s="78" t="e">
        <v>#N/A</v>
      </c>
      <c r="D288" s="78" t="e">
        <v>#N/A</v>
      </c>
      <c r="E288" s="120" t="e">
        <v>#N/A</v>
      </c>
      <c r="F288" s="78" t="e">
        <v>#N/A</v>
      </c>
      <c r="G288" s="78" t="e">
        <v>#N/A</v>
      </c>
    </row>
    <row r="289" customFormat="false" ht="15.75" hidden="false" customHeight="false" outlineLevel="0" collapsed="false">
      <c r="A289" s="78" t="e">
        <v>#N/A</v>
      </c>
      <c r="B289" s="120" t="e">
        <v>#N/A</v>
      </c>
      <c r="C289" s="78" t="e">
        <v>#N/A</v>
      </c>
      <c r="D289" s="78" t="e">
        <v>#N/A</v>
      </c>
      <c r="E289" s="120" t="e">
        <v>#N/A</v>
      </c>
      <c r="F289" s="78" t="e">
        <v>#N/A</v>
      </c>
      <c r="G289" s="78" t="e">
        <v>#N/A</v>
      </c>
    </row>
    <row r="290" customFormat="false" ht="15.75" hidden="false" customHeight="false" outlineLevel="0" collapsed="false">
      <c r="A290" s="78" t="e">
        <v>#N/A</v>
      </c>
      <c r="B290" s="120" t="e">
        <v>#N/A</v>
      </c>
      <c r="C290" s="78" t="e">
        <v>#N/A</v>
      </c>
      <c r="D290" s="78" t="e">
        <v>#N/A</v>
      </c>
      <c r="E290" s="120" t="e">
        <v>#N/A</v>
      </c>
      <c r="F290" s="78" t="e">
        <v>#N/A</v>
      </c>
      <c r="G290" s="78" t="e">
        <v>#N/A</v>
      </c>
    </row>
    <row r="291" customFormat="false" ht="15.75" hidden="false" customHeight="false" outlineLevel="0" collapsed="false">
      <c r="A291" s="78" t="e">
        <v>#N/A</v>
      </c>
      <c r="B291" s="120" t="e">
        <v>#N/A</v>
      </c>
      <c r="C291" s="78" t="e">
        <v>#N/A</v>
      </c>
      <c r="D291" s="78" t="e">
        <v>#N/A</v>
      </c>
      <c r="E291" s="120" t="e">
        <v>#N/A</v>
      </c>
      <c r="F291" s="78" t="e">
        <v>#N/A</v>
      </c>
      <c r="G291" s="78" t="e">
        <v>#N/A</v>
      </c>
    </row>
    <row r="292" customFormat="false" ht="15.75" hidden="false" customHeight="false" outlineLevel="0" collapsed="false">
      <c r="A292" s="78" t="e">
        <v>#N/A</v>
      </c>
      <c r="B292" s="120" t="e">
        <v>#N/A</v>
      </c>
      <c r="C292" s="78" t="e">
        <v>#N/A</v>
      </c>
      <c r="D292" s="78" t="e">
        <v>#N/A</v>
      </c>
      <c r="E292" s="120" t="e">
        <v>#N/A</v>
      </c>
      <c r="F292" s="78" t="e">
        <v>#N/A</v>
      </c>
      <c r="G292" s="78" t="e">
        <v>#N/A</v>
      </c>
    </row>
    <row r="293" customFormat="false" ht="15.75" hidden="false" customHeight="false" outlineLevel="0" collapsed="false">
      <c r="A293" s="78" t="e">
        <v>#N/A</v>
      </c>
      <c r="B293" s="120" t="e">
        <v>#N/A</v>
      </c>
      <c r="C293" s="78" t="e">
        <v>#N/A</v>
      </c>
      <c r="D293" s="78" t="e">
        <v>#N/A</v>
      </c>
      <c r="E293" s="120" t="e">
        <v>#N/A</v>
      </c>
      <c r="F293" s="78" t="e">
        <v>#N/A</v>
      </c>
      <c r="G293" s="78" t="e">
        <v>#N/A</v>
      </c>
    </row>
    <row r="294" customFormat="false" ht="15.75" hidden="false" customHeight="false" outlineLevel="0" collapsed="false">
      <c r="A294" s="78" t="e">
        <v>#N/A</v>
      </c>
      <c r="B294" s="120" t="e">
        <v>#N/A</v>
      </c>
      <c r="C294" s="78" t="e">
        <v>#N/A</v>
      </c>
      <c r="D294" s="78" t="e">
        <v>#N/A</v>
      </c>
      <c r="E294" s="120" t="e">
        <v>#N/A</v>
      </c>
      <c r="F294" s="78" t="e">
        <v>#N/A</v>
      </c>
      <c r="G294" s="78" t="e">
        <v>#N/A</v>
      </c>
    </row>
    <row r="295" customFormat="false" ht="15.75" hidden="false" customHeight="false" outlineLevel="0" collapsed="false">
      <c r="A295" s="78" t="e">
        <v>#N/A</v>
      </c>
      <c r="B295" s="120" t="e">
        <v>#N/A</v>
      </c>
      <c r="C295" s="78" t="e">
        <v>#N/A</v>
      </c>
      <c r="D295" s="78" t="e">
        <v>#N/A</v>
      </c>
      <c r="E295" s="120" t="e">
        <v>#N/A</v>
      </c>
      <c r="F295" s="78" t="e">
        <v>#N/A</v>
      </c>
      <c r="G295" s="78" t="e">
        <v>#N/A</v>
      </c>
    </row>
    <row r="296" customFormat="false" ht="15.75" hidden="false" customHeight="false" outlineLevel="0" collapsed="false">
      <c r="A296" s="78" t="e">
        <v>#N/A</v>
      </c>
      <c r="B296" s="120" t="e">
        <v>#N/A</v>
      </c>
      <c r="C296" s="78" t="e">
        <v>#N/A</v>
      </c>
      <c r="D296" s="78" t="e">
        <v>#N/A</v>
      </c>
      <c r="E296" s="120" t="e">
        <v>#N/A</v>
      </c>
      <c r="F296" s="78" t="e">
        <v>#N/A</v>
      </c>
      <c r="G296" s="78" t="e">
        <v>#N/A</v>
      </c>
    </row>
    <row r="297" customFormat="false" ht="15.75" hidden="false" customHeight="false" outlineLevel="0" collapsed="false">
      <c r="A297" s="78" t="e">
        <v>#N/A</v>
      </c>
      <c r="B297" s="120" t="e">
        <v>#N/A</v>
      </c>
      <c r="C297" s="78" t="e">
        <v>#N/A</v>
      </c>
      <c r="D297" s="78" t="e">
        <v>#N/A</v>
      </c>
      <c r="E297" s="120" t="e">
        <v>#N/A</v>
      </c>
      <c r="F297" s="78" t="e">
        <v>#N/A</v>
      </c>
      <c r="G297" s="78" t="e">
        <v>#N/A</v>
      </c>
    </row>
    <row r="298" customFormat="false" ht="15.75" hidden="false" customHeight="false" outlineLevel="0" collapsed="false">
      <c r="A298" s="78" t="e">
        <v>#N/A</v>
      </c>
      <c r="B298" s="120" t="e">
        <v>#N/A</v>
      </c>
      <c r="C298" s="78" t="e">
        <v>#N/A</v>
      </c>
      <c r="D298" s="78" t="e">
        <v>#N/A</v>
      </c>
      <c r="E298" s="120" t="e">
        <v>#N/A</v>
      </c>
      <c r="F298" s="78" t="e">
        <v>#N/A</v>
      </c>
      <c r="G298" s="78" t="e">
        <v>#N/A</v>
      </c>
    </row>
    <row r="299" customFormat="false" ht="15.75" hidden="false" customHeight="false" outlineLevel="0" collapsed="false">
      <c r="A299" s="78" t="e">
        <v>#N/A</v>
      </c>
      <c r="B299" s="120" t="e">
        <v>#N/A</v>
      </c>
      <c r="C299" s="78" t="e">
        <v>#N/A</v>
      </c>
      <c r="D299" s="78" t="e">
        <v>#N/A</v>
      </c>
      <c r="E299" s="120" t="e">
        <v>#N/A</v>
      </c>
      <c r="F299" s="78" t="e">
        <v>#N/A</v>
      </c>
      <c r="G299" s="78" t="e">
        <v>#N/A</v>
      </c>
    </row>
    <row r="300" customFormat="false" ht="15.75" hidden="false" customHeight="false" outlineLevel="0" collapsed="false">
      <c r="A300" s="78" t="e">
        <v>#N/A</v>
      </c>
      <c r="B300" s="120" t="e">
        <v>#N/A</v>
      </c>
      <c r="C300" s="78" t="e">
        <v>#N/A</v>
      </c>
      <c r="D300" s="78" t="e">
        <v>#N/A</v>
      </c>
      <c r="E300" s="120" t="e">
        <v>#N/A</v>
      </c>
      <c r="F300" s="78" t="e">
        <v>#N/A</v>
      </c>
      <c r="G300" s="78" t="e">
        <v>#N/A</v>
      </c>
    </row>
    <row r="301" customFormat="false" ht="15.75" hidden="false" customHeight="false" outlineLevel="0" collapsed="false">
      <c r="A301" s="78" t="e">
        <v>#N/A</v>
      </c>
      <c r="B301" s="120" t="e">
        <v>#N/A</v>
      </c>
      <c r="C301" s="78" t="e">
        <v>#N/A</v>
      </c>
      <c r="D301" s="78" t="e">
        <v>#N/A</v>
      </c>
      <c r="E301" s="120" t="e">
        <v>#N/A</v>
      </c>
      <c r="F301" s="78" t="e">
        <v>#N/A</v>
      </c>
      <c r="G301" s="78" t="e">
        <v>#N/A</v>
      </c>
    </row>
    <row r="302" customFormat="false" ht="15.75" hidden="false" customHeight="false" outlineLevel="0" collapsed="false">
      <c r="A302" s="78" t="e">
        <v>#N/A</v>
      </c>
      <c r="B302" s="120" t="e">
        <v>#N/A</v>
      </c>
      <c r="C302" s="78" t="e">
        <v>#N/A</v>
      </c>
      <c r="D302" s="78" t="e">
        <v>#N/A</v>
      </c>
      <c r="E302" s="120" t="e">
        <v>#N/A</v>
      </c>
      <c r="F302" s="78" t="e">
        <v>#N/A</v>
      </c>
      <c r="G302" s="78" t="e">
        <v>#N/A</v>
      </c>
    </row>
    <row r="303" customFormat="false" ht="15.75" hidden="false" customHeight="false" outlineLevel="0" collapsed="false">
      <c r="A303" s="78" t="e">
        <v>#N/A</v>
      </c>
      <c r="B303" s="120" t="e">
        <v>#N/A</v>
      </c>
      <c r="C303" s="78" t="e">
        <v>#N/A</v>
      </c>
      <c r="D303" s="78" t="e">
        <v>#N/A</v>
      </c>
      <c r="E303" s="120" t="e">
        <v>#N/A</v>
      </c>
      <c r="F303" s="78" t="e">
        <v>#N/A</v>
      </c>
      <c r="G303" s="78" t="e">
        <v>#N/A</v>
      </c>
    </row>
    <row r="304" customFormat="false" ht="15.75" hidden="false" customHeight="false" outlineLevel="0" collapsed="false">
      <c r="A304" s="78" t="e">
        <v>#N/A</v>
      </c>
      <c r="B304" s="120" t="e">
        <v>#N/A</v>
      </c>
      <c r="C304" s="78" t="e">
        <v>#N/A</v>
      </c>
      <c r="D304" s="78" t="e">
        <v>#N/A</v>
      </c>
      <c r="E304" s="120" t="e">
        <v>#N/A</v>
      </c>
      <c r="F304" s="78" t="e">
        <v>#N/A</v>
      </c>
      <c r="G304" s="78" t="e">
        <v>#N/A</v>
      </c>
    </row>
    <row r="305" customFormat="false" ht="15.75" hidden="false" customHeight="false" outlineLevel="0" collapsed="false">
      <c r="A305" s="78" t="e">
        <v>#N/A</v>
      </c>
      <c r="B305" s="120" t="e">
        <v>#N/A</v>
      </c>
      <c r="C305" s="78" t="e">
        <v>#N/A</v>
      </c>
      <c r="D305" s="78" t="e">
        <v>#N/A</v>
      </c>
      <c r="E305" s="120" t="e">
        <v>#N/A</v>
      </c>
      <c r="F305" s="78" t="e">
        <v>#N/A</v>
      </c>
      <c r="G305" s="78" t="e">
        <v>#N/A</v>
      </c>
    </row>
    <row r="306" customFormat="false" ht="15.75" hidden="false" customHeight="false" outlineLevel="0" collapsed="false">
      <c r="A306" s="78" t="e">
        <v>#N/A</v>
      </c>
      <c r="B306" s="120" t="e">
        <v>#N/A</v>
      </c>
      <c r="C306" s="78" t="e">
        <v>#N/A</v>
      </c>
      <c r="D306" s="78" t="e">
        <v>#N/A</v>
      </c>
      <c r="E306" s="120" t="e">
        <v>#N/A</v>
      </c>
      <c r="F306" s="78" t="e">
        <v>#N/A</v>
      </c>
      <c r="G306" s="78" t="e">
        <v>#N/A</v>
      </c>
    </row>
    <row r="307" customFormat="false" ht="15.75" hidden="false" customHeight="false" outlineLevel="0" collapsed="false">
      <c r="A307" s="78" t="e">
        <v>#N/A</v>
      </c>
      <c r="B307" s="120" t="e">
        <v>#N/A</v>
      </c>
      <c r="C307" s="78" t="e">
        <v>#N/A</v>
      </c>
      <c r="D307" s="78" t="e">
        <v>#N/A</v>
      </c>
      <c r="E307" s="120" t="e">
        <v>#N/A</v>
      </c>
      <c r="F307" s="78" t="e">
        <v>#N/A</v>
      </c>
      <c r="G307" s="78" t="e">
        <v>#N/A</v>
      </c>
    </row>
    <row r="308" customFormat="false" ht="15.75" hidden="false" customHeight="false" outlineLevel="0" collapsed="false">
      <c r="A308" s="78" t="e">
        <v>#N/A</v>
      </c>
      <c r="B308" s="120" t="e">
        <v>#N/A</v>
      </c>
      <c r="C308" s="78" t="e">
        <v>#N/A</v>
      </c>
      <c r="D308" s="78" t="e">
        <v>#N/A</v>
      </c>
      <c r="E308" s="120" t="e">
        <v>#N/A</v>
      </c>
      <c r="F308" s="78" t="e">
        <v>#N/A</v>
      </c>
      <c r="G308" s="78" t="e">
        <v>#N/A</v>
      </c>
    </row>
    <row r="309" customFormat="false" ht="15.75" hidden="false" customHeight="false" outlineLevel="0" collapsed="false">
      <c r="A309" s="78" t="e">
        <v>#N/A</v>
      </c>
      <c r="B309" s="120" t="e">
        <v>#N/A</v>
      </c>
      <c r="C309" s="78" t="e">
        <v>#N/A</v>
      </c>
      <c r="D309" s="78" t="e">
        <v>#N/A</v>
      </c>
      <c r="E309" s="120" t="e">
        <v>#N/A</v>
      </c>
      <c r="F309" s="78" t="e">
        <v>#N/A</v>
      </c>
      <c r="G309" s="78" t="e">
        <v>#N/A</v>
      </c>
    </row>
    <row r="310" customFormat="false" ht="15.75" hidden="false" customHeight="false" outlineLevel="0" collapsed="false">
      <c r="A310" s="78" t="e">
        <v>#N/A</v>
      </c>
      <c r="B310" s="120" t="e">
        <v>#N/A</v>
      </c>
      <c r="C310" s="78" t="e">
        <v>#N/A</v>
      </c>
      <c r="D310" s="78" t="e">
        <v>#N/A</v>
      </c>
      <c r="E310" s="120" t="e">
        <v>#N/A</v>
      </c>
      <c r="F310" s="78" t="e">
        <v>#N/A</v>
      </c>
      <c r="G310" s="78" t="e">
        <v>#N/A</v>
      </c>
    </row>
    <row r="311" customFormat="false" ht="15.75" hidden="false" customHeight="false" outlineLevel="0" collapsed="false">
      <c r="A311" s="78" t="e">
        <v>#N/A</v>
      </c>
      <c r="B311" s="120" t="e">
        <v>#N/A</v>
      </c>
      <c r="C311" s="78" t="e">
        <v>#N/A</v>
      </c>
      <c r="D311" s="78" t="e">
        <v>#N/A</v>
      </c>
      <c r="E311" s="120" t="e">
        <v>#N/A</v>
      </c>
      <c r="F311" s="78" t="e">
        <v>#N/A</v>
      </c>
      <c r="G311" s="78" t="e">
        <v>#N/A</v>
      </c>
    </row>
    <row r="312" customFormat="false" ht="15.75" hidden="false" customHeight="false" outlineLevel="0" collapsed="false">
      <c r="A312" s="78" t="e">
        <v>#N/A</v>
      </c>
      <c r="B312" s="120" t="e">
        <v>#N/A</v>
      </c>
      <c r="C312" s="78" t="e">
        <v>#N/A</v>
      </c>
      <c r="D312" s="78" t="e">
        <v>#N/A</v>
      </c>
      <c r="E312" s="120" t="e">
        <v>#N/A</v>
      </c>
      <c r="F312" s="78" t="e">
        <v>#N/A</v>
      </c>
      <c r="G312" s="78" t="e">
        <v>#N/A</v>
      </c>
    </row>
    <row r="313" customFormat="false" ht="15.75" hidden="false" customHeight="false" outlineLevel="0" collapsed="false">
      <c r="A313" s="78" t="e">
        <v>#N/A</v>
      </c>
      <c r="B313" s="120" t="e">
        <v>#N/A</v>
      </c>
      <c r="C313" s="78" t="e">
        <v>#N/A</v>
      </c>
      <c r="D313" s="78" t="e">
        <v>#N/A</v>
      </c>
      <c r="E313" s="120" t="e">
        <v>#N/A</v>
      </c>
      <c r="F313" s="78" t="e">
        <v>#N/A</v>
      </c>
      <c r="G313" s="78" t="e">
        <v>#N/A</v>
      </c>
    </row>
    <row r="314" customFormat="false" ht="15.75" hidden="false" customHeight="false" outlineLevel="0" collapsed="false">
      <c r="A314" s="78" t="e">
        <v>#N/A</v>
      </c>
      <c r="B314" s="120" t="e">
        <v>#N/A</v>
      </c>
      <c r="C314" s="78" t="e">
        <v>#N/A</v>
      </c>
      <c r="D314" s="78" t="e">
        <v>#N/A</v>
      </c>
      <c r="E314" s="120" t="e">
        <v>#N/A</v>
      </c>
      <c r="F314" s="78" t="e">
        <v>#N/A</v>
      </c>
      <c r="G314" s="78" t="e">
        <v>#N/A</v>
      </c>
    </row>
    <row r="315" customFormat="false" ht="15.75" hidden="false" customHeight="false" outlineLevel="0" collapsed="false">
      <c r="A315" s="78" t="e">
        <v>#N/A</v>
      </c>
      <c r="B315" s="120" t="e">
        <v>#N/A</v>
      </c>
      <c r="C315" s="78" t="e">
        <v>#N/A</v>
      </c>
      <c r="D315" s="78" t="e">
        <v>#N/A</v>
      </c>
      <c r="E315" s="120" t="e">
        <v>#N/A</v>
      </c>
      <c r="F315" s="78" t="e">
        <v>#N/A</v>
      </c>
      <c r="G315" s="78" t="e">
        <v>#N/A</v>
      </c>
    </row>
    <row r="316" customFormat="false" ht="15.75" hidden="false" customHeight="false" outlineLevel="0" collapsed="false">
      <c r="A316" s="78" t="e">
        <v>#N/A</v>
      </c>
      <c r="B316" s="120" t="e">
        <v>#N/A</v>
      </c>
      <c r="C316" s="78" t="e">
        <v>#N/A</v>
      </c>
      <c r="D316" s="78" t="e">
        <v>#N/A</v>
      </c>
      <c r="E316" s="120" t="e">
        <v>#N/A</v>
      </c>
      <c r="F316" s="78" t="e">
        <v>#N/A</v>
      </c>
      <c r="G316" s="78" t="e">
        <v>#N/A</v>
      </c>
    </row>
    <row r="317" customFormat="false" ht="15.75" hidden="false" customHeight="false" outlineLevel="0" collapsed="false">
      <c r="A317" s="78" t="e">
        <v>#N/A</v>
      </c>
      <c r="B317" s="120" t="e">
        <v>#N/A</v>
      </c>
      <c r="C317" s="78" t="e">
        <v>#N/A</v>
      </c>
      <c r="D317" s="78" t="e">
        <v>#N/A</v>
      </c>
      <c r="E317" s="120" t="e">
        <v>#N/A</v>
      </c>
      <c r="F317" s="78" t="e">
        <v>#N/A</v>
      </c>
      <c r="G317" s="78" t="e">
        <v>#N/A</v>
      </c>
    </row>
    <row r="318" customFormat="false" ht="15.75" hidden="false" customHeight="false" outlineLevel="0" collapsed="false">
      <c r="A318" s="78" t="e">
        <v>#N/A</v>
      </c>
      <c r="B318" s="120" t="e">
        <v>#N/A</v>
      </c>
      <c r="C318" s="78" t="e">
        <v>#N/A</v>
      </c>
      <c r="D318" s="78" t="e">
        <v>#N/A</v>
      </c>
      <c r="E318" s="120" t="e">
        <v>#N/A</v>
      </c>
      <c r="F318" s="78" t="e">
        <v>#N/A</v>
      </c>
      <c r="G318" s="78" t="e">
        <v>#N/A</v>
      </c>
    </row>
    <row r="319" customFormat="false" ht="15.75" hidden="false" customHeight="false" outlineLevel="0" collapsed="false">
      <c r="A319" s="78" t="e">
        <v>#N/A</v>
      </c>
      <c r="B319" s="120" t="e">
        <v>#N/A</v>
      </c>
      <c r="C319" s="78" t="e">
        <v>#N/A</v>
      </c>
      <c r="D319" s="78" t="e">
        <v>#N/A</v>
      </c>
      <c r="E319" s="120" t="e">
        <v>#N/A</v>
      </c>
      <c r="F319" s="78" t="e">
        <v>#N/A</v>
      </c>
      <c r="G319" s="78" t="e">
        <v>#N/A</v>
      </c>
    </row>
    <row r="320" customFormat="false" ht="15.75" hidden="false" customHeight="false" outlineLevel="0" collapsed="false">
      <c r="A320" s="78" t="e">
        <v>#N/A</v>
      </c>
      <c r="B320" s="120" t="e">
        <v>#N/A</v>
      </c>
      <c r="C320" s="78" t="e">
        <v>#N/A</v>
      </c>
      <c r="D320" s="78" t="e">
        <v>#N/A</v>
      </c>
      <c r="E320" s="120" t="e">
        <v>#N/A</v>
      </c>
      <c r="F320" s="78" t="e">
        <v>#N/A</v>
      </c>
      <c r="G320" s="78" t="e">
        <v>#N/A</v>
      </c>
    </row>
    <row r="321" customFormat="false" ht="15.75" hidden="false" customHeight="false" outlineLevel="0" collapsed="false">
      <c r="A321" s="78" t="e">
        <v>#N/A</v>
      </c>
      <c r="B321" s="120" t="e">
        <v>#N/A</v>
      </c>
      <c r="C321" s="78" t="e">
        <v>#N/A</v>
      </c>
      <c r="D321" s="78" t="e">
        <v>#N/A</v>
      </c>
      <c r="E321" s="120" t="e">
        <v>#N/A</v>
      </c>
      <c r="F321" s="78" t="e">
        <v>#N/A</v>
      </c>
      <c r="G321" s="78" t="e">
        <v>#N/A</v>
      </c>
    </row>
    <row r="322" customFormat="false" ht="15.75" hidden="false" customHeight="false" outlineLevel="0" collapsed="false">
      <c r="A322" s="78" t="e">
        <v>#N/A</v>
      </c>
      <c r="B322" s="120" t="e">
        <v>#N/A</v>
      </c>
      <c r="C322" s="78" t="e">
        <v>#N/A</v>
      </c>
      <c r="D322" s="78" t="e">
        <v>#N/A</v>
      </c>
      <c r="E322" s="120" t="e">
        <v>#N/A</v>
      </c>
      <c r="F322" s="78" t="e">
        <v>#N/A</v>
      </c>
      <c r="G322" s="78" t="e">
        <v>#N/A</v>
      </c>
    </row>
    <row r="323" customFormat="false" ht="15.75" hidden="false" customHeight="false" outlineLevel="0" collapsed="false">
      <c r="A323" s="78" t="e">
        <v>#N/A</v>
      </c>
      <c r="B323" s="120" t="e">
        <v>#N/A</v>
      </c>
      <c r="C323" s="78" t="e">
        <v>#N/A</v>
      </c>
      <c r="D323" s="78" t="e">
        <v>#N/A</v>
      </c>
      <c r="E323" s="120" t="e">
        <v>#N/A</v>
      </c>
      <c r="F323" s="78" t="e">
        <v>#N/A</v>
      </c>
      <c r="G323" s="78" t="e">
        <v>#N/A</v>
      </c>
    </row>
    <row r="324" customFormat="false" ht="15.75" hidden="false" customHeight="false" outlineLevel="0" collapsed="false">
      <c r="A324" s="78" t="e">
        <v>#N/A</v>
      </c>
      <c r="B324" s="120" t="e">
        <v>#N/A</v>
      </c>
      <c r="C324" s="78" t="e">
        <v>#N/A</v>
      </c>
      <c r="D324" s="78" t="e">
        <v>#N/A</v>
      </c>
      <c r="E324" s="120" t="e">
        <v>#N/A</v>
      </c>
      <c r="F324" s="78" t="e">
        <v>#N/A</v>
      </c>
      <c r="G324" s="78" t="e">
        <v>#N/A</v>
      </c>
    </row>
    <row r="325" customFormat="false" ht="15.75" hidden="false" customHeight="false" outlineLevel="0" collapsed="false">
      <c r="A325" s="78" t="e">
        <v>#N/A</v>
      </c>
      <c r="B325" s="120" t="e">
        <v>#N/A</v>
      </c>
      <c r="C325" s="78" t="e">
        <v>#N/A</v>
      </c>
      <c r="D325" s="78" t="e">
        <v>#N/A</v>
      </c>
      <c r="E325" s="120" t="e">
        <v>#N/A</v>
      </c>
      <c r="F325" s="78" t="e">
        <v>#N/A</v>
      </c>
      <c r="G325" s="78" t="e">
        <v>#N/A</v>
      </c>
    </row>
    <row r="326" customFormat="false" ht="15.75" hidden="false" customHeight="false" outlineLevel="0" collapsed="false">
      <c r="A326" s="78" t="e">
        <v>#N/A</v>
      </c>
      <c r="B326" s="120" t="e">
        <v>#N/A</v>
      </c>
      <c r="C326" s="78" t="e">
        <v>#N/A</v>
      </c>
      <c r="D326" s="78" t="e">
        <v>#N/A</v>
      </c>
      <c r="E326" s="120" t="e">
        <v>#N/A</v>
      </c>
      <c r="F326" s="78" t="e">
        <v>#N/A</v>
      </c>
      <c r="G326" s="78" t="e">
        <v>#N/A</v>
      </c>
    </row>
    <row r="327" customFormat="false" ht="15.75" hidden="false" customHeight="false" outlineLevel="0" collapsed="false">
      <c r="A327" s="78" t="e">
        <v>#N/A</v>
      </c>
      <c r="B327" s="120" t="e">
        <v>#N/A</v>
      </c>
      <c r="C327" s="78" t="e">
        <v>#N/A</v>
      </c>
      <c r="D327" s="78" t="e">
        <v>#N/A</v>
      </c>
      <c r="E327" s="120" t="e">
        <v>#N/A</v>
      </c>
      <c r="F327" s="78" t="e">
        <v>#N/A</v>
      </c>
      <c r="G327" s="78" t="e">
        <v>#N/A</v>
      </c>
    </row>
    <row r="328" customFormat="false" ht="15.75" hidden="false" customHeight="false" outlineLevel="0" collapsed="false">
      <c r="A328" s="78" t="e">
        <v>#N/A</v>
      </c>
      <c r="B328" s="120" t="e">
        <v>#N/A</v>
      </c>
      <c r="C328" s="78" t="e">
        <v>#N/A</v>
      </c>
      <c r="D328" s="78" t="e">
        <v>#N/A</v>
      </c>
      <c r="E328" s="120" t="e">
        <v>#N/A</v>
      </c>
      <c r="F328" s="78" t="e">
        <v>#N/A</v>
      </c>
      <c r="G328" s="78" t="e">
        <v>#N/A</v>
      </c>
    </row>
    <row r="329" customFormat="false" ht="15.75" hidden="false" customHeight="false" outlineLevel="0" collapsed="false">
      <c r="A329" s="78" t="e">
        <v>#N/A</v>
      </c>
      <c r="B329" s="120" t="e">
        <v>#N/A</v>
      </c>
      <c r="C329" s="78" t="e">
        <v>#N/A</v>
      </c>
      <c r="D329" s="78" t="e">
        <v>#N/A</v>
      </c>
      <c r="E329" s="120" t="e">
        <v>#N/A</v>
      </c>
      <c r="F329" s="78" t="e">
        <v>#N/A</v>
      </c>
      <c r="G329" s="78" t="e">
        <v>#N/A</v>
      </c>
    </row>
    <row r="330" customFormat="false" ht="15.75" hidden="false" customHeight="false" outlineLevel="0" collapsed="false">
      <c r="A330" s="78" t="e">
        <v>#N/A</v>
      </c>
      <c r="B330" s="120" t="e">
        <v>#N/A</v>
      </c>
      <c r="C330" s="78" t="e">
        <v>#N/A</v>
      </c>
      <c r="D330" s="78" t="e">
        <v>#N/A</v>
      </c>
      <c r="E330" s="120" t="e">
        <v>#N/A</v>
      </c>
      <c r="F330" s="78" t="e">
        <v>#N/A</v>
      </c>
      <c r="G330" s="78" t="e">
        <v>#N/A</v>
      </c>
    </row>
    <row r="331" customFormat="false" ht="15.75" hidden="false" customHeight="false" outlineLevel="0" collapsed="false">
      <c r="A331" s="78" t="e">
        <v>#N/A</v>
      </c>
      <c r="B331" s="120" t="e">
        <v>#N/A</v>
      </c>
      <c r="C331" s="78" t="e">
        <v>#N/A</v>
      </c>
      <c r="D331" s="78" t="e">
        <v>#N/A</v>
      </c>
      <c r="E331" s="120" t="e">
        <v>#N/A</v>
      </c>
      <c r="F331" s="78" t="e">
        <v>#N/A</v>
      </c>
      <c r="G331" s="78" t="e">
        <v>#N/A</v>
      </c>
    </row>
    <row r="332" customFormat="false" ht="15.75" hidden="false" customHeight="false" outlineLevel="0" collapsed="false">
      <c r="A332" s="78" t="e">
        <v>#N/A</v>
      </c>
      <c r="B332" s="120" t="e">
        <v>#N/A</v>
      </c>
      <c r="C332" s="78" t="e">
        <v>#N/A</v>
      </c>
      <c r="D332" s="78" t="e">
        <v>#N/A</v>
      </c>
      <c r="E332" s="120" t="e">
        <v>#N/A</v>
      </c>
      <c r="F332" s="78" t="e">
        <v>#N/A</v>
      </c>
      <c r="G332" s="78" t="e">
        <v>#N/A</v>
      </c>
    </row>
    <row r="333" customFormat="false" ht="15.75" hidden="false" customHeight="false" outlineLevel="0" collapsed="false">
      <c r="A333" s="78" t="e">
        <v>#N/A</v>
      </c>
      <c r="B333" s="120" t="e">
        <v>#N/A</v>
      </c>
      <c r="C333" s="78" t="e">
        <v>#N/A</v>
      </c>
      <c r="D333" s="78" t="e">
        <v>#N/A</v>
      </c>
      <c r="E333" s="120" t="e">
        <v>#N/A</v>
      </c>
      <c r="F333" s="78" t="e">
        <v>#N/A</v>
      </c>
      <c r="G333" s="78" t="e">
        <v>#N/A</v>
      </c>
    </row>
    <row r="334" customFormat="false" ht="15.75" hidden="false" customHeight="false" outlineLevel="0" collapsed="false">
      <c r="A334" s="78" t="e">
        <v>#N/A</v>
      </c>
      <c r="B334" s="120" t="e">
        <v>#N/A</v>
      </c>
      <c r="C334" s="78" t="e">
        <v>#N/A</v>
      </c>
      <c r="D334" s="78" t="e">
        <v>#N/A</v>
      </c>
      <c r="E334" s="120" t="e">
        <v>#N/A</v>
      </c>
      <c r="F334" s="78" t="e">
        <v>#N/A</v>
      </c>
      <c r="G334" s="78" t="e">
        <v>#N/A</v>
      </c>
    </row>
    <row r="335" customFormat="false" ht="15.75" hidden="false" customHeight="false" outlineLevel="0" collapsed="false">
      <c r="A335" s="78" t="e">
        <v>#N/A</v>
      </c>
      <c r="B335" s="120" t="e">
        <v>#N/A</v>
      </c>
      <c r="C335" s="78" t="e">
        <v>#N/A</v>
      </c>
      <c r="D335" s="78" t="e">
        <v>#N/A</v>
      </c>
      <c r="E335" s="120" t="e">
        <v>#N/A</v>
      </c>
      <c r="F335" s="78" t="e">
        <v>#N/A</v>
      </c>
      <c r="G335" s="78" t="e">
        <v>#N/A</v>
      </c>
    </row>
    <row r="336" customFormat="false" ht="15.75" hidden="false" customHeight="false" outlineLevel="0" collapsed="false">
      <c r="A336" s="78" t="e">
        <v>#N/A</v>
      </c>
      <c r="B336" s="120" t="e">
        <v>#N/A</v>
      </c>
      <c r="C336" s="78" t="e">
        <v>#N/A</v>
      </c>
      <c r="D336" s="78" t="e">
        <v>#N/A</v>
      </c>
      <c r="E336" s="120" t="e">
        <v>#N/A</v>
      </c>
      <c r="F336" s="78" t="e">
        <v>#N/A</v>
      </c>
      <c r="G336" s="78" t="e">
        <v>#N/A</v>
      </c>
    </row>
    <row r="337" customFormat="false" ht="15.75" hidden="false" customHeight="false" outlineLevel="0" collapsed="false">
      <c r="A337" s="78" t="e">
        <v>#N/A</v>
      </c>
      <c r="B337" s="120" t="e">
        <v>#N/A</v>
      </c>
      <c r="C337" s="78" t="e">
        <v>#N/A</v>
      </c>
      <c r="D337" s="78" t="e">
        <v>#N/A</v>
      </c>
      <c r="E337" s="120" t="e">
        <v>#N/A</v>
      </c>
      <c r="F337" s="78" t="e">
        <v>#N/A</v>
      </c>
      <c r="G337" s="78" t="e">
        <v>#N/A</v>
      </c>
    </row>
    <row r="338" customFormat="false" ht="15.75" hidden="false" customHeight="false" outlineLevel="0" collapsed="false">
      <c r="A338" s="78" t="e">
        <v>#N/A</v>
      </c>
      <c r="B338" s="120" t="e">
        <v>#N/A</v>
      </c>
      <c r="C338" s="78" t="e">
        <v>#N/A</v>
      </c>
      <c r="D338" s="78" t="e">
        <v>#N/A</v>
      </c>
      <c r="E338" s="120" t="e">
        <v>#N/A</v>
      </c>
      <c r="F338" s="78" t="e">
        <v>#N/A</v>
      </c>
      <c r="G338" s="78" t="e">
        <v>#N/A</v>
      </c>
    </row>
    <row r="339" customFormat="false" ht="15.75" hidden="false" customHeight="false" outlineLevel="0" collapsed="false">
      <c r="A339" s="78" t="e">
        <v>#N/A</v>
      </c>
      <c r="B339" s="120" t="e">
        <v>#N/A</v>
      </c>
      <c r="C339" s="78" t="e">
        <v>#N/A</v>
      </c>
      <c r="D339" s="78" t="e">
        <v>#N/A</v>
      </c>
      <c r="E339" s="120" t="e">
        <v>#N/A</v>
      </c>
      <c r="F339" s="78" t="e">
        <v>#N/A</v>
      </c>
      <c r="G339" s="78" t="e">
        <v>#N/A</v>
      </c>
    </row>
    <row r="340" customFormat="false" ht="15.75" hidden="false" customHeight="false" outlineLevel="0" collapsed="false">
      <c r="A340" s="78" t="e">
        <v>#N/A</v>
      </c>
      <c r="B340" s="120" t="e">
        <v>#N/A</v>
      </c>
      <c r="C340" s="78" t="e">
        <v>#N/A</v>
      </c>
      <c r="D340" s="78" t="e">
        <v>#N/A</v>
      </c>
      <c r="E340" s="120" t="e">
        <v>#N/A</v>
      </c>
      <c r="F340" s="78" t="e">
        <v>#N/A</v>
      </c>
      <c r="G340" s="78" t="e">
        <v>#N/A</v>
      </c>
    </row>
    <row r="341" customFormat="false" ht="15.75" hidden="false" customHeight="false" outlineLevel="0" collapsed="false">
      <c r="A341" s="78" t="e">
        <v>#N/A</v>
      </c>
      <c r="B341" s="120" t="e">
        <v>#N/A</v>
      </c>
      <c r="C341" s="78" t="e">
        <v>#N/A</v>
      </c>
      <c r="D341" s="78" t="e">
        <v>#N/A</v>
      </c>
      <c r="E341" s="120" t="e">
        <v>#N/A</v>
      </c>
      <c r="F341" s="78" t="e">
        <v>#N/A</v>
      </c>
      <c r="G341" s="78" t="e">
        <v>#N/A</v>
      </c>
    </row>
    <row r="342" customFormat="false" ht="15.75" hidden="false" customHeight="false" outlineLevel="0" collapsed="false">
      <c r="A342" s="78" t="e">
        <v>#N/A</v>
      </c>
      <c r="B342" s="120" t="e">
        <v>#N/A</v>
      </c>
      <c r="C342" s="78" t="e">
        <v>#N/A</v>
      </c>
      <c r="D342" s="78" t="e">
        <v>#N/A</v>
      </c>
      <c r="E342" s="120" t="e">
        <v>#N/A</v>
      </c>
      <c r="F342" s="78" t="e">
        <v>#N/A</v>
      </c>
      <c r="G342" s="78" t="e">
        <v>#N/A</v>
      </c>
    </row>
    <row r="343" customFormat="false" ht="15.75" hidden="false" customHeight="false" outlineLevel="0" collapsed="false">
      <c r="A343" s="78" t="e">
        <v>#N/A</v>
      </c>
      <c r="B343" s="120" t="e">
        <v>#N/A</v>
      </c>
      <c r="C343" s="78" t="e">
        <v>#N/A</v>
      </c>
      <c r="D343" s="78" t="e">
        <v>#N/A</v>
      </c>
      <c r="E343" s="120" t="e">
        <v>#N/A</v>
      </c>
      <c r="F343" s="78" t="e">
        <v>#N/A</v>
      </c>
      <c r="G343" s="78" t="e">
        <v>#N/A</v>
      </c>
    </row>
    <row r="344" customFormat="false" ht="15.75" hidden="false" customHeight="false" outlineLevel="0" collapsed="false">
      <c r="A344" s="78" t="e">
        <v>#N/A</v>
      </c>
      <c r="B344" s="120" t="e">
        <v>#N/A</v>
      </c>
      <c r="C344" s="78" t="e">
        <v>#N/A</v>
      </c>
      <c r="D344" s="78" t="e">
        <v>#N/A</v>
      </c>
      <c r="E344" s="120" t="e">
        <v>#N/A</v>
      </c>
      <c r="F344" s="78" t="e">
        <v>#N/A</v>
      </c>
      <c r="G344" s="78" t="e">
        <v>#N/A</v>
      </c>
    </row>
    <row r="345" customFormat="false" ht="15.75" hidden="false" customHeight="false" outlineLevel="0" collapsed="false">
      <c r="A345" s="78" t="e">
        <v>#N/A</v>
      </c>
      <c r="B345" s="120" t="e">
        <v>#N/A</v>
      </c>
      <c r="C345" s="78" t="e">
        <v>#N/A</v>
      </c>
      <c r="D345" s="78" t="e">
        <v>#N/A</v>
      </c>
      <c r="E345" s="120" t="e">
        <v>#N/A</v>
      </c>
      <c r="F345" s="78" t="e">
        <v>#N/A</v>
      </c>
      <c r="G345" s="78" t="e">
        <v>#N/A</v>
      </c>
    </row>
    <row r="346" customFormat="false" ht="15.75" hidden="false" customHeight="false" outlineLevel="0" collapsed="false">
      <c r="A346" s="78" t="e">
        <v>#N/A</v>
      </c>
      <c r="B346" s="120" t="e">
        <v>#N/A</v>
      </c>
      <c r="C346" s="78" t="e">
        <v>#N/A</v>
      </c>
      <c r="D346" s="78" t="e">
        <v>#N/A</v>
      </c>
      <c r="E346" s="120" t="e">
        <v>#N/A</v>
      </c>
      <c r="F346" s="78" t="e">
        <v>#N/A</v>
      </c>
      <c r="G346" s="78" t="e">
        <v>#N/A</v>
      </c>
    </row>
    <row r="347" customFormat="false" ht="15.75" hidden="false" customHeight="false" outlineLevel="0" collapsed="false">
      <c r="A347" s="78" t="e">
        <v>#N/A</v>
      </c>
      <c r="B347" s="120" t="e">
        <v>#N/A</v>
      </c>
      <c r="C347" s="78" t="e">
        <v>#N/A</v>
      </c>
      <c r="D347" s="78" t="e">
        <v>#N/A</v>
      </c>
      <c r="E347" s="120" t="e">
        <v>#N/A</v>
      </c>
      <c r="F347" s="78" t="e">
        <v>#N/A</v>
      </c>
      <c r="G347" s="78" t="e">
        <v>#N/A</v>
      </c>
    </row>
    <row r="348" customFormat="false" ht="15.75" hidden="false" customHeight="false" outlineLevel="0" collapsed="false">
      <c r="A348" s="78" t="e">
        <v>#N/A</v>
      </c>
      <c r="B348" s="120" t="e">
        <v>#N/A</v>
      </c>
      <c r="C348" s="78" t="e">
        <v>#N/A</v>
      </c>
      <c r="D348" s="78" t="e">
        <v>#N/A</v>
      </c>
      <c r="E348" s="120" t="e">
        <v>#N/A</v>
      </c>
      <c r="F348" s="78" t="e">
        <v>#N/A</v>
      </c>
      <c r="G348" s="78" t="e">
        <v>#N/A</v>
      </c>
    </row>
    <row r="349" customFormat="false" ht="15.75" hidden="false" customHeight="false" outlineLevel="0" collapsed="false">
      <c r="A349" s="78" t="e">
        <v>#N/A</v>
      </c>
      <c r="B349" s="120" t="e">
        <v>#N/A</v>
      </c>
      <c r="C349" s="78" t="e">
        <v>#N/A</v>
      </c>
      <c r="D349" s="78" t="e">
        <v>#N/A</v>
      </c>
      <c r="E349" s="120" t="e">
        <v>#N/A</v>
      </c>
      <c r="F349" s="78" t="e">
        <v>#N/A</v>
      </c>
      <c r="G349" s="78" t="e">
        <v>#N/A</v>
      </c>
    </row>
    <row r="350" customFormat="false" ht="15.75" hidden="false" customHeight="false" outlineLevel="0" collapsed="false">
      <c r="A350" s="78" t="e">
        <v>#N/A</v>
      </c>
      <c r="B350" s="120" t="e">
        <v>#N/A</v>
      </c>
      <c r="C350" s="78" t="e">
        <v>#N/A</v>
      </c>
      <c r="D350" s="78" t="e">
        <v>#N/A</v>
      </c>
      <c r="E350" s="120" t="e">
        <v>#N/A</v>
      </c>
      <c r="F350" s="78" t="e">
        <v>#N/A</v>
      </c>
      <c r="G350" s="78" t="e">
        <v>#N/A</v>
      </c>
    </row>
    <row r="351" customFormat="false" ht="15.75" hidden="false" customHeight="false" outlineLevel="0" collapsed="false">
      <c r="A351" s="78" t="e">
        <v>#N/A</v>
      </c>
      <c r="B351" s="120" t="e">
        <v>#N/A</v>
      </c>
      <c r="C351" s="78" t="e">
        <v>#N/A</v>
      </c>
      <c r="D351" s="78" t="e">
        <v>#N/A</v>
      </c>
      <c r="E351" s="120" t="e">
        <v>#N/A</v>
      </c>
      <c r="F351" s="78" t="e">
        <v>#N/A</v>
      </c>
      <c r="G351" s="78" t="e">
        <v>#N/A</v>
      </c>
    </row>
    <row r="352" customFormat="false" ht="15.75" hidden="false" customHeight="false" outlineLevel="0" collapsed="false">
      <c r="A352" s="78" t="e">
        <v>#N/A</v>
      </c>
      <c r="B352" s="120" t="e">
        <v>#N/A</v>
      </c>
      <c r="C352" s="78" t="e">
        <v>#N/A</v>
      </c>
      <c r="D352" s="78" t="e">
        <v>#N/A</v>
      </c>
      <c r="E352" s="120" t="e">
        <v>#N/A</v>
      </c>
      <c r="F352" s="78" t="e">
        <v>#N/A</v>
      </c>
      <c r="G352" s="78" t="e">
        <v>#N/A</v>
      </c>
    </row>
    <row r="353" customFormat="false" ht="15.75" hidden="false" customHeight="false" outlineLevel="0" collapsed="false">
      <c r="A353" s="120" t="e">
        <v>#N/A</v>
      </c>
      <c r="B353" s="120" t="e">
        <v>#N/A</v>
      </c>
      <c r="C353" s="78" t="e">
        <v>#N/A</v>
      </c>
      <c r="D353" s="78" t="e">
        <v>#N/A</v>
      </c>
      <c r="E353" s="120" t="e">
        <v>#N/A</v>
      </c>
      <c r="F353" s="78" t="e">
        <v>#N/A</v>
      </c>
      <c r="G353" s="78" t="e">
        <v>#N/A</v>
      </c>
    </row>
    <row r="354" customFormat="false" ht="15.75" hidden="false" customHeight="false" outlineLevel="0" collapsed="false">
      <c r="A354" s="78" t="e">
        <v>#N/A</v>
      </c>
      <c r="B354" s="120" t="e">
        <v>#N/A</v>
      </c>
      <c r="C354" s="78" t="e">
        <v>#N/A</v>
      </c>
      <c r="D354" s="78" t="e">
        <v>#N/A</v>
      </c>
      <c r="E354" s="120" t="e">
        <v>#N/A</v>
      </c>
      <c r="F354" s="78" t="e">
        <v>#N/A</v>
      </c>
      <c r="G354" s="78" t="e">
        <v>#N/A</v>
      </c>
    </row>
    <row r="355" customFormat="false" ht="15.75" hidden="false" customHeight="false" outlineLevel="0" collapsed="false">
      <c r="A355" s="78" t="e">
        <v>#N/A</v>
      </c>
      <c r="B355" s="120" t="e">
        <v>#N/A</v>
      </c>
      <c r="C355" s="78" t="e">
        <v>#N/A</v>
      </c>
      <c r="D355" s="78" t="e">
        <v>#N/A</v>
      </c>
      <c r="E355" s="120" t="e">
        <v>#N/A</v>
      </c>
      <c r="F355" s="78" t="e">
        <v>#N/A</v>
      </c>
      <c r="G355" s="78" t="e">
        <v>#N/A</v>
      </c>
    </row>
    <row r="356" customFormat="false" ht="15.75" hidden="false" customHeight="false" outlineLevel="0" collapsed="false">
      <c r="A356" s="78" t="e">
        <v>#N/A</v>
      </c>
      <c r="B356" s="120" t="e">
        <v>#N/A</v>
      </c>
      <c r="C356" s="78" t="e">
        <v>#N/A</v>
      </c>
      <c r="D356" s="78" t="e">
        <v>#N/A</v>
      </c>
      <c r="E356" s="120" t="e">
        <v>#N/A</v>
      </c>
      <c r="F356" s="78" t="e">
        <v>#N/A</v>
      </c>
      <c r="G356" s="78" t="e">
        <v>#N/A</v>
      </c>
    </row>
    <row r="357" customFormat="false" ht="15.75" hidden="false" customHeight="false" outlineLevel="0" collapsed="false">
      <c r="A357" s="78" t="e">
        <v>#N/A</v>
      </c>
      <c r="B357" s="120" t="e">
        <v>#N/A</v>
      </c>
      <c r="C357" s="78" t="e">
        <v>#N/A</v>
      </c>
      <c r="D357" s="78" t="e">
        <v>#N/A</v>
      </c>
      <c r="E357" s="120" t="e">
        <v>#N/A</v>
      </c>
      <c r="F357" s="78" t="e">
        <v>#N/A</v>
      </c>
      <c r="G357" s="78" t="e">
        <v>#N/A</v>
      </c>
    </row>
    <row r="358" customFormat="false" ht="15.75" hidden="false" customHeight="false" outlineLevel="0" collapsed="false">
      <c r="A358" s="78" t="e">
        <v>#N/A</v>
      </c>
      <c r="B358" s="120" t="e">
        <v>#N/A</v>
      </c>
      <c r="C358" s="78" t="e">
        <v>#N/A</v>
      </c>
      <c r="D358" s="78" t="e">
        <v>#N/A</v>
      </c>
      <c r="E358" s="120" t="e">
        <v>#N/A</v>
      </c>
      <c r="F358" s="78" t="e">
        <v>#N/A</v>
      </c>
      <c r="G358" s="78" t="e">
        <v>#N/A</v>
      </c>
    </row>
    <row r="359" customFormat="false" ht="15.75" hidden="false" customHeight="false" outlineLevel="0" collapsed="false">
      <c r="A359" s="78" t="e">
        <v>#N/A</v>
      </c>
      <c r="B359" s="120" t="e">
        <v>#N/A</v>
      </c>
      <c r="C359" s="78" t="e">
        <v>#N/A</v>
      </c>
      <c r="D359" s="78" t="e">
        <v>#N/A</v>
      </c>
      <c r="E359" s="120" t="e">
        <v>#N/A</v>
      </c>
      <c r="F359" s="78" t="e">
        <v>#N/A</v>
      </c>
      <c r="G359" s="78" t="e">
        <v>#N/A</v>
      </c>
    </row>
    <row r="360" customFormat="false" ht="15.75" hidden="false" customHeight="false" outlineLevel="0" collapsed="false">
      <c r="A360" s="78" t="e">
        <v>#N/A</v>
      </c>
      <c r="B360" s="120" t="e">
        <v>#N/A</v>
      </c>
      <c r="C360" s="78" t="e">
        <v>#N/A</v>
      </c>
      <c r="D360" s="78" t="e">
        <v>#N/A</v>
      </c>
      <c r="E360" s="120" t="e">
        <v>#N/A</v>
      </c>
      <c r="F360" s="78" t="e">
        <v>#N/A</v>
      </c>
      <c r="G360" s="78" t="e">
        <v>#N/A</v>
      </c>
    </row>
    <row r="361" customFormat="false" ht="15.75" hidden="false" customHeight="false" outlineLevel="0" collapsed="false">
      <c r="A361" s="78" t="e">
        <v>#N/A</v>
      </c>
      <c r="B361" s="120" t="e">
        <v>#N/A</v>
      </c>
      <c r="C361" s="78" t="e">
        <v>#N/A</v>
      </c>
      <c r="D361" s="78" t="e">
        <v>#N/A</v>
      </c>
      <c r="E361" s="120" t="e">
        <v>#N/A</v>
      </c>
      <c r="F361" s="78" t="e">
        <v>#N/A</v>
      </c>
      <c r="G361" s="78" t="e">
        <v>#N/A</v>
      </c>
    </row>
    <row r="362" customFormat="false" ht="15.75" hidden="false" customHeight="false" outlineLevel="0" collapsed="false">
      <c r="A362" s="78" t="e">
        <v>#N/A</v>
      </c>
      <c r="B362" s="120" t="e">
        <v>#N/A</v>
      </c>
      <c r="C362" s="78" t="e">
        <v>#N/A</v>
      </c>
      <c r="D362" s="78" t="e">
        <v>#N/A</v>
      </c>
      <c r="E362" s="120" t="e">
        <v>#N/A</v>
      </c>
      <c r="F362" s="78" t="e">
        <v>#N/A</v>
      </c>
      <c r="G362" s="78" t="e">
        <v>#N/A</v>
      </c>
    </row>
    <row r="363" customFormat="false" ht="15.75" hidden="false" customHeight="false" outlineLevel="0" collapsed="false">
      <c r="A363" s="120" t="e">
        <v>#N/A</v>
      </c>
      <c r="B363" s="120" t="e">
        <v>#N/A</v>
      </c>
      <c r="C363" s="78" t="e">
        <v>#N/A</v>
      </c>
      <c r="D363" s="78" t="e">
        <v>#N/A</v>
      </c>
      <c r="E363" s="120" t="e">
        <v>#N/A</v>
      </c>
      <c r="F363" s="78" t="e">
        <v>#N/A</v>
      </c>
      <c r="G363" s="78" t="e">
        <v>#N/A</v>
      </c>
    </row>
    <row r="364" customFormat="false" ht="15.75" hidden="false" customHeight="false" outlineLevel="0" collapsed="false">
      <c r="A364" s="78" t="e">
        <v>#N/A</v>
      </c>
      <c r="B364" s="120" t="e">
        <v>#N/A</v>
      </c>
      <c r="C364" s="78" t="e">
        <v>#N/A</v>
      </c>
      <c r="D364" s="78" t="e">
        <v>#N/A</v>
      </c>
      <c r="E364" s="120" t="e">
        <v>#N/A</v>
      </c>
      <c r="F364" s="78" t="e">
        <v>#N/A</v>
      </c>
      <c r="G364" s="78" t="e">
        <v>#N/A</v>
      </c>
    </row>
    <row r="365" customFormat="false" ht="15.75" hidden="false" customHeight="false" outlineLevel="0" collapsed="false">
      <c r="A365" s="78" t="e">
        <v>#N/A</v>
      </c>
      <c r="B365" s="120" t="e">
        <v>#N/A</v>
      </c>
      <c r="C365" s="78" t="e">
        <v>#N/A</v>
      </c>
      <c r="D365" s="78" t="e">
        <v>#N/A</v>
      </c>
      <c r="E365" s="120" t="e">
        <v>#N/A</v>
      </c>
      <c r="F365" s="78" t="e">
        <v>#N/A</v>
      </c>
      <c r="G365" s="78" t="e">
        <v>#N/A</v>
      </c>
    </row>
    <row r="366" customFormat="false" ht="15.75" hidden="false" customHeight="false" outlineLevel="0" collapsed="false">
      <c r="A366" s="78" t="e">
        <v>#N/A</v>
      </c>
      <c r="B366" s="120" t="e">
        <v>#N/A</v>
      </c>
      <c r="C366" s="78" t="e">
        <v>#N/A</v>
      </c>
      <c r="D366" s="78" t="e">
        <v>#N/A</v>
      </c>
      <c r="E366" s="120" t="e">
        <v>#N/A</v>
      </c>
      <c r="F366" s="78" t="e">
        <v>#N/A</v>
      </c>
      <c r="G366" s="78" t="e">
        <v>#N/A</v>
      </c>
    </row>
    <row r="367" customFormat="false" ht="15.75" hidden="false" customHeight="false" outlineLevel="0" collapsed="false">
      <c r="A367" s="78" t="e">
        <v>#N/A</v>
      </c>
      <c r="B367" s="120" t="e">
        <v>#N/A</v>
      </c>
      <c r="C367" s="78" t="e">
        <v>#N/A</v>
      </c>
      <c r="D367" s="78" t="e">
        <v>#N/A</v>
      </c>
      <c r="E367" s="120" t="e">
        <v>#N/A</v>
      </c>
      <c r="F367" s="78" t="e">
        <v>#N/A</v>
      </c>
      <c r="G367" s="78" t="e">
        <v>#N/A</v>
      </c>
    </row>
    <row r="368" customFormat="false" ht="15.75" hidden="false" customHeight="false" outlineLevel="0" collapsed="false">
      <c r="A368" s="78" t="e">
        <v>#N/A</v>
      </c>
      <c r="B368" s="120" t="e">
        <v>#N/A</v>
      </c>
      <c r="C368" s="78" t="e">
        <v>#N/A</v>
      </c>
      <c r="D368" s="78" t="e">
        <v>#N/A</v>
      </c>
      <c r="E368" s="120" t="e">
        <v>#N/A</v>
      </c>
      <c r="F368" s="78" t="e">
        <v>#N/A</v>
      </c>
      <c r="G368" s="78" t="e">
        <v>#N/A</v>
      </c>
    </row>
    <row r="369" customFormat="false" ht="15.75" hidden="false" customHeight="false" outlineLevel="0" collapsed="false">
      <c r="A369" s="78" t="e">
        <v>#N/A</v>
      </c>
      <c r="B369" s="120" t="e">
        <v>#N/A</v>
      </c>
      <c r="C369" s="78" t="e">
        <v>#N/A</v>
      </c>
      <c r="D369" s="78" t="e">
        <v>#N/A</v>
      </c>
      <c r="E369" s="120" t="e">
        <v>#N/A</v>
      </c>
      <c r="F369" s="78" t="e">
        <v>#N/A</v>
      </c>
      <c r="G369" s="78" t="e">
        <v>#N/A</v>
      </c>
    </row>
    <row r="370" customFormat="false" ht="15.75" hidden="false" customHeight="false" outlineLevel="0" collapsed="false">
      <c r="A370" s="78" t="e">
        <v>#N/A</v>
      </c>
      <c r="B370" s="120" t="e">
        <v>#N/A</v>
      </c>
      <c r="C370" s="78" t="e">
        <v>#N/A</v>
      </c>
      <c r="D370" s="78" t="e">
        <v>#N/A</v>
      </c>
      <c r="E370" s="120" t="e">
        <v>#N/A</v>
      </c>
      <c r="F370" s="78" t="e">
        <v>#N/A</v>
      </c>
      <c r="G370" s="78" t="e">
        <v>#N/A</v>
      </c>
    </row>
    <row r="371" customFormat="false" ht="15.75" hidden="false" customHeight="false" outlineLevel="0" collapsed="false">
      <c r="A371" s="78" t="e">
        <v>#N/A</v>
      </c>
      <c r="B371" s="120" t="e">
        <v>#N/A</v>
      </c>
      <c r="C371" s="78" t="e">
        <v>#N/A</v>
      </c>
      <c r="D371" s="78" t="e">
        <v>#N/A</v>
      </c>
      <c r="E371" s="120" t="e">
        <v>#N/A</v>
      </c>
      <c r="F371" s="78" t="e">
        <v>#N/A</v>
      </c>
      <c r="G371" s="78" t="e">
        <v>#N/A</v>
      </c>
    </row>
    <row r="372" customFormat="false" ht="15.75" hidden="false" customHeight="false" outlineLevel="0" collapsed="false">
      <c r="A372" s="78" t="e">
        <v>#N/A</v>
      </c>
      <c r="B372" s="120" t="e">
        <v>#N/A</v>
      </c>
      <c r="C372" s="78" t="e">
        <v>#N/A</v>
      </c>
      <c r="D372" s="78" t="e">
        <v>#N/A</v>
      </c>
      <c r="E372" s="120" t="e">
        <v>#N/A</v>
      </c>
      <c r="F372" s="78" t="e">
        <v>#N/A</v>
      </c>
      <c r="G372" s="78" t="e">
        <v>#N/A</v>
      </c>
    </row>
    <row r="373" customFormat="false" ht="15.75" hidden="false" customHeight="false" outlineLevel="0" collapsed="false">
      <c r="A373" s="120" t="e">
        <v>#N/A</v>
      </c>
      <c r="B373" s="120" t="e">
        <v>#N/A</v>
      </c>
      <c r="C373" s="78" t="e">
        <v>#N/A</v>
      </c>
      <c r="D373" s="78" t="e">
        <v>#N/A</v>
      </c>
      <c r="E373" s="120" t="e">
        <v>#N/A</v>
      </c>
      <c r="F373" s="78" t="e">
        <v>#N/A</v>
      </c>
      <c r="G373" s="78" t="e">
        <v>#N/A</v>
      </c>
    </row>
    <row r="374" customFormat="false" ht="15.75" hidden="false" customHeight="false" outlineLevel="0" collapsed="false">
      <c r="A374" s="78" t="e">
        <v>#N/A</v>
      </c>
      <c r="B374" s="120" t="e">
        <v>#N/A</v>
      </c>
      <c r="C374" s="78" t="e">
        <v>#N/A</v>
      </c>
      <c r="D374" s="78" t="e">
        <v>#N/A</v>
      </c>
      <c r="E374" s="120" t="e">
        <v>#N/A</v>
      </c>
      <c r="F374" s="78" t="e">
        <v>#N/A</v>
      </c>
      <c r="G374" s="78" t="e">
        <v>#N/A</v>
      </c>
    </row>
    <row r="375" customFormat="false" ht="15.75" hidden="false" customHeight="false" outlineLevel="0" collapsed="false">
      <c r="A375" s="78" t="e">
        <v>#N/A</v>
      </c>
      <c r="B375" s="120" t="e">
        <v>#N/A</v>
      </c>
      <c r="C375" s="78" t="e">
        <v>#N/A</v>
      </c>
      <c r="D375" s="78" t="e">
        <v>#N/A</v>
      </c>
      <c r="E375" s="120" t="e">
        <v>#N/A</v>
      </c>
      <c r="F375" s="78" t="e">
        <v>#N/A</v>
      </c>
      <c r="G375" s="78" t="e">
        <v>#N/A</v>
      </c>
    </row>
    <row r="376" customFormat="false" ht="15.75" hidden="false" customHeight="false" outlineLevel="0" collapsed="false">
      <c r="A376" s="78" t="e">
        <v>#N/A</v>
      </c>
      <c r="B376" s="120" t="e">
        <v>#N/A</v>
      </c>
      <c r="C376" s="78" t="e">
        <v>#N/A</v>
      </c>
      <c r="D376" s="78" t="e">
        <v>#N/A</v>
      </c>
      <c r="E376" s="120" t="e">
        <v>#N/A</v>
      </c>
      <c r="F376" s="78" t="e">
        <v>#N/A</v>
      </c>
      <c r="G376" s="78" t="e">
        <v>#N/A</v>
      </c>
    </row>
    <row r="377" customFormat="false" ht="15.75" hidden="false" customHeight="false" outlineLevel="0" collapsed="false">
      <c r="A377" s="78" t="e">
        <v>#N/A</v>
      </c>
      <c r="B377" s="120" t="e">
        <v>#N/A</v>
      </c>
      <c r="C377" s="78" t="e">
        <v>#N/A</v>
      </c>
      <c r="D377" s="78" t="e">
        <v>#N/A</v>
      </c>
      <c r="E377" s="120" t="e">
        <v>#N/A</v>
      </c>
      <c r="F377" s="78" t="e">
        <v>#N/A</v>
      </c>
      <c r="G377" s="78" t="e">
        <v>#N/A</v>
      </c>
    </row>
    <row r="378" customFormat="false" ht="15.75" hidden="false" customHeight="false" outlineLevel="0" collapsed="false">
      <c r="A378" s="78" t="e">
        <v>#N/A</v>
      </c>
      <c r="B378" s="120" t="e">
        <v>#N/A</v>
      </c>
      <c r="C378" s="78" t="e">
        <v>#N/A</v>
      </c>
      <c r="D378" s="78" t="e">
        <v>#N/A</v>
      </c>
      <c r="E378" s="120" t="e">
        <v>#N/A</v>
      </c>
      <c r="F378" s="78" t="e">
        <v>#N/A</v>
      </c>
      <c r="G378" s="78" t="e">
        <v>#N/A</v>
      </c>
    </row>
    <row r="379" customFormat="false" ht="15.75" hidden="false" customHeight="false" outlineLevel="0" collapsed="false">
      <c r="A379" s="78" t="e">
        <v>#N/A</v>
      </c>
      <c r="B379" s="120" t="e">
        <v>#N/A</v>
      </c>
      <c r="C379" s="78" t="e">
        <v>#N/A</v>
      </c>
      <c r="D379" s="78" t="e">
        <v>#N/A</v>
      </c>
      <c r="E379" s="120" t="e">
        <v>#N/A</v>
      </c>
      <c r="F379" s="78" t="e">
        <v>#N/A</v>
      </c>
      <c r="G379" s="78" t="e">
        <v>#N/A</v>
      </c>
    </row>
    <row r="380" customFormat="false" ht="15.75" hidden="false" customHeight="false" outlineLevel="0" collapsed="false">
      <c r="A380" s="78" t="e">
        <v>#N/A</v>
      </c>
      <c r="B380" s="120" t="e">
        <v>#N/A</v>
      </c>
      <c r="C380" s="78" t="e">
        <v>#N/A</v>
      </c>
      <c r="D380" s="78" t="e">
        <v>#N/A</v>
      </c>
      <c r="E380" s="120" t="e">
        <v>#N/A</v>
      </c>
      <c r="F380" s="78" t="e">
        <v>#N/A</v>
      </c>
      <c r="G380" s="78" t="e">
        <v>#N/A</v>
      </c>
    </row>
    <row r="381" customFormat="false" ht="15.75" hidden="false" customHeight="false" outlineLevel="0" collapsed="false">
      <c r="A381" s="78" t="e">
        <v>#N/A</v>
      </c>
      <c r="B381" s="120" t="e">
        <v>#N/A</v>
      </c>
      <c r="C381" s="78" t="e">
        <v>#N/A</v>
      </c>
      <c r="D381" s="78" t="e">
        <v>#N/A</v>
      </c>
      <c r="E381" s="120" t="e">
        <v>#N/A</v>
      </c>
      <c r="F381" s="78" t="e">
        <v>#N/A</v>
      </c>
      <c r="G381" s="78" t="e">
        <v>#N/A</v>
      </c>
    </row>
    <row r="382" customFormat="false" ht="15.75" hidden="false" customHeight="false" outlineLevel="0" collapsed="false">
      <c r="A382" s="78" t="e">
        <v>#N/A</v>
      </c>
      <c r="B382" s="120" t="e">
        <v>#N/A</v>
      </c>
      <c r="C382" s="78" t="e">
        <v>#N/A</v>
      </c>
      <c r="D382" s="78" t="e">
        <v>#N/A</v>
      </c>
      <c r="E382" s="120" t="e">
        <v>#N/A</v>
      </c>
      <c r="F382" s="78" t="e">
        <v>#N/A</v>
      </c>
      <c r="G382" s="78" t="e">
        <v>#N/A</v>
      </c>
    </row>
    <row r="383" customFormat="false" ht="15.75" hidden="false" customHeight="false" outlineLevel="0" collapsed="false">
      <c r="A383" s="120" t="e">
        <v>#N/A</v>
      </c>
      <c r="B383" s="120" t="e">
        <v>#N/A</v>
      </c>
      <c r="C383" s="78" t="e">
        <v>#N/A</v>
      </c>
      <c r="D383" s="78" t="e">
        <v>#N/A</v>
      </c>
      <c r="E383" s="120" t="e">
        <v>#N/A</v>
      </c>
      <c r="F383" s="78" t="e">
        <v>#N/A</v>
      </c>
      <c r="G383" s="78" t="e">
        <v>#N/A</v>
      </c>
    </row>
    <row r="384" customFormat="false" ht="15.75" hidden="false" customHeight="false" outlineLevel="0" collapsed="false">
      <c r="A384" s="78" t="e">
        <v>#N/A</v>
      </c>
      <c r="B384" s="120" t="e">
        <v>#N/A</v>
      </c>
      <c r="C384" s="78" t="e">
        <v>#N/A</v>
      </c>
      <c r="D384" s="78" t="e">
        <v>#N/A</v>
      </c>
      <c r="E384" s="120" t="e">
        <v>#N/A</v>
      </c>
      <c r="F384" s="78" t="e">
        <v>#N/A</v>
      </c>
      <c r="G384" s="78" t="e">
        <v>#N/A</v>
      </c>
    </row>
    <row r="385" customFormat="false" ht="15.75" hidden="false" customHeight="false" outlineLevel="0" collapsed="false">
      <c r="A385" s="78" t="e">
        <v>#N/A</v>
      </c>
      <c r="B385" s="120" t="e">
        <v>#N/A</v>
      </c>
      <c r="C385" s="78" t="e">
        <v>#N/A</v>
      </c>
      <c r="D385" s="78" t="e">
        <v>#N/A</v>
      </c>
      <c r="E385" s="120" t="e">
        <v>#N/A</v>
      </c>
      <c r="F385" s="78" t="e">
        <v>#N/A</v>
      </c>
      <c r="G385" s="78" t="e">
        <v>#N/A</v>
      </c>
    </row>
    <row r="386" customFormat="false" ht="15.75" hidden="false" customHeight="false" outlineLevel="0" collapsed="false">
      <c r="A386" s="78" t="e">
        <v>#N/A</v>
      </c>
      <c r="B386" s="120" t="e">
        <v>#N/A</v>
      </c>
      <c r="C386" s="78" t="e">
        <v>#N/A</v>
      </c>
      <c r="D386" s="78" t="e">
        <v>#N/A</v>
      </c>
      <c r="E386" s="120" t="e">
        <v>#N/A</v>
      </c>
      <c r="F386" s="78" t="e">
        <v>#N/A</v>
      </c>
      <c r="G386" s="78" t="e">
        <v>#N/A</v>
      </c>
    </row>
    <row r="387" customFormat="false" ht="15.75" hidden="false" customHeight="false" outlineLevel="0" collapsed="false">
      <c r="A387" s="78" t="e">
        <v>#N/A</v>
      </c>
      <c r="B387" s="120" t="e">
        <v>#N/A</v>
      </c>
      <c r="C387" s="78" t="e">
        <v>#N/A</v>
      </c>
      <c r="D387" s="78" t="e">
        <v>#N/A</v>
      </c>
      <c r="E387" s="120" t="e">
        <v>#N/A</v>
      </c>
      <c r="F387" s="78" t="e">
        <v>#N/A</v>
      </c>
      <c r="G387" s="78" t="e">
        <v>#N/A</v>
      </c>
    </row>
    <row r="388" customFormat="false" ht="15.75" hidden="false" customHeight="false" outlineLevel="0" collapsed="false">
      <c r="A388" s="78" t="e">
        <v>#N/A</v>
      </c>
      <c r="B388" s="120" t="e">
        <v>#N/A</v>
      </c>
      <c r="C388" s="78" t="e">
        <v>#N/A</v>
      </c>
      <c r="D388" s="78" t="e">
        <v>#N/A</v>
      </c>
      <c r="E388" s="120" t="e">
        <v>#N/A</v>
      </c>
      <c r="F388" s="78" t="e">
        <v>#N/A</v>
      </c>
      <c r="G388" s="78" t="e">
        <v>#N/A</v>
      </c>
    </row>
    <row r="389" customFormat="false" ht="15.75" hidden="false" customHeight="false" outlineLevel="0" collapsed="false">
      <c r="A389" s="78" t="e">
        <v>#N/A</v>
      </c>
      <c r="B389" s="120" t="e">
        <v>#N/A</v>
      </c>
      <c r="C389" s="78" t="e">
        <v>#N/A</v>
      </c>
      <c r="D389" s="78" t="e">
        <v>#N/A</v>
      </c>
      <c r="E389" s="120" t="e">
        <v>#N/A</v>
      </c>
      <c r="F389" s="78" t="e">
        <v>#N/A</v>
      </c>
      <c r="G389" s="78" t="e">
        <v>#N/A</v>
      </c>
    </row>
    <row r="390" customFormat="false" ht="15.75" hidden="false" customHeight="false" outlineLevel="0" collapsed="false">
      <c r="A390" s="78" t="e">
        <v>#N/A</v>
      </c>
      <c r="B390" s="120" t="e">
        <v>#N/A</v>
      </c>
      <c r="C390" s="78" t="e">
        <v>#N/A</v>
      </c>
      <c r="D390" s="78" t="e">
        <v>#N/A</v>
      </c>
      <c r="E390" s="120" t="e">
        <v>#N/A</v>
      </c>
      <c r="F390" s="78" t="e">
        <v>#N/A</v>
      </c>
      <c r="G390" s="78" t="e">
        <v>#N/A</v>
      </c>
    </row>
    <row r="391" customFormat="false" ht="15.75" hidden="false" customHeight="false" outlineLevel="0" collapsed="false">
      <c r="A391" s="78" t="e">
        <v>#N/A</v>
      </c>
      <c r="B391" s="120" t="e">
        <v>#N/A</v>
      </c>
      <c r="C391" s="78" t="e">
        <v>#N/A</v>
      </c>
      <c r="D391" s="78" t="e">
        <v>#N/A</v>
      </c>
      <c r="E391" s="120" t="e">
        <v>#N/A</v>
      </c>
      <c r="F391" s="78" t="e">
        <v>#N/A</v>
      </c>
      <c r="G391" s="78" t="e">
        <v>#N/A</v>
      </c>
    </row>
    <row r="392" customFormat="false" ht="15.75" hidden="false" customHeight="false" outlineLevel="0" collapsed="false">
      <c r="A392" s="78" t="e">
        <v>#N/A</v>
      </c>
      <c r="B392" s="120" t="e">
        <v>#N/A</v>
      </c>
      <c r="C392" s="78" t="e">
        <v>#N/A</v>
      </c>
      <c r="D392" s="78" t="e">
        <v>#N/A</v>
      </c>
      <c r="E392" s="120" t="e">
        <v>#N/A</v>
      </c>
      <c r="F392" s="78" t="e">
        <v>#N/A</v>
      </c>
      <c r="G392" s="78" t="e">
        <v>#N/A</v>
      </c>
    </row>
    <row r="393" customFormat="false" ht="15.75" hidden="false" customHeight="false" outlineLevel="0" collapsed="false">
      <c r="A393" s="120" t="e">
        <v>#N/A</v>
      </c>
      <c r="B393" s="120" t="e">
        <v>#N/A</v>
      </c>
      <c r="C393" s="78" t="e">
        <v>#N/A</v>
      </c>
      <c r="D393" s="78" t="e">
        <v>#N/A</v>
      </c>
      <c r="E393" s="120" t="e">
        <v>#N/A</v>
      </c>
      <c r="F393" s="78" t="e">
        <v>#N/A</v>
      </c>
      <c r="G393" s="78" t="e">
        <v>#N/A</v>
      </c>
    </row>
    <row r="394" customFormat="false" ht="15.75" hidden="false" customHeight="false" outlineLevel="0" collapsed="false">
      <c r="A394" s="78" t="e">
        <v>#N/A</v>
      </c>
      <c r="B394" s="120" t="e">
        <v>#N/A</v>
      </c>
      <c r="C394" s="78" t="e">
        <v>#N/A</v>
      </c>
      <c r="D394" s="78" t="e">
        <v>#N/A</v>
      </c>
      <c r="E394" s="120" t="e">
        <v>#N/A</v>
      </c>
      <c r="F394" s="78" t="e">
        <v>#N/A</v>
      </c>
      <c r="G394" s="78" t="e">
        <v>#N/A</v>
      </c>
    </row>
    <row r="395" customFormat="false" ht="15.75" hidden="false" customHeight="false" outlineLevel="0" collapsed="false">
      <c r="A395" s="78" t="e">
        <v>#N/A</v>
      </c>
      <c r="B395" s="120" t="e">
        <v>#N/A</v>
      </c>
      <c r="C395" s="78" t="e">
        <v>#N/A</v>
      </c>
      <c r="D395" s="78" t="e">
        <v>#N/A</v>
      </c>
      <c r="E395" s="120" t="e">
        <v>#N/A</v>
      </c>
      <c r="F395" s="78" t="e">
        <v>#N/A</v>
      </c>
      <c r="G395" s="78" t="e">
        <v>#N/A</v>
      </c>
    </row>
    <row r="396" customFormat="false" ht="15.75" hidden="false" customHeight="false" outlineLevel="0" collapsed="false">
      <c r="A396" s="78" t="e">
        <v>#N/A</v>
      </c>
      <c r="B396" s="120" t="e">
        <v>#N/A</v>
      </c>
      <c r="C396" s="78" t="e">
        <v>#N/A</v>
      </c>
      <c r="D396" s="78" t="e">
        <v>#N/A</v>
      </c>
      <c r="E396" s="120" t="e">
        <v>#N/A</v>
      </c>
      <c r="F396" s="78" t="e">
        <v>#N/A</v>
      </c>
      <c r="G396" s="78" t="e">
        <v>#N/A</v>
      </c>
    </row>
    <row r="397" customFormat="false" ht="15.75" hidden="false" customHeight="false" outlineLevel="0" collapsed="false">
      <c r="A397" s="78" t="e">
        <v>#N/A</v>
      </c>
      <c r="B397" s="120" t="e">
        <v>#N/A</v>
      </c>
      <c r="C397" s="78" t="e">
        <v>#N/A</v>
      </c>
      <c r="D397" s="78" t="e">
        <v>#N/A</v>
      </c>
      <c r="E397" s="120" t="e">
        <v>#N/A</v>
      </c>
      <c r="F397" s="78" t="e">
        <v>#N/A</v>
      </c>
      <c r="G397" s="78" t="e">
        <v>#N/A</v>
      </c>
    </row>
    <row r="398" customFormat="false" ht="15.75" hidden="false" customHeight="false" outlineLevel="0" collapsed="false">
      <c r="A398" s="78" t="e">
        <v>#N/A</v>
      </c>
      <c r="B398" s="120" t="e">
        <v>#N/A</v>
      </c>
      <c r="C398" s="78" t="e">
        <v>#N/A</v>
      </c>
      <c r="D398" s="78" t="e">
        <v>#N/A</v>
      </c>
      <c r="E398" s="120" t="e">
        <v>#N/A</v>
      </c>
      <c r="F398" s="78" t="e">
        <v>#N/A</v>
      </c>
      <c r="G398" s="78" t="e">
        <v>#N/A</v>
      </c>
    </row>
    <row r="399" customFormat="false" ht="15.75" hidden="false" customHeight="false" outlineLevel="0" collapsed="false">
      <c r="A399" s="78" t="e">
        <v>#N/A</v>
      </c>
      <c r="B399" s="120" t="e">
        <v>#N/A</v>
      </c>
      <c r="C399" s="78" t="e">
        <v>#N/A</v>
      </c>
      <c r="D399" s="78" t="e">
        <v>#N/A</v>
      </c>
      <c r="E399" s="120" t="e">
        <v>#N/A</v>
      </c>
      <c r="F399" s="78" t="e">
        <v>#N/A</v>
      </c>
      <c r="G399" s="78" t="e">
        <v>#N/A</v>
      </c>
    </row>
    <row r="400" customFormat="false" ht="15.75" hidden="false" customHeight="false" outlineLevel="0" collapsed="false">
      <c r="A400" s="78" t="e">
        <v>#N/A</v>
      </c>
      <c r="B400" s="120" t="e">
        <v>#N/A</v>
      </c>
      <c r="C400" s="78" t="e">
        <v>#N/A</v>
      </c>
      <c r="D400" s="78" t="e">
        <v>#N/A</v>
      </c>
      <c r="E400" s="120" t="e">
        <v>#N/A</v>
      </c>
      <c r="F400" s="78" t="e">
        <v>#N/A</v>
      </c>
      <c r="G400" s="78" t="e">
        <v>#N/A</v>
      </c>
    </row>
    <row r="401" customFormat="false" ht="15.75" hidden="false" customHeight="false" outlineLevel="0" collapsed="false">
      <c r="A401" s="78" t="e">
        <v>#N/A</v>
      </c>
      <c r="B401" s="120" t="e">
        <v>#N/A</v>
      </c>
      <c r="C401" s="78" t="e">
        <v>#N/A</v>
      </c>
      <c r="D401" s="78" t="e">
        <v>#N/A</v>
      </c>
      <c r="E401" s="120" t="e">
        <v>#N/A</v>
      </c>
      <c r="F401" s="78" t="e">
        <v>#N/A</v>
      </c>
      <c r="G401" s="78" t="e">
        <v>#N/A</v>
      </c>
    </row>
    <row r="402" customFormat="false" ht="15.75" hidden="false" customHeight="false" outlineLevel="0" collapsed="false">
      <c r="A402" s="78" t="e">
        <v>#N/A</v>
      </c>
      <c r="B402" s="120" t="e">
        <v>#N/A</v>
      </c>
      <c r="C402" s="78" t="e">
        <v>#N/A</v>
      </c>
      <c r="D402" s="78" t="e">
        <v>#N/A</v>
      </c>
      <c r="E402" s="120" t="e">
        <v>#N/A</v>
      </c>
      <c r="F402" s="78" t="e">
        <v>#N/A</v>
      </c>
      <c r="G402" s="78" t="e">
        <v>#N/A</v>
      </c>
    </row>
    <row r="403" customFormat="false" ht="15.75" hidden="false" customHeight="false" outlineLevel="0" collapsed="false">
      <c r="A403" s="120" t="e">
        <v>#N/A</v>
      </c>
      <c r="B403" s="120" t="e">
        <v>#N/A</v>
      </c>
      <c r="C403" s="78" t="e">
        <v>#N/A</v>
      </c>
      <c r="D403" s="78" t="e">
        <v>#N/A</v>
      </c>
      <c r="E403" s="120" t="e">
        <v>#N/A</v>
      </c>
      <c r="F403" s="78" t="e">
        <v>#N/A</v>
      </c>
      <c r="G403" s="78" t="e">
        <v>#N/A</v>
      </c>
    </row>
    <row r="404" customFormat="false" ht="15.75" hidden="false" customHeight="false" outlineLevel="0" collapsed="false">
      <c r="A404" s="78" t="e">
        <v>#N/A</v>
      </c>
      <c r="B404" s="120" t="e">
        <v>#N/A</v>
      </c>
      <c r="C404" s="78" t="e">
        <v>#N/A</v>
      </c>
      <c r="D404" s="78" t="e">
        <v>#N/A</v>
      </c>
      <c r="E404" s="120" t="e">
        <v>#N/A</v>
      </c>
      <c r="F404" s="78" t="e">
        <v>#N/A</v>
      </c>
      <c r="G404" s="78" t="e">
        <v>#N/A</v>
      </c>
    </row>
    <row r="405" customFormat="false" ht="15.75" hidden="false" customHeight="false" outlineLevel="0" collapsed="false">
      <c r="A405" s="78" t="e">
        <v>#N/A</v>
      </c>
      <c r="B405" s="120" t="e">
        <v>#N/A</v>
      </c>
      <c r="C405" s="78" t="e">
        <v>#N/A</v>
      </c>
      <c r="D405" s="78" t="e">
        <v>#N/A</v>
      </c>
      <c r="E405" s="120" t="e">
        <v>#N/A</v>
      </c>
      <c r="F405" s="78" t="e">
        <v>#N/A</v>
      </c>
      <c r="G405" s="78" t="e">
        <v>#N/A</v>
      </c>
    </row>
    <row r="406" customFormat="false" ht="15.75" hidden="false" customHeight="false" outlineLevel="0" collapsed="false">
      <c r="A406" s="78" t="e">
        <v>#N/A</v>
      </c>
      <c r="B406" s="120" t="e">
        <v>#N/A</v>
      </c>
      <c r="C406" s="78" t="e">
        <v>#N/A</v>
      </c>
      <c r="D406" s="78" t="e">
        <v>#N/A</v>
      </c>
      <c r="E406" s="120" t="e">
        <v>#N/A</v>
      </c>
      <c r="F406" s="78" t="e">
        <v>#N/A</v>
      </c>
      <c r="G406" s="78" t="e">
        <v>#N/A</v>
      </c>
    </row>
    <row r="407" customFormat="false" ht="15.75" hidden="false" customHeight="false" outlineLevel="0" collapsed="false">
      <c r="A407" s="78" t="e">
        <v>#N/A</v>
      </c>
      <c r="B407" s="120" t="e">
        <v>#N/A</v>
      </c>
      <c r="C407" s="78" t="e">
        <v>#N/A</v>
      </c>
      <c r="D407" s="78" t="e">
        <v>#N/A</v>
      </c>
      <c r="E407" s="120" t="e">
        <v>#N/A</v>
      </c>
      <c r="F407" s="78" t="e">
        <v>#N/A</v>
      </c>
      <c r="G407" s="78" t="e">
        <v>#N/A</v>
      </c>
    </row>
    <row r="408" customFormat="false" ht="15.75" hidden="false" customHeight="false" outlineLevel="0" collapsed="false">
      <c r="A408" s="78" t="e">
        <v>#N/A</v>
      </c>
      <c r="B408" s="120" t="e">
        <v>#N/A</v>
      </c>
      <c r="C408" s="78" t="e">
        <v>#N/A</v>
      </c>
      <c r="D408" s="78" t="e">
        <v>#N/A</v>
      </c>
      <c r="E408" s="120" t="e">
        <v>#N/A</v>
      </c>
      <c r="F408" s="78" t="e">
        <v>#N/A</v>
      </c>
      <c r="G408" s="78" t="e">
        <v>#N/A</v>
      </c>
    </row>
    <row r="409" customFormat="false" ht="15.75" hidden="false" customHeight="false" outlineLevel="0" collapsed="false">
      <c r="A409" s="78" t="e">
        <v>#N/A</v>
      </c>
      <c r="B409" s="120" t="e">
        <v>#N/A</v>
      </c>
      <c r="C409" s="78" t="e">
        <v>#N/A</v>
      </c>
      <c r="D409" s="78" t="e">
        <v>#N/A</v>
      </c>
      <c r="E409" s="120" t="e">
        <v>#N/A</v>
      </c>
      <c r="F409" s="78" t="e">
        <v>#N/A</v>
      </c>
      <c r="G409" s="78" t="e">
        <v>#N/A</v>
      </c>
    </row>
    <row r="410" customFormat="false" ht="15.75" hidden="false" customHeight="false" outlineLevel="0" collapsed="false">
      <c r="A410" s="78" t="e">
        <v>#N/A</v>
      </c>
      <c r="B410" s="120" t="e">
        <v>#N/A</v>
      </c>
      <c r="C410" s="78" t="e">
        <v>#N/A</v>
      </c>
      <c r="D410" s="78" t="e">
        <v>#N/A</v>
      </c>
      <c r="E410" s="120" t="e">
        <v>#N/A</v>
      </c>
      <c r="F410" s="78" t="e">
        <v>#N/A</v>
      </c>
      <c r="G410" s="78" t="e">
        <v>#N/A</v>
      </c>
    </row>
    <row r="411" customFormat="false" ht="15.75" hidden="false" customHeight="false" outlineLevel="0" collapsed="false">
      <c r="A411" s="78" t="e">
        <v>#N/A</v>
      </c>
      <c r="B411" s="120" t="e">
        <v>#N/A</v>
      </c>
      <c r="C411" s="78" t="e">
        <v>#N/A</v>
      </c>
      <c r="D411" s="78" t="e">
        <v>#N/A</v>
      </c>
      <c r="E411" s="120" t="e">
        <v>#N/A</v>
      </c>
      <c r="F411" s="78" t="e">
        <v>#N/A</v>
      </c>
      <c r="G411" s="78" t="e">
        <v>#N/A</v>
      </c>
    </row>
    <row r="412" customFormat="false" ht="15.75" hidden="false" customHeight="false" outlineLevel="0" collapsed="false">
      <c r="A412" s="78" t="e">
        <v>#N/A</v>
      </c>
      <c r="B412" s="120" t="e">
        <v>#N/A</v>
      </c>
      <c r="C412" s="78" t="e">
        <v>#N/A</v>
      </c>
      <c r="D412" s="78" t="e">
        <v>#N/A</v>
      </c>
      <c r="E412" s="120" t="e">
        <v>#N/A</v>
      </c>
      <c r="F412" s="78" t="e">
        <v>#N/A</v>
      </c>
      <c r="G412" s="78" t="e">
        <v>#N/A</v>
      </c>
    </row>
    <row r="413" customFormat="false" ht="15.75" hidden="false" customHeight="false" outlineLevel="0" collapsed="false">
      <c r="A413" s="120" t="e">
        <v>#N/A</v>
      </c>
      <c r="B413" s="120" t="e">
        <v>#N/A</v>
      </c>
      <c r="C413" s="78" t="e">
        <v>#N/A</v>
      </c>
      <c r="D413" s="78" t="e">
        <v>#N/A</v>
      </c>
      <c r="E413" s="120" t="e">
        <v>#N/A</v>
      </c>
      <c r="F413" s="78" t="e">
        <v>#N/A</v>
      </c>
      <c r="G413" s="78" t="e">
        <v>#N/A</v>
      </c>
    </row>
    <row r="414" customFormat="false" ht="15.75" hidden="false" customHeight="false" outlineLevel="0" collapsed="false">
      <c r="A414" s="78" t="e">
        <v>#N/A</v>
      </c>
      <c r="B414" s="120" t="e">
        <v>#N/A</v>
      </c>
      <c r="C414" s="78" t="e">
        <v>#N/A</v>
      </c>
      <c r="D414" s="78" t="e">
        <v>#N/A</v>
      </c>
      <c r="E414" s="120" t="e">
        <v>#N/A</v>
      </c>
      <c r="F414" s="78" t="e">
        <v>#N/A</v>
      </c>
      <c r="G414" s="78" t="e">
        <v>#N/A</v>
      </c>
    </row>
    <row r="415" customFormat="false" ht="15.75" hidden="false" customHeight="false" outlineLevel="0" collapsed="false">
      <c r="A415" s="78" t="e">
        <v>#N/A</v>
      </c>
      <c r="B415" s="120" t="e">
        <v>#N/A</v>
      </c>
      <c r="C415" s="78" t="e">
        <v>#N/A</v>
      </c>
      <c r="D415" s="78" t="e">
        <v>#N/A</v>
      </c>
      <c r="E415" s="120" t="e">
        <v>#N/A</v>
      </c>
      <c r="F415" s="78" t="e">
        <v>#N/A</v>
      </c>
      <c r="G415" s="78" t="e">
        <v>#N/A</v>
      </c>
    </row>
    <row r="416" customFormat="false" ht="15.75" hidden="false" customHeight="false" outlineLevel="0" collapsed="false">
      <c r="A416" s="78" t="e">
        <v>#N/A</v>
      </c>
      <c r="B416" s="120" t="e">
        <v>#N/A</v>
      </c>
      <c r="C416" s="78" t="e">
        <v>#N/A</v>
      </c>
      <c r="D416" s="78" t="e">
        <v>#N/A</v>
      </c>
      <c r="E416" s="120" t="e">
        <v>#N/A</v>
      </c>
      <c r="F416" s="78" t="e">
        <v>#N/A</v>
      </c>
      <c r="G416" s="78" t="e">
        <v>#N/A</v>
      </c>
    </row>
    <row r="417" customFormat="false" ht="15.75" hidden="false" customHeight="false" outlineLevel="0" collapsed="false">
      <c r="A417" s="78" t="e">
        <v>#N/A</v>
      </c>
      <c r="B417" s="120" t="e">
        <v>#N/A</v>
      </c>
      <c r="C417" s="78" t="e">
        <v>#N/A</v>
      </c>
      <c r="D417" s="78" t="e">
        <v>#N/A</v>
      </c>
      <c r="E417" s="120" t="e">
        <v>#N/A</v>
      </c>
      <c r="F417" s="78" t="e">
        <v>#N/A</v>
      </c>
      <c r="G417" s="78" t="e">
        <v>#N/A</v>
      </c>
    </row>
    <row r="418" customFormat="false" ht="15.75" hidden="false" customHeight="false" outlineLevel="0" collapsed="false">
      <c r="A418" s="78" t="e">
        <v>#N/A</v>
      </c>
      <c r="B418" s="120" t="e">
        <v>#N/A</v>
      </c>
      <c r="C418" s="78" t="e">
        <v>#N/A</v>
      </c>
      <c r="D418" s="78" t="e">
        <v>#N/A</v>
      </c>
      <c r="E418" s="120" t="e">
        <v>#N/A</v>
      </c>
      <c r="F418" s="78" t="e">
        <v>#N/A</v>
      </c>
      <c r="G418" s="78" t="e">
        <v>#N/A</v>
      </c>
    </row>
    <row r="419" customFormat="false" ht="15.75" hidden="false" customHeight="false" outlineLevel="0" collapsed="false">
      <c r="A419" s="78" t="e">
        <v>#N/A</v>
      </c>
      <c r="B419" s="120" t="e">
        <v>#N/A</v>
      </c>
      <c r="C419" s="78" t="e">
        <v>#N/A</v>
      </c>
      <c r="D419" s="78" t="e">
        <v>#N/A</v>
      </c>
      <c r="E419" s="120" t="e">
        <v>#N/A</v>
      </c>
      <c r="F419" s="78" t="e">
        <v>#N/A</v>
      </c>
      <c r="G419" s="78" t="e">
        <v>#N/A</v>
      </c>
    </row>
    <row r="420" customFormat="false" ht="15.75" hidden="false" customHeight="false" outlineLevel="0" collapsed="false">
      <c r="A420" s="78" t="e">
        <v>#N/A</v>
      </c>
      <c r="B420" s="120" t="e">
        <v>#N/A</v>
      </c>
      <c r="C420" s="78" t="e">
        <v>#N/A</v>
      </c>
      <c r="D420" s="78" t="e">
        <v>#N/A</v>
      </c>
      <c r="E420" s="120" t="e">
        <v>#N/A</v>
      </c>
      <c r="F420" s="78" t="e">
        <v>#N/A</v>
      </c>
      <c r="G420" s="78" t="e">
        <v>#N/A</v>
      </c>
    </row>
    <row r="421" customFormat="false" ht="15.75" hidden="false" customHeight="false" outlineLevel="0" collapsed="false">
      <c r="A421" s="78" t="e">
        <v>#N/A</v>
      </c>
      <c r="B421" s="120" t="e">
        <v>#N/A</v>
      </c>
      <c r="C421" s="78" t="e">
        <v>#N/A</v>
      </c>
      <c r="D421" s="78" t="e">
        <v>#N/A</v>
      </c>
      <c r="E421" s="120" t="e">
        <v>#N/A</v>
      </c>
      <c r="F421" s="78" t="e">
        <v>#N/A</v>
      </c>
      <c r="G421" s="78" t="e">
        <v>#N/A</v>
      </c>
    </row>
    <row r="422" customFormat="false" ht="15.75" hidden="false" customHeight="false" outlineLevel="0" collapsed="false">
      <c r="A422" s="78" t="e">
        <v>#N/A</v>
      </c>
      <c r="B422" s="120" t="e">
        <v>#N/A</v>
      </c>
      <c r="C422" s="78" t="e">
        <v>#N/A</v>
      </c>
      <c r="D422" s="78" t="e">
        <v>#N/A</v>
      </c>
      <c r="E422" s="120" t="e">
        <v>#N/A</v>
      </c>
      <c r="F422" s="78" t="e">
        <v>#N/A</v>
      </c>
      <c r="G422" s="78" t="e">
        <v>#N/A</v>
      </c>
    </row>
    <row r="423" customFormat="false" ht="15.75" hidden="false" customHeight="false" outlineLevel="0" collapsed="false">
      <c r="A423" s="78" t="e">
        <v>#N/A</v>
      </c>
      <c r="B423" s="120" t="e">
        <v>#N/A</v>
      </c>
      <c r="C423" s="78" t="e">
        <v>#N/A</v>
      </c>
      <c r="D423" s="78" t="e">
        <v>#N/A</v>
      </c>
      <c r="E423" s="120" t="e">
        <v>#N/A</v>
      </c>
      <c r="F423" s="78" t="e">
        <v>#N/A</v>
      </c>
      <c r="G423" s="78" t="e">
        <v>#N/A</v>
      </c>
    </row>
    <row r="424" customFormat="false" ht="15.75" hidden="false" customHeight="false" outlineLevel="0" collapsed="false">
      <c r="A424" s="78" t="e">
        <v>#N/A</v>
      </c>
      <c r="B424" s="120" t="e">
        <v>#N/A</v>
      </c>
      <c r="C424" s="78" t="e">
        <v>#N/A</v>
      </c>
      <c r="D424" s="78" t="e">
        <v>#N/A</v>
      </c>
      <c r="E424" s="120" t="e">
        <v>#N/A</v>
      </c>
      <c r="F424" s="78" t="e">
        <v>#N/A</v>
      </c>
      <c r="G424" s="78" t="e">
        <v>#N/A</v>
      </c>
    </row>
    <row r="425" customFormat="false" ht="15.75" hidden="false" customHeight="false" outlineLevel="0" collapsed="false">
      <c r="A425" s="78" t="e">
        <v>#N/A</v>
      </c>
      <c r="B425" s="120" t="e">
        <v>#N/A</v>
      </c>
      <c r="C425" s="78" t="e">
        <v>#N/A</v>
      </c>
      <c r="D425" s="78" t="e">
        <v>#N/A</v>
      </c>
      <c r="E425" s="120" t="e">
        <v>#N/A</v>
      </c>
      <c r="F425" s="78" t="e">
        <v>#N/A</v>
      </c>
      <c r="G425" s="78" t="e">
        <v>#N/A</v>
      </c>
    </row>
    <row r="426" customFormat="false" ht="15.75" hidden="false" customHeight="false" outlineLevel="0" collapsed="false">
      <c r="A426" s="78" t="e">
        <v>#N/A</v>
      </c>
      <c r="B426" s="120" t="e">
        <v>#N/A</v>
      </c>
      <c r="C426" s="78" t="e">
        <v>#N/A</v>
      </c>
      <c r="D426" s="78" t="e">
        <v>#N/A</v>
      </c>
      <c r="E426" s="120" t="e">
        <v>#N/A</v>
      </c>
      <c r="F426" s="78" t="e">
        <v>#N/A</v>
      </c>
      <c r="G426" s="78" t="e">
        <v>#N/A</v>
      </c>
    </row>
    <row r="427" customFormat="false" ht="15.75" hidden="false" customHeight="false" outlineLevel="0" collapsed="false">
      <c r="A427" s="78" t="e">
        <v>#N/A</v>
      </c>
      <c r="B427" s="120" t="e">
        <v>#N/A</v>
      </c>
      <c r="C427" s="78" t="e">
        <v>#N/A</v>
      </c>
      <c r="D427" s="78" t="e">
        <v>#N/A</v>
      </c>
      <c r="E427" s="120" t="e">
        <v>#N/A</v>
      </c>
      <c r="F427" s="78" t="e">
        <v>#N/A</v>
      </c>
      <c r="G427" s="78" t="e">
        <v>#N/A</v>
      </c>
    </row>
    <row r="428" customFormat="false" ht="15.75" hidden="false" customHeight="false" outlineLevel="0" collapsed="false">
      <c r="A428" s="78" t="e">
        <v>#N/A</v>
      </c>
      <c r="B428" s="120" t="e">
        <v>#N/A</v>
      </c>
      <c r="C428" s="78" t="e">
        <v>#N/A</v>
      </c>
      <c r="D428" s="78" t="e">
        <v>#N/A</v>
      </c>
      <c r="E428" s="120" t="e">
        <v>#N/A</v>
      </c>
      <c r="F428" s="78" t="e">
        <v>#N/A</v>
      </c>
      <c r="G428" s="78" t="e">
        <v>#N/A</v>
      </c>
    </row>
    <row r="429" customFormat="false" ht="15.75" hidden="false" customHeight="false" outlineLevel="0" collapsed="false">
      <c r="A429" s="78" t="e">
        <v>#N/A</v>
      </c>
      <c r="B429" s="120" t="e">
        <v>#N/A</v>
      </c>
      <c r="C429" s="78" t="e">
        <v>#N/A</v>
      </c>
      <c r="D429" s="78" t="e">
        <v>#N/A</v>
      </c>
      <c r="E429" s="120" t="e">
        <v>#N/A</v>
      </c>
      <c r="F429" s="78" t="e">
        <v>#N/A</v>
      </c>
      <c r="G429" s="78" t="e">
        <v>#N/A</v>
      </c>
    </row>
    <row r="430" customFormat="false" ht="15.75" hidden="false" customHeight="false" outlineLevel="0" collapsed="false">
      <c r="A430" s="78" t="e">
        <v>#N/A</v>
      </c>
      <c r="B430" s="120" t="e">
        <v>#N/A</v>
      </c>
      <c r="C430" s="78" t="e">
        <v>#N/A</v>
      </c>
      <c r="D430" s="78" t="e">
        <v>#N/A</v>
      </c>
      <c r="E430" s="120" t="e">
        <v>#N/A</v>
      </c>
      <c r="F430" s="78" t="e">
        <v>#N/A</v>
      </c>
      <c r="G430" s="78" t="e">
        <v>#N/A</v>
      </c>
    </row>
    <row r="431" customFormat="false" ht="15.75" hidden="false" customHeight="false" outlineLevel="0" collapsed="false">
      <c r="A431" s="78" t="e">
        <v>#N/A</v>
      </c>
      <c r="B431" s="120" t="e">
        <v>#N/A</v>
      </c>
      <c r="C431" s="78" t="e">
        <v>#N/A</v>
      </c>
      <c r="D431" s="78" t="e">
        <v>#N/A</v>
      </c>
      <c r="E431" s="120" t="e">
        <v>#N/A</v>
      </c>
      <c r="F431" s="78" t="e">
        <v>#N/A</v>
      </c>
      <c r="G431" s="78" t="e">
        <v>#N/A</v>
      </c>
    </row>
    <row r="432" customFormat="false" ht="15.75" hidden="false" customHeight="false" outlineLevel="0" collapsed="false">
      <c r="A432" s="78" t="e">
        <v>#N/A</v>
      </c>
      <c r="B432" s="120" t="e">
        <v>#N/A</v>
      </c>
      <c r="C432" s="78" t="e">
        <v>#N/A</v>
      </c>
      <c r="D432" s="78" t="e">
        <v>#N/A</v>
      </c>
      <c r="E432" s="120" t="e">
        <v>#N/A</v>
      </c>
      <c r="F432" s="78" t="e">
        <v>#N/A</v>
      </c>
      <c r="G432" s="78" t="e">
        <v>#N/A</v>
      </c>
    </row>
    <row r="433" customFormat="false" ht="15.75" hidden="false" customHeight="false" outlineLevel="0" collapsed="false">
      <c r="A433" s="78" t="e">
        <v>#N/A</v>
      </c>
      <c r="B433" s="120" t="e">
        <v>#N/A</v>
      </c>
      <c r="C433" s="78" t="e">
        <v>#N/A</v>
      </c>
      <c r="D433" s="78" t="e">
        <v>#N/A</v>
      </c>
      <c r="E433" s="120" t="e">
        <v>#N/A</v>
      </c>
      <c r="F433" s="78" t="e">
        <v>#N/A</v>
      </c>
      <c r="G433" s="78" t="e">
        <v>#N/A</v>
      </c>
    </row>
    <row r="434" customFormat="false" ht="15.75" hidden="false" customHeight="false" outlineLevel="0" collapsed="false">
      <c r="A434" s="78" t="e">
        <v>#N/A</v>
      </c>
      <c r="B434" s="120" t="e">
        <v>#N/A</v>
      </c>
      <c r="C434" s="78" t="e">
        <v>#N/A</v>
      </c>
      <c r="D434" s="78" t="e">
        <v>#N/A</v>
      </c>
      <c r="E434" s="120" t="e">
        <v>#N/A</v>
      </c>
      <c r="F434" s="78" t="e">
        <v>#N/A</v>
      </c>
      <c r="G434" s="78" t="e">
        <v>#N/A</v>
      </c>
    </row>
    <row r="435" customFormat="false" ht="15.75" hidden="false" customHeight="false" outlineLevel="0" collapsed="false">
      <c r="A435" s="78" t="e">
        <v>#N/A</v>
      </c>
      <c r="B435" s="120" t="e">
        <v>#N/A</v>
      </c>
      <c r="C435" s="78" t="e">
        <v>#N/A</v>
      </c>
      <c r="D435" s="78" t="e">
        <v>#N/A</v>
      </c>
      <c r="E435" s="120" t="e">
        <v>#N/A</v>
      </c>
      <c r="F435" s="78" t="e">
        <v>#N/A</v>
      </c>
      <c r="G435" s="78" t="e">
        <v>#N/A</v>
      </c>
    </row>
    <row r="436" customFormat="false" ht="15.75" hidden="false" customHeight="false" outlineLevel="0" collapsed="false">
      <c r="A436" s="78" t="e">
        <v>#N/A</v>
      </c>
      <c r="B436" s="120" t="e">
        <v>#N/A</v>
      </c>
      <c r="C436" s="78" t="e">
        <v>#N/A</v>
      </c>
      <c r="D436" s="78" t="e">
        <v>#N/A</v>
      </c>
      <c r="E436" s="120" t="e">
        <v>#N/A</v>
      </c>
      <c r="F436" s="78" t="e">
        <v>#N/A</v>
      </c>
      <c r="G436" s="78" t="e">
        <v>#N/A</v>
      </c>
    </row>
    <row r="437" customFormat="false" ht="15.75" hidden="false" customHeight="false" outlineLevel="0" collapsed="false">
      <c r="A437" s="78" t="e">
        <v>#N/A</v>
      </c>
      <c r="B437" s="120" t="e">
        <v>#N/A</v>
      </c>
      <c r="C437" s="78" t="e">
        <v>#N/A</v>
      </c>
      <c r="D437" s="78" t="e">
        <v>#N/A</v>
      </c>
      <c r="E437" s="120" t="e">
        <v>#N/A</v>
      </c>
      <c r="F437" s="78" t="e">
        <v>#N/A</v>
      </c>
      <c r="G437" s="78" t="e">
        <v>#N/A</v>
      </c>
    </row>
    <row r="438" customFormat="false" ht="15.75" hidden="false" customHeight="false" outlineLevel="0" collapsed="false">
      <c r="A438" s="78" t="e">
        <v>#N/A</v>
      </c>
      <c r="B438" s="120" t="e">
        <v>#N/A</v>
      </c>
      <c r="C438" s="78" t="e">
        <v>#N/A</v>
      </c>
      <c r="D438" s="78" t="e">
        <v>#N/A</v>
      </c>
      <c r="E438" s="120" t="e">
        <v>#N/A</v>
      </c>
      <c r="F438" s="78" t="e">
        <v>#N/A</v>
      </c>
      <c r="G438" s="78" t="e">
        <v>#N/A</v>
      </c>
    </row>
    <row r="439" customFormat="false" ht="15.75" hidden="false" customHeight="false" outlineLevel="0" collapsed="false">
      <c r="A439" s="78" t="e">
        <v>#N/A</v>
      </c>
      <c r="B439" s="120" t="e">
        <v>#N/A</v>
      </c>
      <c r="C439" s="78" t="e">
        <v>#N/A</v>
      </c>
      <c r="D439" s="78" t="e">
        <v>#N/A</v>
      </c>
      <c r="E439" s="120" t="e">
        <v>#N/A</v>
      </c>
      <c r="F439" s="78" t="e">
        <v>#N/A</v>
      </c>
      <c r="G439" s="78" t="e">
        <v>#N/A</v>
      </c>
    </row>
    <row r="440" customFormat="false" ht="15.75" hidden="false" customHeight="false" outlineLevel="0" collapsed="false">
      <c r="A440" s="78" t="e">
        <v>#N/A</v>
      </c>
      <c r="B440" s="120" t="e">
        <v>#N/A</v>
      </c>
      <c r="C440" s="78" t="e">
        <v>#N/A</v>
      </c>
      <c r="D440" s="78" t="e">
        <v>#N/A</v>
      </c>
      <c r="E440" s="120" t="e">
        <v>#N/A</v>
      </c>
      <c r="F440" s="78" t="e">
        <v>#N/A</v>
      </c>
      <c r="G440" s="78" t="e">
        <v>#N/A</v>
      </c>
    </row>
    <row r="441" customFormat="false" ht="15.75" hidden="false" customHeight="false" outlineLevel="0" collapsed="false">
      <c r="A441" s="78" t="e">
        <v>#N/A</v>
      </c>
      <c r="B441" s="120" t="e">
        <v>#N/A</v>
      </c>
      <c r="C441" s="78" t="e">
        <v>#N/A</v>
      </c>
      <c r="D441" s="78" t="e">
        <v>#N/A</v>
      </c>
      <c r="E441" s="120" t="e">
        <v>#N/A</v>
      </c>
      <c r="F441" s="78" t="e">
        <v>#N/A</v>
      </c>
      <c r="G441" s="78" t="e">
        <v>#N/A</v>
      </c>
    </row>
    <row r="442" customFormat="false" ht="15.75" hidden="false" customHeight="false" outlineLevel="0" collapsed="false">
      <c r="A442" s="78" t="e">
        <v>#N/A</v>
      </c>
      <c r="B442" s="120" t="e">
        <v>#N/A</v>
      </c>
      <c r="C442" s="78" t="e">
        <v>#N/A</v>
      </c>
      <c r="D442" s="78" t="e">
        <v>#N/A</v>
      </c>
      <c r="E442" s="120" t="e">
        <v>#N/A</v>
      </c>
      <c r="F442" s="78" t="e">
        <v>#N/A</v>
      </c>
      <c r="G442" s="78" t="e">
        <v>#N/A</v>
      </c>
    </row>
    <row r="443" customFormat="false" ht="15.75" hidden="false" customHeight="false" outlineLevel="0" collapsed="false">
      <c r="A443" s="78" t="e">
        <v>#N/A</v>
      </c>
      <c r="B443" s="120" t="e">
        <v>#N/A</v>
      </c>
      <c r="C443" s="78" t="e">
        <v>#N/A</v>
      </c>
      <c r="D443" s="78" t="e">
        <v>#N/A</v>
      </c>
      <c r="E443" s="120" t="e">
        <v>#N/A</v>
      </c>
      <c r="F443" s="78" t="e">
        <v>#N/A</v>
      </c>
      <c r="G443" s="78" t="e">
        <v>#N/A</v>
      </c>
    </row>
    <row r="444" customFormat="false" ht="15.75" hidden="false" customHeight="false" outlineLevel="0" collapsed="false">
      <c r="A444" s="78" t="e">
        <v>#N/A</v>
      </c>
      <c r="B444" s="120" t="e">
        <v>#N/A</v>
      </c>
      <c r="C444" s="78" t="e">
        <v>#N/A</v>
      </c>
      <c r="D444" s="78" t="e">
        <v>#N/A</v>
      </c>
      <c r="E444" s="120" t="e">
        <v>#N/A</v>
      </c>
      <c r="F444" s="78" t="e">
        <v>#N/A</v>
      </c>
      <c r="G444" s="78" t="e">
        <v>#N/A</v>
      </c>
    </row>
    <row r="445" customFormat="false" ht="15.75" hidden="false" customHeight="false" outlineLevel="0" collapsed="false">
      <c r="A445" s="78" t="e">
        <v>#N/A</v>
      </c>
      <c r="B445" s="120" t="e">
        <v>#N/A</v>
      </c>
      <c r="C445" s="78" t="e">
        <v>#N/A</v>
      </c>
      <c r="D445" s="78" t="e">
        <v>#N/A</v>
      </c>
      <c r="E445" s="120" t="e">
        <v>#N/A</v>
      </c>
      <c r="F445" s="78" t="e">
        <v>#N/A</v>
      </c>
      <c r="G445" s="78" t="e">
        <v>#N/A</v>
      </c>
    </row>
    <row r="446" customFormat="false" ht="15.75" hidden="false" customHeight="false" outlineLevel="0" collapsed="false">
      <c r="A446" s="78" t="e">
        <v>#N/A</v>
      </c>
      <c r="B446" s="120" t="e">
        <v>#N/A</v>
      </c>
      <c r="C446" s="78" t="e">
        <v>#N/A</v>
      </c>
      <c r="D446" s="78" t="e">
        <v>#N/A</v>
      </c>
      <c r="E446" s="120" t="e">
        <v>#N/A</v>
      </c>
      <c r="F446" s="78" t="e">
        <v>#N/A</v>
      </c>
      <c r="G446" s="78" t="e">
        <v>#N/A</v>
      </c>
    </row>
    <row r="447" customFormat="false" ht="15.75" hidden="false" customHeight="false" outlineLevel="0" collapsed="false">
      <c r="A447" s="78" t="e">
        <v>#N/A</v>
      </c>
      <c r="B447" s="120" t="e">
        <v>#N/A</v>
      </c>
      <c r="C447" s="78" t="e">
        <v>#N/A</v>
      </c>
      <c r="D447" s="78" t="e">
        <v>#N/A</v>
      </c>
      <c r="E447" s="120" t="e">
        <v>#N/A</v>
      </c>
      <c r="F447" s="78" t="e">
        <v>#N/A</v>
      </c>
      <c r="G447" s="78" t="e">
        <v>#N/A</v>
      </c>
    </row>
    <row r="448" customFormat="false" ht="15.75" hidden="false" customHeight="false" outlineLevel="0" collapsed="false">
      <c r="A448" s="78" t="e">
        <v>#N/A</v>
      </c>
      <c r="B448" s="120" t="e">
        <v>#N/A</v>
      </c>
      <c r="C448" s="78" t="e">
        <v>#N/A</v>
      </c>
      <c r="D448" s="78" t="e">
        <v>#N/A</v>
      </c>
      <c r="E448" s="120" t="e">
        <v>#N/A</v>
      </c>
      <c r="F448" s="78" t="e">
        <v>#N/A</v>
      </c>
      <c r="G448" s="78" t="e">
        <v>#N/A</v>
      </c>
    </row>
    <row r="449" customFormat="false" ht="15.75" hidden="false" customHeight="false" outlineLevel="0" collapsed="false">
      <c r="A449" s="78" t="e">
        <v>#N/A</v>
      </c>
      <c r="B449" s="120" t="e">
        <v>#N/A</v>
      </c>
      <c r="C449" s="78" t="e">
        <v>#N/A</v>
      </c>
      <c r="D449" s="78" t="e">
        <v>#N/A</v>
      </c>
      <c r="E449" s="120" t="e">
        <v>#N/A</v>
      </c>
      <c r="F449" s="78" t="e">
        <v>#N/A</v>
      </c>
      <c r="G449" s="78" t="e">
        <v>#N/A</v>
      </c>
    </row>
    <row r="450" customFormat="false" ht="15.75" hidden="false" customHeight="false" outlineLevel="0" collapsed="false">
      <c r="A450" s="78" t="e">
        <v>#N/A</v>
      </c>
      <c r="B450" s="120" t="e">
        <v>#N/A</v>
      </c>
      <c r="C450" s="78" t="e">
        <v>#N/A</v>
      </c>
      <c r="D450" s="78" t="e">
        <v>#N/A</v>
      </c>
      <c r="E450" s="120" t="e">
        <v>#N/A</v>
      </c>
      <c r="F450" s="78" t="e">
        <v>#N/A</v>
      </c>
      <c r="G450" s="78" t="e">
        <v>#N/A</v>
      </c>
    </row>
    <row r="451" customFormat="false" ht="15.75" hidden="false" customHeight="false" outlineLevel="0" collapsed="false">
      <c r="A451" s="78" t="e">
        <v>#N/A</v>
      </c>
      <c r="B451" s="120" t="e">
        <v>#N/A</v>
      </c>
      <c r="C451" s="78" t="e">
        <v>#N/A</v>
      </c>
      <c r="D451" s="78" t="e">
        <v>#N/A</v>
      </c>
      <c r="E451" s="120" t="e">
        <v>#N/A</v>
      </c>
      <c r="F451" s="78" t="e">
        <v>#N/A</v>
      </c>
      <c r="G451" s="78" t="e">
        <v>#N/A</v>
      </c>
    </row>
    <row r="452" customFormat="false" ht="15.75" hidden="false" customHeight="false" outlineLevel="0" collapsed="false">
      <c r="A452" s="78" t="e">
        <v>#N/A</v>
      </c>
      <c r="B452" s="120" t="e">
        <v>#N/A</v>
      </c>
      <c r="C452" s="78" t="e">
        <v>#N/A</v>
      </c>
      <c r="D452" s="78" t="e">
        <v>#N/A</v>
      </c>
      <c r="E452" s="120" t="e">
        <v>#N/A</v>
      </c>
      <c r="F452" s="78" t="e">
        <v>#N/A</v>
      </c>
      <c r="G452" s="78" t="e">
        <v>#N/A</v>
      </c>
    </row>
    <row r="453" customFormat="false" ht="15.75" hidden="false" customHeight="false" outlineLevel="0" collapsed="false">
      <c r="A453" s="78" t="e">
        <v>#N/A</v>
      </c>
      <c r="B453" s="120" t="e">
        <v>#N/A</v>
      </c>
      <c r="C453" s="78" t="e">
        <v>#N/A</v>
      </c>
      <c r="D453" s="78" t="e">
        <v>#N/A</v>
      </c>
      <c r="E453" s="120" t="e">
        <v>#N/A</v>
      </c>
      <c r="F453" s="78" t="e">
        <v>#N/A</v>
      </c>
      <c r="G453" s="78" t="e">
        <v>#N/A</v>
      </c>
    </row>
    <row r="454" customFormat="false" ht="15.75" hidden="false" customHeight="false" outlineLevel="0" collapsed="false">
      <c r="A454" s="78" t="e">
        <v>#N/A</v>
      </c>
      <c r="B454" s="120" t="e">
        <v>#N/A</v>
      </c>
      <c r="C454" s="78" t="e">
        <v>#N/A</v>
      </c>
      <c r="D454" s="78" t="e">
        <v>#N/A</v>
      </c>
      <c r="E454" s="120" t="e">
        <v>#N/A</v>
      </c>
      <c r="F454" s="78" t="e">
        <v>#N/A</v>
      </c>
      <c r="G454" s="78" t="e">
        <v>#N/A</v>
      </c>
    </row>
    <row r="455" customFormat="false" ht="15.75" hidden="false" customHeight="false" outlineLevel="0" collapsed="false">
      <c r="A455" s="78" t="e">
        <v>#N/A</v>
      </c>
      <c r="B455" s="120" t="e">
        <v>#N/A</v>
      </c>
      <c r="C455" s="78" t="e">
        <v>#N/A</v>
      </c>
      <c r="D455" s="78" t="e">
        <v>#N/A</v>
      </c>
      <c r="E455" s="120" t="e">
        <v>#N/A</v>
      </c>
      <c r="F455" s="78" t="e">
        <v>#N/A</v>
      </c>
      <c r="G455" s="78" t="e">
        <v>#N/A</v>
      </c>
    </row>
    <row r="456" customFormat="false" ht="15.75" hidden="false" customHeight="false" outlineLevel="0" collapsed="false">
      <c r="A456" s="78" t="e">
        <v>#N/A</v>
      </c>
      <c r="B456" s="120" t="e">
        <v>#N/A</v>
      </c>
      <c r="C456" s="78" t="e">
        <v>#N/A</v>
      </c>
      <c r="D456" s="78" t="e">
        <v>#N/A</v>
      </c>
      <c r="E456" s="120" t="e">
        <v>#N/A</v>
      </c>
      <c r="F456" s="78" t="e">
        <v>#N/A</v>
      </c>
      <c r="G456" s="78" t="e">
        <v>#N/A</v>
      </c>
    </row>
    <row r="457" customFormat="false" ht="15.75" hidden="false" customHeight="false" outlineLevel="0" collapsed="false">
      <c r="A457" s="78" t="e">
        <v>#N/A</v>
      </c>
      <c r="B457" s="120" t="e">
        <v>#N/A</v>
      </c>
      <c r="C457" s="78" t="e">
        <v>#N/A</v>
      </c>
      <c r="D457" s="78" t="e">
        <v>#N/A</v>
      </c>
      <c r="E457" s="120" t="e">
        <v>#N/A</v>
      </c>
      <c r="F457" s="78" t="e">
        <v>#N/A</v>
      </c>
      <c r="G457" s="78" t="e">
        <v>#N/A</v>
      </c>
    </row>
    <row r="458" customFormat="false" ht="15.75" hidden="false" customHeight="false" outlineLevel="0" collapsed="false">
      <c r="A458" s="78" t="e">
        <v>#N/A</v>
      </c>
      <c r="B458" s="120" t="e">
        <v>#N/A</v>
      </c>
      <c r="C458" s="78" t="e">
        <v>#N/A</v>
      </c>
      <c r="D458" s="78" t="e">
        <v>#N/A</v>
      </c>
      <c r="E458" s="120" t="e">
        <v>#N/A</v>
      </c>
      <c r="F458" s="78" t="e">
        <v>#N/A</v>
      </c>
      <c r="G458" s="78" t="e">
        <v>#N/A</v>
      </c>
    </row>
    <row r="459" customFormat="false" ht="15.75" hidden="false" customHeight="false" outlineLevel="0" collapsed="false">
      <c r="A459" s="78" t="e">
        <v>#N/A</v>
      </c>
      <c r="B459" s="120" t="e">
        <v>#N/A</v>
      </c>
      <c r="C459" s="78" t="e">
        <v>#N/A</v>
      </c>
      <c r="D459" s="78" t="e">
        <v>#N/A</v>
      </c>
      <c r="E459" s="120" t="e">
        <v>#N/A</v>
      </c>
      <c r="F459" s="78" t="e">
        <v>#N/A</v>
      </c>
      <c r="G459" s="78" t="e">
        <v>#N/A</v>
      </c>
    </row>
    <row r="460" customFormat="false" ht="15.75" hidden="false" customHeight="false" outlineLevel="0" collapsed="false">
      <c r="A460" s="78" t="e">
        <v>#N/A</v>
      </c>
      <c r="B460" s="120" t="e">
        <v>#N/A</v>
      </c>
      <c r="C460" s="78" t="e">
        <v>#N/A</v>
      </c>
      <c r="D460" s="78" t="e">
        <v>#N/A</v>
      </c>
      <c r="E460" s="120" t="e">
        <v>#N/A</v>
      </c>
      <c r="F460" s="78" t="e">
        <v>#N/A</v>
      </c>
      <c r="G460" s="78" t="e">
        <v>#N/A</v>
      </c>
    </row>
    <row r="461" customFormat="false" ht="15.75" hidden="false" customHeight="false" outlineLevel="0" collapsed="false">
      <c r="A461" s="78" t="e">
        <v>#N/A</v>
      </c>
      <c r="B461" s="120" t="e">
        <v>#N/A</v>
      </c>
      <c r="C461" s="78" t="e">
        <v>#N/A</v>
      </c>
      <c r="D461" s="78" t="e">
        <v>#N/A</v>
      </c>
      <c r="E461" s="120" t="e">
        <v>#N/A</v>
      </c>
      <c r="F461" s="78" t="e">
        <v>#N/A</v>
      </c>
      <c r="G461" s="78" t="e">
        <v>#N/A</v>
      </c>
    </row>
    <row r="462" customFormat="false" ht="15.75" hidden="false" customHeight="false" outlineLevel="0" collapsed="false">
      <c r="A462" s="78" t="e">
        <v>#N/A</v>
      </c>
      <c r="B462" s="120" t="e">
        <v>#N/A</v>
      </c>
      <c r="C462" s="78" t="e">
        <v>#N/A</v>
      </c>
      <c r="D462" s="78" t="e">
        <v>#N/A</v>
      </c>
      <c r="E462" s="120" t="e">
        <v>#N/A</v>
      </c>
      <c r="F462" s="78" t="e">
        <v>#N/A</v>
      </c>
      <c r="G462" s="78" t="e">
        <v>#N/A</v>
      </c>
    </row>
    <row r="463" customFormat="false" ht="15.75" hidden="false" customHeight="false" outlineLevel="0" collapsed="false">
      <c r="A463" s="78" t="e">
        <v>#N/A</v>
      </c>
      <c r="B463" s="120" t="e">
        <v>#N/A</v>
      </c>
      <c r="C463" s="78" t="e">
        <v>#N/A</v>
      </c>
      <c r="D463" s="78" t="e">
        <v>#N/A</v>
      </c>
      <c r="E463" s="120" t="e">
        <v>#N/A</v>
      </c>
      <c r="F463" s="78" t="e">
        <v>#N/A</v>
      </c>
      <c r="G463" s="78" t="e">
        <v>#N/A</v>
      </c>
    </row>
    <row r="464" customFormat="false" ht="15.75" hidden="false" customHeight="false" outlineLevel="0" collapsed="false">
      <c r="A464" s="78" t="e">
        <v>#N/A</v>
      </c>
      <c r="B464" s="120" t="e">
        <v>#N/A</v>
      </c>
      <c r="C464" s="78" t="e">
        <v>#N/A</v>
      </c>
      <c r="D464" s="78" t="e">
        <v>#N/A</v>
      </c>
      <c r="E464" s="120" t="e">
        <v>#N/A</v>
      </c>
      <c r="F464" s="78" t="e">
        <v>#N/A</v>
      </c>
      <c r="G464" s="78" t="e">
        <v>#N/A</v>
      </c>
    </row>
    <row r="465" customFormat="false" ht="15.75" hidden="false" customHeight="false" outlineLevel="0" collapsed="false">
      <c r="A465" s="78" t="e">
        <v>#N/A</v>
      </c>
      <c r="B465" s="120" t="e">
        <v>#N/A</v>
      </c>
      <c r="C465" s="78" t="e">
        <v>#N/A</v>
      </c>
      <c r="D465" s="78" t="e">
        <v>#N/A</v>
      </c>
      <c r="E465" s="120" t="e">
        <v>#N/A</v>
      </c>
      <c r="F465" s="78" t="e">
        <v>#N/A</v>
      </c>
      <c r="G465" s="78" t="e">
        <v>#N/A</v>
      </c>
    </row>
    <row r="466" customFormat="false" ht="15.75" hidden="false" customHeight="false" outlineLevel="0" collapsed="false">
      <c r="A466" s="78" t="e">
        <v>#N/A</v>
      </c>
      <c r="B466" s="120" t="e">
        <v>#N/A</v>
      </c>
      <c r="C466" s="78" t="e">
        <v>#N/A</v>
      </c>
      <c r="D466" s="78" t="e">
        <v>#N/A</v>
      </c>
      <c r="E466" s="120" t="e">
        <v>#N/A</v>
      </c>
      <c r="F466" s="78" t="e">
        <v>#N/A</v>
      </c>
      <c r="G466" s="78" t="e">
        <v>#N/A</v>
      </c>
    </row>
    <row r="467" customFormat="false" ht="15.75" hidden="false" customHeight="false" outlineLevel="0" collapsed="false">
      <c r="A467" s="78" t="e">
        <v>#N/A</v>
      </c>
      <c r="B467" s="120" t="e">
        <v>#N/A</v>
      </c>
      <c r="C467" s="78" t="e">
        <v>#N/A</v>
      </c>
      <c r="D467" s="78" t="e">
        <v>#N/A</v>
      </c>
      <c r="E467" s="120" t="e">
        <v>#N/A</v>
      </c>
      <c r="F467" s="78" t="e">
        <v>#N/A</v>
      </c>
      <c r="G467" s="78" t="e">
        <v>#N/A</v>
      </c>
    </row>
    <row r="468" customFormat="false" ht="15.75" hidden="false" customHeight="false" outlineLevel="0" collapsed="false">
      <c r="A468" s="78" t="e">
        <v>#N/A</v>
      </c>
      <c r="B468" s="120" t="e">
        <v>#N/A</v>
      </c>
      <c r="C468" s="78" t="e">
        <v>#N/A</v>
      </c>
      <c r="D468" s="78" t="e">
        <v>#N/A</v>
      </c>
      <c r="E468" s="120" t="e">
        <v>#N/A</v>
      </c>
      <c r="F468" s="78" t="e">
        <v>#N/A</v>
      </c>
      <c r="G468" s="78" t="e">
        <v>#N/A</v>
      </c>
    </row>
    <row r="469" customFormat="false" ht="15.75" hidden="false" customHeight="false" outlineLevel="0" collapsed="false">
      <c r="A469" s="78" t="e">
        <v>#N/A</v>
      </c>
      <c r="B469" s="120" t="e">
        <v>#N/A</v>
      </c>
      <c r="C469" s="78" t="e">
        <v>#N/A</v>
      </c>
      <c r="D469" s="78" t="e">
        <v>#N/A</v>
      </c>
      <c r="E469" s="120" t="e">
        <v>#N/A</v>
      </c>
      <c r="F469" s="78" t="e">
        <v>#N/A</v>
      </c>
      <c r="G469" s="78" t="e">
        <v>#N/A</v>
      </c>
    </row>
    <row r="470" customFormat="false" ht="15.75" hidden="false" customHeight="false" outlineLevel="0" collapsed="false">
      <c r="A470" s="78" t="e">
        <v>#N/A</v>
      </c>
      <c r="B470" s="120" t="e">
        <v>#N/A</v>
      </c>
      <c r="C470" s="78" t="e">
        <v>#N/A</v>
      </c>
      <c r="D470" s="78" t="e">
        <v>#N/A</v>
      </c>
      <c r="E470" s="120" t="e">
        <v>#N/A</v>
      </c>
      <c r="F470" s="78" t="e">
        <v>#N/A</v>
      </c>
      <c r="G470" s="78" t="e">
        <v>#N/A</v>
      </c>
    </row>
    <row r="471" customFormat="false" ht="15.75" hidden="false" customHeight="false" outlineLevel="0" collapsed="false">
      <c r="A471" s="78" t="e">
        <v>#N/A</v>
      </c>
      <c r="B471" s="120" t="e">
        <v>#N/A</v>
      </c>
      <c r="C471" s="78" t="e">
        <v>#N/A</v>
      </c>
      <c r="D471" s="78" t="e">
        <v>#N/A</v>
      </c>
      <c r="E471" s="120" t="e">
        <v>#N/A</v>
      </c>
      <c r="F471" s="78" t="e">
        <v>#N/A</v>
      </c>
      <c r="G471" s="78" t="e">
        <v>#N/A</v>
      </c>
    </row>
    <row r="472" customFormat="false" ht="15.75" hidden="false" customHeight="false" outlineLevel="0" collapsed="false">
      <c r="A472" s="78" t="e">
        <v>#N/A</v>
      </c>
      <c r="B472" s="120" t="e">
        <v>#N/A</v>
      </c>
      <c r="C472" s="78" t="e">
        <v>#N/A</v>
      </c>
      <c r="D472" s="78" t="e">
        <v>#N/A</v>
      </c>
      <c r="E472" s="120" t="e">
        <v>#N/A</v>
      </c>
      <c r="F472" s="78" t="e">
        <v>#N/A</v>
      </c>
      <c r="G472" s="78" t="e">
        <v>#N/A</v>
      </c>
    </row>
    <row r="473" customFormat="false" ht="15.75" hidden="false" customHeight="false" outlineLevel="0" collapsed="false">
      <c r="A473" s="78" t="e">
        <v>#N/A</v>
      </c>
      <c r="B473" s="120" t="e">
        <v>#N/A</v>
      </c>
      <c r="C473" s="78" t="e">
        <v>#N/A</v>
      </c>
      <c r="D473" s="78" t="e">
        <v>#N/A</v>
      </c>
      <c r="E473" s="120" t="e">
        <v>#N/A</v>
      </c>
      <c r="F473" s="78" t="e">
        <v>#N/A</v>
      </c>
      <c r="G473" s="78" t="e">
        <v>#N/A</v>
      </c>
    </row>
    <row r="474" customFormat="false" ht="15.75" hidden="false" customHeight="false" outlineLevel="0" collapsed="false">
      <c r="A474" s="78" t="e">
        <v>#N/A</v>
      </c>
      <c r="B474" s="120" t="e">
        <v>#N/A</v>
      </c>
      <c r="C474" s="78" t="e">
        <v>#N/A</v>
      </c>
      <c r="D474" s="78" t="e">
        <v>#N/A</v>
      </c>
      <c r="E474" s="120" t="e">
        <v>#N/A</v>
      </c>
      <c r="F474" s="78" t="e">
        <v>#N/A</v>
      </c>
      <c r="G474" s="78" t="e">
        <v>#N/A</v>
      </c>
    </row>
    <row r="475" customFormat="false" ht="15.75" hidden="false" customHeight="false" outlineLevel="0" collapsed="false">
      <c r="A475" s="78" t="e">
        <v>#N/A</v>
      </c>
      <c r="B475" s="120" t="e">
        <v>#N/A</v>
      </c>
      <c r="C475" s="78" t="e">
        <v>#N/A</v>
      </c>
      <c r="D475" s="78" t="e">
        <v>#N/A</v>
      </c>
      <c r="E475" s="120" t="e">
        <v>#N/A</v>
      </c>
      <c r="F475" s="78" t="e">
        <v>#N/A</v>
      </c>
      <c r="G475" s="78" t="e">
        <v>#N/A</v>
      </c>
    </row>
    <row r="476" customFormat="false" ht="15.75" hidden="false" customHeight="false" outlineLevel="0" collapsed="false">
      <c r="A476" s="78" t="e">
        <v>#N/A</v>
      </c>
      <c r="B476" s="120" t="e">
        <v>#N/A</v>
      </c>
      <c r="C476" s="78" t="e">
        <v>#N/A</v>
      </c>
      <c r="D476" s="78" t="e">
        <v>#N/A</v>
      </c>
      <c r="E476" s="120" t="e">
        <v>#N/A</v>
      </c>
      <c r="F476" s="78" t="e">
        <v>#N/A</v>
      </c>
      <c r="G476" s="78" t="e">
        <v>#N/A</v>
      </c>
    </row>
    <row r="477" customFormat="false" ht="15.75" hidden="false" customHeight="false" outlineLevel="0" collapsed="false">
      <c r="A477" s="78" t="e">
        <v>#N/A</v>
      </c>
      <c r="B477" s="120" t="e">
        <v>#N/A</v>
      </c>
      <c r="C477" s="78" t="e">
        <v>#N/A</v>
      </c>
      <c r="D477" s="78" t="e">
        <v>#N/A</v>
      </c>
      <c r="E477" s="120" t="e">
        <v>#N/A</v>
      </c>
      <c r="F477" s="78" t="e">
        <v>#N/A</v>
      </c>
      <c r="G477" s="78" t="e">
        <v>#N/A</v>
      </c>
    </row>
    <row r="478" customFormat="false" ht="15.75" hidden="false" customHeight="false" outlineLevel="0" collapsed="false">
      <c r="A478" s="78" t="e">
        <v>#N/A</v>
      </c>
      <c r="B478" s="120" t="e">
        <v>#N/A</v>
      </c>
      <c r="C478" s="78" t="e">
        <v>#N/A</v>
      </c>
      <c r="D478" s="78" t="e">
        <v>#N/A</v>
      </c>
      <c r="E478" s="120" t="e">
        <v>#N/A</v>
      </c>
      <c r="F478" s="78" t="e">
        <v>#N/A</v>
      </c>
      <c r="G478" s="78" t="e">
        <v>#N/A</v>
      </c>
    </row>
    <row r="479" customFormat="false" ht="15.75" hidden="false" customHeight="false" outlineLevel="0" collapsed="false">
      <c r="A479" s="78" t="e">
        <v>#N/A</v>
      </c>
      <c r="B479" s="120" t="e">
        <v>#N/A</v>
      </c>
      <c r="C479" s="78" t="e">
        <v>#N/A</v>
      </c>
      <c r="D479" s="78" t="e">
        <v>#N/A</v>
      </c>
      <c r="E479" s="120" t="e">
        <v>#N/A</v>
      </c>
      <c r="F479" s="78" t="e">
        <v>#N/A</v>
      </c>
      <c r="G479" s="78" t="e">
        <v>#N/A</v>
      </c>
    </row>
    <row r="480" customFormat="false" ht="15.75" hidden="false" customHeight="false" outlineLevel="0" collapsed="false">
      <c r="A480" s="78" t="e">
        <v>#N/A</v>
      </c>
      <c r="B480" s="120" t="e">
        <v>#N/A</v>
      </c>
      <c r="C480" s="78" t="e">
        <v>#N/A</v>
      </c>
      <c r="D480" s="78" t="e">
        <v>#N/A</v>
      </c>
      <c r="E480" s="120" t="e">
        <v>#N/A</v>
      </c>
      <c r="F480" s="78" t="e">
        <v>#N/A</v>
      </c>
      <c r="G480" s="78" t="e">
        <v>#N/A</v>
      </c>
    </row>
    <row r="481" customFormat="false" ht="15.75" hidden="false" customHeight="false" outlineLevel="0" collapsed="false">
      <c r="A481" s="78" t="e">
        <v>#N/A</v>
      </c>
      <c r="B481" s="120" t="e">
        <v>#N/A</v>
      </c>
      <c r="C481" s="78" t="e">
        <v>#N/A</v>
      </c>
      <c r="D481" s="78" t="e">
        <v>#N/A</v>
      </c>
      <c r="E481" s="120" t="e">
        <v>#N/A</v>
      </c>
      <c r="F481" s="78" t="e">
        <v>#N/A</v>
      </c>
      <c r="G481" s="78" t="e">
        <v>#N/A</v>
      </c>
    </row>
    <row r="482" customFormat="false" ht="15.75" hidden="false" customHeight="false" outlineLevel="0" collapsed="false">
      <c r="A482" s="78" t="e">
        <v>#N/A</v>
      </c>
      <c r="B482" s="120" t="e">
        <v>#N/A</v>
      </c>
      <c r="C482" s="78" t="e">
        <v>#N/A</v>
      </c>
      <c r="D482" s="78" t="e">
        <v>#N/A</v>
      </c>
      <c r="E482" s="120" t="e">
        <v>#N/A</v>
      </c>
      <c r="F482" s="78" t="e">
        <v>#N/A</v>
      </c>
      <c r="G482" s="78" t="e">
        <v>#N/A</v>
      </c>
    </row>
    <row r="483" customFormat="false" ht="15.75" hidden="false" customHeight="false" outlineLevel="0" collapsed="false">
      <c r="A483" s="78" t="e">
        <v>#N/A</v>
      </c>
      <c r="B483" s="120" t="e">
        <v>#N/A</v>
      </c>
      <c r="C483" s="78" t="e">
        <v>#N/A</v>
      </c>
      <c r="D483" s="78" t="e">
        <v>#N/A</v>
      </c>
      <c r="E483" s="120" t="e">
        <v>#N/A</v>
      </c>
      <c r="F483" s="78" t="e">
        <v>#N/A</v>
      </c>
      <c r="G483" s="78" t="e">
        <v>#N/A</v>
      </c>
    </row>
    <row r="484" customFormat="false" ht="15.75" hidden="false" customHeight="false" outlineLevel="0" collapsed="false">
      <c r="A484" s="78" t="e">
        <v>#N/A</v>
      </c>
      <c r="B484" s="120" t="e">
        <v>#N/A</v>
      </c>
      <c r="C484" s="78" t="e">
        <v>#N/A</v>
      </c>
      <c r="D484" s="78" t="e">
        <v>#N/A</v>
      </c>
      <c r="E484" s="120" t="e">
        <v>#N/A</v>
      </c>
      <c r="F484" s="78" t="e">
        <v>#N/A</v>
      </c>
      <c r="G484" s="78" t="e">
        <v>#N/A</v>
      </c>
    </row>
    <row r="485" customFormat="false" ht="15.75" hidden="false" customHeight="false" outlineLevel="0" collapsed="false">
      <c r="A485" s="78" t="e">
        <v>#N/A</v>
      </c>
      <c r="B485" s="120" t="e">
        <v>#N/A</v>
      </c>
      <c r="C485" s="78" t="e">
        <v>#N/A</v>
      </c>
      <c r="D485" s="78" t="e">
        <v>#N/A</v>
      </c>
      <c r="E485" s="120" t="e">
        <v>#N/A</v>
      </c>
      <c r="F485" s="78" t="e">
        <v>#N/A</v>
      </c>
      <c r="G485" s="78" t="e">
        <v>#N/A</v>
      </c>
    </row>
    <row r="486" customFormat="false" ht="15.75" hidden="false" customHeight="false" outlineLevel="0" collapsed="false">
      <c r="A486" s="78" t="e">
        <v>#N/A</v>
      </c>
      <c r="B486" s="120" t="e">
        <v>#N/A</v>
      </c>
      <c r="C486" s="78" t="e">
        <v>#N/A</v>
      </c>
      <c r="D486" s="78" t="e">
        <v>#N/A</v>
      </c>
      <c r="E486" s="120" t="e">
        <v>#N/A</v>
      </c>
      <c r="F486" s="78" t="e">
        <v>#N/A</v>
      </c>
      <c r="G486" s="78" t="e">
        <v>#N/A</v>
      </c>
    </row>
    <row r="487" customFormat="false" ht="15.75" hidden="false" customHeight="false" outlineLevel="0" collapsed="false">
      <c r="A487" s="78" t="e">
        <v>#N/A</v>
      </c>
      <c r="B487" s="120" t="e">
        <v>#N/A</v>
      </c>
      <c r="C487" s="78" t="e">
        <v>#N/A</v>
      </c>
      <c r="D487" s="78" t="e">
        <v>#N/A</v>
      </c>
      <c r="E487" s="120" t="e">
        <v>#N/A</v>
      </c>
      <c r="F487" s="78" t="e">
        <v>#N/A</v>
      </c>
      <c r="G487" s="78" t="e">
        <v>#N/A</v>
      </c>
    </row>
    <row r="488" customFormat="false" ht="15.75" hidden="false" customHeight="false" outlineLevel="0" collapsed="false">
      <c r="A488" s="78" t="e">
        <v>#N/A</v>
      </c>
      <c r="B488" s="120" t="e">
        <v>#N/A</v>
      </c>
      <c r="C488" s="78" t="e">
        <v>#N/A</v>
      </c>
      <c r="D488" s="78" t="e">
        <v>#N/A</v>
      </c>
      <c r="E488" s="120" t="e">
        <v>#N/A</v>
      </c>
      <c r="F488" s="78" t="e">
        <v>#N/A</v>
      </c>
      <c r="G488" s="78" t="e">
        <v>#N/A</v>
      </c>
    </row>
    <row r="489" customFormat="false" ht="15.75" hidden="false" customHeight="false" outlineLevel="0" collapsed="false">
      <c r="A489" s="78" t="e">
        <v>#N/A</v>
      </c>
      <c r="B489" s="120" t="e">
        <v>#N/A</v>
      </c>
      <c r="C489" s="78" t="e">
        <v>#N/A</v>
      </c>
      <c r="D489" s="78" t="e">
        <v>#N/A</v>
      </c>
      <c r="E489" s="120" t="e">
        <v>#N/A</v>
      </c>
      <c r="F489" s="78" t="e">
        <v>#N/A</v>
      </c>
      <c r="G489" s="78" t="e">
        <v>#N/A</v>
      </c>
    </row>
    <row r="490" customFormat="false" ht="15.75" hidden="false" customHeight="false" outlineLevel="0" collapsed="false">
      <c r="A490" s="78" t="e">
        <v>#N/A</v>
      </c>
      <c r="B490" s="120" t="e">
        <v>#N/A</v>
      </c>
      <c r="C490" s="78" t="e">
        <v>#N/A</v>
      </c>
      <c r="D490" s="78" t="e">
        <v>#N/A</v>
      </c>
      <c r="E490" s="120" t="e">
        <v>#N/A</v>
      </c>
      <c r="F490" s="78" t="e">
        <v>#N/A</v>
      </c>
      <c r="G490" s="78" t="e">
        <v>#N/A</v>
      </c>
    </row>
    <row r="491" customFormat="false" ht="15.75" hidden="false" customHeight="false" outlineLevel="0" collapsed="false">
      <c r="A491" s="78" t="e">
        <v>#N/A</v>
      </c>
      <c r="B491" s="120" t="e">
        <v>#N/A</v>
      </c>
      <c r="C491" s="78" t="e">
        <v>#N/A</v>
      </c>
      <c r="D491" s="78" t="e">
        <v>#N/A</v>
      </c>
      <c r="E491" s="120" t="e">
        <v>#N/A</v>
      </c>
      <c r="F491" s="78" t="e">
        <v>#N/A</v>
      </c>
      <c r="G491" s="78" t="e">
        <v>#N/A</v>
      </c>
    </row>
    <row r="492" customFormat="false" ht="15.75" hidden="false" customHeight="false" outlineLevel="0" collapsed="false">
      <c r="A492" s="78" t="e">
        <v>#N/A</v>
      </c>
      <c r="B492" s="120" t="e">
        <v>#N/A</v>
      </c>
      <c r="C492" s="78" t="e">
        <v>#N/A</v>
      </c>
      <c r="D492" s="78" t="e">
        <v>#N/A</v>
      </c>
      <c r="E492" s="120" t="e">
        <v>#N/A</v>
      </c>
      <c r="F492" s="78" t="e">
        <v>#N/A</v>
      </c>
      <c r="G492" s="78" t="e">
        <v>#N/A</v>
      </c>
    </row>
    <row r="493" customFormat="false" ht="15.75" hidden="false" customHeight="false" outlineLevel="0" collapsed="false">
      <c r="A493" s="78" t="e">
        <v>#N/A</v>
      </c>
      <c r="B493" s="120" t="e">
        <v>#N/A</v>
      </c>
      <c r="C493" s="78" t="e">
        <v>#N/A</v>
      </c>
      <c r="D493" s="78" t="e">
        <v>#N/A</v>
      </c>
      <c r="E493" s="120" t="e">
        <v>#N/A</v>
      </c>
      <c r="F493" s="78" t="e">
        <v>#N/A</v>
      </c>
      <c r="G493" s="78" t="e">
        <v>#N/A</v>
      </c>
    </row>
    <row r="494" customFormat="false" ht="15.75" hidden="false" customHeight="false" outlineLevel="0" collapsed="false">
      <c r="A494" s="78" t="e">
        <v>#N/A</v>
      </c>
      <c r="B494" s="120" t="e">
        <v>#N/A</v>
      </c>
      <c r="C494" s="78" t="e">
        <v>#N/A</v>
      </c>
      <c r="D494" s="78" t="e">
        <v>#N/A</v>
      </c>
      <c r="E494" s="120" t="e">
        <v>#N/A</v>
      </c>
      <c r="F494" s="78" t="e">
        <v>#N/A</v>
      </c>
      <c r="G494" s="78" t="e">
        <v>#N/A</v>
      </c>
    </row>
    <row r="495" customFormat="false" ht="15.75" hidden="false" customHeight="false" outlineLevel="0" collapsed="false">
      <c r="A495" s="78" t="e">
        <v>#N/A</v>
      </c>
      <c r="B495" s="120" t="e">
        <v>#N/A</v>
      </c>
      <c r="C495" s="78" t="e">
        <v>#N/A</v>
      </c>
      <c r="D495" s="78" t="e">
        <v>#N/A</v>
      </c>
      <c r="E495" s="120" t="e">
        <v>#N/A</v>
      </c>
      <c r="F495" s="78" t="e">
        <v>#N/A</v>
      </c>
      <c r="G495" s="78" t="e">
        <v>#N/A</v>
      </c>
    </row>
    <row r="496" customFormat="false" ht="15.75" hidden="false" customHeight="false" outlineLevel="0" collapsed="false">
      <c r="A496" s="78" t="e">
        <v>#N/A</v>
      </c>
      <c r="B496" s="120" t="e">
        <v>#N/A</v>
      </c>
      <c r="C496" s="78" t="e">
        <v>#N/A</v>
      </c>
      <c r="D496" s="78" t="e">
        <v>#N/A</v>
      </c>
      <c r="E496" s="120" t="e">
        <v>#N/A</v>
      </c>
      <c r="F496" s="78" t="e">
        <v>#N/A</v>
      </c>
      <c r="G496" s="78" t="e">
        <v>#N/A</v>
      </c>
    </row>
    <row r="497" customFormat="false" ht="15.75" hidden="false" customHeight="false" outlineLevel="0" collapsed="false">
      <c r="A497" s="78" t="e">
        <v>#N/A</v>
      </c>
      <c r="B497" s="120" t="e">
        <v>#N/A</v>
      </c>
      <c r="C497" s="78" t="e">
        <v>#N/A</v>
      </c>
      <c r="D497" s="78" t="e">
        <v>#N/A</v>
      </c>
      <c r="E497" s="120" t="e">
        <v>#N/A</v>
      </c>
      <c r="F497" s="78" t="e">
        <v>#N/A</v>
      </c>
      <c r="G497" s="78" t="e">
        <v>#N/A</v>
      </c>
    </row>
    <row r="498" customFormat="false" ht="15.75" hidden="false" customHeight="false" outlineLevel="0" collapsed="false">
      <c r="A498" s="78" t="e">
        <v>#N/A</v>
      </c>
      <c r="B498" s="120" t="e">
        <v>#N/A</v>
      </c>
      <c r="C498" s="78" t="e">
        <v>#N/A</v>
      </c>
      <c r="D498" s="78" t="e">
        <v>#N/A</v>
      </c>
      <c r="E498" s="120" t="e">
        <v>#N/A</v>
      </c>
      <c r="F498" s="78" t="e">
        <v>#N/A</v>
      </c>
      <c r="G498" s="78" t="e">
        <v>#N/A</v>
      </c>
    </row>
    <row r="499" customFormat="false" ht="15.75" hidden="false" customHeight="false" outlineLevel="0" collapsed="false">
      <c r="A499" s="78" t="e">
        <v>#N/A</v>
      </c>
      <c r="B499" s="120" t="e">
        <v>#N/A</v>
      </c>
      <c r="C499" s="78" t="e">
        <v>#N/A</v>
      </c>
      <c r="D499" s="78" t="e">
        <v>#N/A</v>
      </c>
      <c r="E499" s="120" t="e">
        <v>#N/A</v>
      </c>
      <c r="F499" s="78" t="e">
        <v>#N/A</v>
      </c>
      <c r="G499" s="78" t="e">
        <v>#N/A</v>
      </c>
    </row>
    <row r="500" customFormat="false" ht="15.75" hidden="false" customHeight="false" outlineLevel="0" collapsed="false">
      <c r="A500" s="78" t="e">
        <v>#N/A</v>
      </c>
      <c r="B500" s="120" t="e">
        <v>#N/A</v>
      </c>
      <c r="C500" s="78" t="e">
        <v>#N/A</v>
      </c>
      <c r="D500" s="78" t="e">
        <v>#N/A</v>
      </c>
      <c r="E500" s="120" t="e">
        <v>#N/A</v>
      </c>
      <c r="F500" s="78" t="e">
        <v>#N/A</v>
      </c>
      <c r="G500" s="78" t="e">
        <v>#N/A</v>
      </c>
    </row>
    <row r="501" customFormat="false" ht="15.75" hidden="false" customHeight="false" outlineLevel="0" collapsed="false">
      <c r="A501" s="78" t="e">
        <v>#N/A</v>
      </c>
      <c r="B501" s="120" t="e">
        <v>#N/A</v>
      </c>
      <c r="C501" s="78" t="e">
        <v>#N/A</v>
      </c>
      <c r="D501" s="78" t="e">
        <v>#N/A</v>
      </c>
      <c r="E501" s="120" t="e">
        <v>#N/A</v>
      </c>
      <c r="F501" s="78" t="e">
        <v>#N/A</v>
      </c>
      <c r="G501" s="78" t="e">
        <v>#N/A</v>
      </c>
    </row>
    <row r="502" customFormat="false" ht="15.75" hidden="false" customHeight="false" outlineLevel="0" collapsed="false">
      <c r="A502" s="78" t="e">
        <v>#N/A</v>
      </c>
      <c r="B502" s="120" t="e">
        <v>#N/A</v>
      </c>
      <c r="C502" s="78" t="e">
        <v>#N/A</v>
      </c>
      <c r="D502" s="78" t="e">
        <v>#N/A</v>
      </c>
      <c r="E502" s="120" t="e">
        <v>#N/A</v>
      </c>
      <c r="F502" s="78" t="e">
        <v>#N/A</v>
      </c>
      <c r="G502" s="78" t="e">
        <v>#N/A</v>
      </c>
    </row>
    <row r="503" customFormat="false" ht="15.75" hidden="false" customHeight="false" outlineLevel="0" collapsed="false">
      <c r="A503" s="78" t="e">
        <v>#N/A</v>
      </c>
      <c r="B503" s="120" t="e">
        <v>#N/A</v>
      </c>
      <c r="C503" s="78" t="e">
        <v>#N/A</v>
      </c>
      <c r="D503" s="78" t="e">
        <v>#N/A</v>
      </c>
      <c r="E503" s="120" t="e">
        <v>#N/A</v>
      </c>
      <c r="F503" s="78" t="e">
        <v>#N/A</v>
      </c>
      <c r="G503" s="78" t="e">
        <v>#N/A</v>
      </c>
    </row>
    <row r="504" customFormat="false" ht="15.75" hidden="false" customHeight="false" outlineLevel="0" collapsed="false">
      <c r="A504" s="78" t="e">
        <v>#N/A</v>
      </c>
      <c r="B504" s="120" t="e">
        <v>#N/A</v>
      </c>
      <c r="C504" s="78" t="e">
        <v>#N/A</v>
      </c>
      <c r="D504" s="78" t="e">
        <v>#N/A</v>
      </c>
      <c r="E504" s="120" t="e">
        <v>#N/A</v>
      </c>
      <c r="F504" s="78" t="e">
        <v>#N/A</v>
      </c>
      <c r="G504" s="78" t="e">
        <v>#N/A</v>
      </c>
    </row>
    <row r="505" customFormat="false" ht="15.75" hidden="false" customHeight="false" outlineLevel="0" collapsed="false">
      <c r="A505" s="78" t="e">
        <v>#N/A</v>
      </c>
      <c r="B505" s="120" t="e">
        <v>#N/A</v>
      </c>
      <c r="C505" s="78" t="e">
        <v>#N/A</v>
      </c>
      <c r="D505" s="78" t="e">
        <v>#N/A</v>
      </c>
      <c r="E505" s="120" t="e">
        <v>#N/A</v>
      </c>
      <c r="F505" s="78" t="e">
        <v>#N/A</v>
      </c>
      <c r="G505" s="78" t="e">
        <v>#N/A</v>
      </c>
    </row>
    <row r="506" customFormat="false" ht="15.75" hidden="false" customHeight="false" outlineLevel="0" collapsed="false">
      <c r="A506" s="78" t="e">
        <v>#N/A</v>
      </c>
      <c r="B506" s="120" t="e">
        <v>#N/A</v>
      </c>
      <c r="C506" s="78" t="e">
        <v>#N/A</v>
      </c>
      <c r="D506" s="78" t="e">
        <v>#N/A</v>
      </c>
      <c r="E506" s="120" t="e">
        <v>#N/A</v>
      </c>
      <c r="F506" s="78" t="e">
        <v>#N/A</v>
      </c>
      <c r="G506" s="78" t="e">
        <v>#N/A</v>
      </c>
    </row>
    <row r="507" customFormat="false" ht="15.75" hidden="false" customHeight="false" outlineLevel="0" collapsed="false">
      <c r="A507" s="78" t="e">
        <v>#N/A</v>
      </c>
      <c r="B507" s="120" t="e">
        <v>#N/A</v>
      </c>
      <c r="C507" s="78" t="e">
        <v>#N/A</v>
      </c>
      <c r="D507" s="78" t="e">
        <v>#N/A</v>
      </c>
      <c r="E507" s="120" t="e">
        <v>#N/A</v>
      </c>
      <c r="F507" s="78" t="e">
        <v>#N/A</v>
      </c>
      <c r="G507" s="78" t="e">
        <v>#N/A</v>
      </c>
    </row>
    <row r="508" customFormat="false" ht="15.75" hidden="false" customHeight="false" outlineLevel="0" collapsed="false">
      <c r="A508" s="78" t="e">
        <v>#N/A</v>
      </c>
      <c r="B508" s="120" t="e">
        <v>#N/A</v>
      </c>
      <c r="C508" s="78" t="e">
        <v>#N/A</v>
      </c>
      <c r="D508" s="78" t="e">
        <v>#N/A</v>
      </c>
      <c r="E508" s="120" t="e">
        <v>#N/A</v>
      </c>
      <c r="F508" s="78" t="e">
        <v>#N/A</v>
      </c>
      <c r="G508" s="78" t="e">
        <v>#N/A</v>
      </c>
    </row>
    <row r="509" customFormat="false" ht="15.75" hidden="false" customHeight="false" outlineLevel="0" collapsed="false">
      <c r="A509" s="78" t="e">
        <v>#N/A</v>
      </c>
      <c r="B509" s="120" t="e">
        <v>#N/A</v>
      </c>
      <c r="C509" s="78" t="e">
        <v>#N/A</v>
      </c>
      <c r="D509" s="78" t="e">
        <v>#N/A</v>
      </c>
      <c r="E509" s="120" t="e">
        <v>#N/A</v>
      </c>
      <c r="F509" s="78" t="e">
        <v>#N/A</v>
      </c>
      <c r="G509" s="78" t="e">
        <v>#N/A</v>
      </c>
    </row>
    <row r="510" customFormat="false" ht="15.75" hidden="false" customHeight="false" outlineLevel="0" collapsed="false">
      <c r="A510" s="78" t="e">
        <v>#N/A</v>
      </c>
      <c r="B510" s="120" t="e">
        <v>#N/A</v>
      </c>
      <c r="C510" s="78" t="e">
        <v>#N/A</v>
      </c>
      <c r="D510" s="78" t="e">
        <v>#N/A</v>
      </c>
      <c r="E510" s="120" t="e">
        <v>#N/A</v>
      </c>
      <c r="F510" s="78" t="e">
        <v>#N/A</v>
      </c>
      <c r="G510" s="78" t="e">
        <v>#N/A</v>
      </c>
    </row>
    <row r="511" customFormat="false" ht="15.75" hidden="false" customHeight="false" outlineLevel="0" collapsed="false">
      <c r="A511" s="78" t="e">
        <v>#N/A</v>
      </c>
      <c r="B511" s="120" t="e">
        <v>#N/A</v>
      </c>
      <c r="C511" s="78" t="e">
        <v>#N/A</v>
      </c>
      <c r="D511" s="78" t="e">
        <v>#N/A</v>
      </c>
      <c r="E511" s="120" t="e">
        <v>#N/A</v>
      </c>
      <c r="F511" s="78" t="e">
        <v>#N/A</v>
      </c>
      <c r="G511" s="78" t="e">
        <v>#N/A</v>
      </c>
    </row>
    <row r="512" customFormat="false" ht="15.75" hidden="false" customHeight="false" outlineLevel="0" collapsed="false">
      <c r="A512" s="78" t="e">
        <v>#N/A</v>
      </c>
      <c r="B512" s="120" t="e">
        <v>#N/A</v>
      </c>
      <c r="C512" s="78" t="e">
        <v>#N/A</v>
      </c>
      <c r="D512" s="78" t="e">
        <v>#N/A</v>
      </c>
      <c r="E512" s="120" t="e">
        <v>#N/A</v>
      </c>
      <c r="F512" s="78" t="e">
        <v>#N/A</v>
      </c>
      <c r="G512" s="78" t="e">
        <v>#N/A</v>
      </c>
    </row>
    <row r="513" customFormat="false" ht="15.75" hidden="false" customHeight="false" outlineLevel="0" collapsed="false">
      <c r="A513" s="78" t="e">
        <v>#N/A</v>
      </c>
      <c r="B513" s="120" t="e">
        <v>#N/A</v>
      </c>
      <c r="C513" s="78" t="e">
        <v>#N/A</v>
      </c>
      <c r="D513" s="78" t="e">
        <v>#N/A</v>
      </c>
      <c r="E513" s="120" t="e">
        <v>#N/A</v>
      </c>
      <c r="F513" s="78" t="e">
        <v>#N/A</v>
      </c>
      <c r="G513" s="78" t="e">
        <v>#N/A</v>
      </c>
    </row>
    <row r="514" customFormat="false" ht="15.75" hidden="false" customHeight="false" outlineLevel="0" collapsed="false">
      <c r="A514" s="78" t="e">
        <v>#N/A</v>
      </c>
      <c r="B514" s="120" t="e">
        <v>#N/A</v>
      </c>
      <c r="C514" s="78" t="e">
        <v>#N/A</v>
      </c>
      <c r="D514" s="78" t="e">
        <v>#N/A</v>
      </c>
      <c r="E514" s="120" t="e">
        <v>#N/A</v>
      </c>
      <c r="F514" s="78" t="e">
        <v>#N/A</v>
      </c>
      <c r="G514" s="78" t="e">
        <v>#N/A</v>
      </c>
    </row>
    <row r="515" customFormat="false" ht="15.75" hidden="false" customHeight="false" outlineLevel="0" collapsed="false">
      <c r="A515" s="78" t="e">
        <v>#N/A</v>
      </c>
      <c r="B515" s="120" t="e">
        <v>#N/A</v>
      </c>
      <c r="C515" s="78" t="e">
        <v>#N/A</v>
      </c>
      <c r="D515" s="78" t="e">
        <v>#N/A</v>
      </c>
      <c r="E515" s="120" t="e">
        <v>#N/A</v>
      </c>
      <c r="F515" s="78" t="e">
        <v>#N/A</v>
      </c>
      <c r="G515" s="78" t="e">
        <v>#N/A</v>
      </c>
    </row>
    <row r="516" customFormat="false" ht="15.75" hidden="false" customHeight="false" outlineLevel="0" collapsed="false">
      <c r="A516" s="78" t="e">
        <v>#N/A</v>
      </c>
      <c r="B516" s="120" t="e">
        <v>#N/A</v>
      </c>
      <c r="C516" s="78" t="e">
        <v>#N/A</v>
      </c>
      <c r="D516" s="78" t="e">
        <v>#N/A</v>
      </c>
      <c r="E516" s="120" t="e">
        <v>#N/A</v>
      </c>
      <c r="F516" s="78" t="e">
        <v>#N/A</v>
      </c>
      <c r="G516" s="78" t="e">
        <v>#N/A</v>
      </c>
    </row>
    <row r="517" customFormat="false" ht="15.75" hidden="false" customHeight="false" outlineLevel="0" collapsed="false">
      <c r="A517" s="78" t="e">
        <v>#N/A</v>
      </c>
      <c r="B517" s="120" t="e">
        <v>#N/A</v>
      </c>
      <c r="C517" s="78" t="e">
        <v>#N/A</v>
      </c>
      <c r="D517" s="78" t="e">
        <v>#N/A</v>
      </c>
      <c r="E517" s="120" t="e">
        <v>#N/A</v>
      </c>
      <c r="F517" s="78" t="e">
        <v>#N/A</v>
      </c>
      <c r="G517" s="78" t="e">
        <v>#N/A</v>
      </c>
    </row>
    <row r="518" customFormat="false" ht="15.75" hidden="false" customHeight="false" outlineLevel="0" collapsed="false">
      <c r="A518" s="78" t="e">
        <v>#N/A</v>
      </c>
      <c r="B518" s="120" t="e">
        <v>#N/A</v>
      </c>
      <c r="C518" s="78" t="e">
        <v>#N/A</v>
      </c>
      <c r="D518" s="78" t="e">
        <v>#N/A</v>
      </c>
      <c r="E518" s="120" t="e">
        <v>#N/A</v>
      </c>
      <c r="F518" s="78" t="e">
        <v>#N/A</v>
      </c>
      <c r="G518" s="78" t="e">
        <v>#N/A</v>
      </c>
    </row>
    <row r="519" customFormat="false" ht="15.75" hidden="false" customHeight="false" outlineLevel="0" collapsed="false">
      <c r="A519" s="78" t="e">
        <v>#N/A</v>
      </c>
      <c r="B519" s="120" t="e">
        <v>#N/A</v>
      </c>
      <c r="C519" s="78" t="e">
        <v>#N/A</v>
      </c>
      <c r="D519" s="78" t="e">
        <v>#N/A</v>
      </c>
      <c r="E519" s="120" t="e">
        <v>#N/A</v>
      </c>
      <c r="F519" s="78" t="e">
        <v>#N/A</v>
      </c>
      <c r="G519" s="78" t="e">
        <v>#N/A</v>
      </c>
    </row>
    <row r="520" customFormat="false" ht="15.75" hidden="false" customHeight="false" outlineLevel="0" collapsed="false">
      <c r="A520" s="78" t="e">
        <v>#N/A</v>
      </c>
      <c r="B520" s="120" t="e">
        <v>#N/A</v>
      </c>
      <c r="C520" s="78" t="e">
        <v>#N/A</v>
      </c>
      <c r="D520" s="78" t="e">
        <v>#N/A</v>
      </c>
      <c r="E520" s="120" t="e">
        <v>#N/A</v>
      </c>
      <c r="F520" s="78" t="e">
        <v>#N/A</v>
      </c>
      <c r="G520" s="78" t="e">
        <v>#N/A</v>
      </c>
    </row>
    <row r="521" customFormat="false" ht="15.75" hidden="false" customHeight="false" outlineLevel="0" collapsed="false">
      <c r="A521" s="78" t="e">
        <v>#N/A</v>
      </c>
      <c r="B521" s="120" t="e">
        <v>#N/A</v>
      </c>
      <c r="C521" s="78" t="e">
        <v>#N/A</v>
      </c>
      <c r="D521" s="78" t="e">
        <v>#N/A</v>
      </c>
      <c r="E521" s="120" t="e">
        <v>#N/A</v>
      </c>
      <c r="F521" s="78" t="e">
        <v>#N/A</v>
      </c>
      <c r="G521" s="78" t="e">
        <v>#N/A</v>
      </c>
    </row>
    <row r="522" customFormat="false" ht="15.75" hidden="false" customHeight="false" outlineLevel="0" collapsed="false">
      <c r="A522" s="78" t="e">
        <v>#N/A</v>
      </c>
      <c r="B522" s="120" t="e">
        <v>#N/A</v>
      </c>
      <c r="C522" s="78" t="e">
        <v>#N/A</v>
      </c>
      <c r="D522" s="78" t="e">
        <v>#N/A</v>
      </c>
      <c r="E522" s="120" t="e">
        <v>#N/A</v>
      </c>
      <c r="F522" s="78" t="e">
        <v>#N/A</v>
      </c>
      <c r="G522" s="78" t="e">
        <v>#N/A</v>
      </c>
    </row>
    <row r="523" customFormat="false" ht="15.75" hidden="false" customHeight="false" outlineLevel="0" collapsed="false">
      <c r="A523" s="78" t="e">
        <v>#N/A</v>
      </c>
      <c r="B523" s="120" t="e">
        <v>#N/A</v>
      </c>
      <c r="C523" s="78" t="e">
        <v>#N/A</v>
      </c>
      <c r="D523" s="78" t="e">
        <v>#N/A</v>
      </c>
      <c r="E523" s="120" t="e">
        <v>#N/A</v>
      </c>
      <c r="F523" s="78" t="e">
        <v>#N/A</v>
      </c>
      <c r="G523" s="78" t="e">
        <v>#N/A</v>
      </c>
    </row>
    <row r="524" customFormat="false" ht="15.75" hidden="false" customHeight="false" outlineLevel="0" collapsed="false">
      <c r="A524" s="78" t="e">
        <v>#N/A</v>
      </c>
      <c r="B524" s="120" t="e">
        <v>#N/A</v>
      </c>
      <c r="C524" s="78" t="e">
        <v>#N/A</v>
      </c>
      <c r="D524" s="78" t="e">
        <v>#N/A</v>
      </c>
      <c r="E524" s="120" t="e">
        <v>#N/A</v>
      </c>
      <c r="F524" s="78" t="e">
        <v>#N/A</v>
      </c>
      <c r="G524" s="78" t="e">
        <v>#N/A</v>
      </c>
    </row>
    <row r="525" customFormat="false" ht="15.75" hidden="false" customHeight="false" outlineLevel="0" collapsed="false">
      <c r="A525" s="78" t="e">
        <v>#N/A</v>
      </c>
      <c r="B525" s="120" t="e">
        <v>#N/A</v>
      </c>
      <c r="C525" s="78" t="e">
        <v>#N/A</v>
      </c>
      <c r="D525" s="78" t="e">
        <v>#N/A</v>
      </c>
      <c r="E525" s="120" t="e">
        <v>#N/A</v>
      </c>
      <c r="F525" s="78" t="e">
        <v>#N/A</v>
      </c>
      <c r="G525" s="78" t="e">
        <v>#N/A</v>
      </c>
    </row>
    <row r="526" customFormat="false" ht="15.75" hidden="false" customHeight="false" outlineLevel="0" collapsed="false">
      <c r="A526" s="78" t="e">
        <v>#N/A</v>
      </c>
      <c r="B526" s="120" t="e">
        <v>#N/A</v>
      </c>
      <c r="C526" s="78" t="e">
        <v>#N/A</v>
      </c>
      <c r="D526" s="78" t="e">
        <v>#N/A</v>
      </c>
      <c r="E526" s="120" t="e">
        <v>#N/A</v>
      </c>
      <c r="F526" s="78" t="e">
        <v>#N/A</v>
      </c>
      <c r="G526" s="78" t="e">
        <v>#N/A</v>
      </c>
    </row>
    <row r="527" customFormat="false" ht="15.75" hidden="false" customHeight="false" outlineLevel="0" collapsed="false">
      <c r="A527" s="78" t="e">
        <v>#N/A</v>
      </c>
      <c r="B527" s="120" t="e">
        <v>#N/A</v>
      </c>
      <c r="C527" s="78" t="e">
        <v>#N/A</v>
      </c>
      <c r="D527" s="78" t="e">
        <v>#N/A</v>
      </c>
      <c r="E527" s="120" t="e">
        <v>#N/A</v>
      </c>
      <c r="F527" s="78" t="e">
        <v>#N/A</v>
      </c>
      <c r="G527" s="78" t="e">
        <v>#N/A</v>
      </c>
    </row>
    <row r="528" customFormat="false" ht="15.75" hidden="false" customHeight="false" outlineLevel="0" collapsed="false">
      <c r="A528" s="78" t="e">
        <v>#N/A</v>
      </c>
      <c r="B528" s="120" t="e">
        <v>#N/A</v>
      </c>
      <c r="C528" s="78" t="e">
        <v>#N/A</v>
      </c>
      <c r="D528" s="78" t="e">
        <v>#N/A</v>
      </c>
      <c r="E528" s="120" t="e">
        <v>#N/A</v>
      </c>
      <c r="F528" s="78" t="e">
        <v>#N/A</v>
      </c>
      <c r="G528" s="78" t="e">
        <v>#N/A</v>
      </c>
    </row>
    <row r="529" customFormat="false" ht="15.75" hidden="false" customHeight="false" outlineLevel="0" collapsed="false">
      <c r="A529" s="78" t="e">
        <v>#N/A</v>
      </c>
      <c r="B529" s="120" t="e">
        <v>#N/A</v>
      </c>
      <c r="C529" s="78" t="e">
        <v>#N/A</v>
      </c>
      <c r="D529" s="78" t="e">
        <v>#N/A</v>
      </c>
      <c r="E529" s="120" t="e">
        <v>#N/A</v>
      </c>
      <c r="F529" s="78" t="e">
        <v>#N/A</v>
      </c>
      <c r="G529" s="78" t="e">
        <v>#N/A</v>
      </c>
    </row>
    <row r="530" customFormat="false" ht="15.75" hidden="false" customHeight="false" outlineLevel="0" collapsed="false">
      <c r="A530" s="78" t="e">
        <v>#N/A</v>
      </c>
      <c r="B530" s="120" t="e">
        <v>#N/A</v>
      </c>
      <c r="C530" s="78" t="e">
        <v>#N/A</v>
      </c>
      <c r="D530" s="78" t="e">
        <v>#N/A</v>
      </c>
      <c r="E530" s="120" t="e">
        <v>#N/A</v>
      </c>
      <c r="F530" s="78" t="e">
        <v>#N/A</v>
      </c>
      <c r="G530" s="78" t="e">
        <v>#N/A</v>
      </c>
    </row>
    <row r="531" customFormat="false" ht="15.75" hidden="false" customHeight="false" outlineLevel="0" collapsed="false">
      <c r="A531" s="78" t="e">
        <v>#N/A</v>
      </c>
      <c r="B531" s="120" t="e">
        <v>#N/A</v>
      </c>
      <c r="C531" s="78" t="e">
        <v>#N/A</v>
      </c>
      <c r="D531" s="78" t="e">
        <v>#N/A</v>
      </c>
      <c r="E531" s="120" t="e">
        <v>#N/A</v>
      </c>
      <c r="F531" s="78" t="e">
        <v>#N/A</v>
      </c>
      <c r="G531" s="78" t="e">
        <v>#N/A</v>
      </c>
    </row>
    <row r="532" customFormat="false" ht="15.75" hidden="false" customHeight="false" outlineLevel="0" collapsed="false">
      <c r="A532" s="78" t="e">
        <v>#N/A</v>
      </c>
      <c r="B532" s="120" t="e">
        <v>#N/A</v>
      </c>
      <c r="C532" s="78" t="e">
        <v>#N/A</v>
      </c>
      <c r="D532" s="78" t="e">
        <v>#N/A</v>
      </c>
      <c r="E532" s="120" t="e">
        <v>#N/A</v>
      </c>
      <c r="F532" s="78" t="e">
        <v>#N/A</v>
      </c>
      <c r="G532" s="78" t="e">
        <v>#N/A</v>
      </c>
    </row>
    <row r="533" customFormat="false" ht="15.75" hidden="false" customHeight="false" outlineLevel="0" collapsed="false">
      <c r="A533" s="78" t="e">
        <v>#N/A</v>
      </c>
      <c r="B533" s="120" t="e">
        <v>#N/A</v>
      </c>
      <c r="C533" s="78" t="e">
        <v>#N/A</v>
      </c>
      <c r="D533" s="78" t="e">
        <v>#N/A</v>
      </c>
      <c r="E533" s="120" t="e">
        <v>#N/A</v>
      </c>
      <c r="F533" s="78" t="e">
        <v>#N/A</v>
      </c>
      <c r="G533" s="78" t="e">
        <v>#N/A</v>
      </c>
    </row>
    <row r="534" customFormat="false" ht="15.75" hidden="false" customHeight="false" outlineLevel="0" collapsed="false">
      <c r="A534" s="78" t="e">
        <v>#N/A</v>
      </c>
      <c r="B534" s="120" t="e">
        <v>#N/A</v>
      </c>
      <c r="C534" s="78" t="e">
        <v>#N/A</v>
      </c>
      <c r="D534" s="78" t="e">
        <v>#N/A</v>
      </c>
      <c r="E534" s="120" t="e">
        <v>#N/A</v>
      </c>
      <c r="F534" s="78" t="e">
        <v>#N/A</v>
      </c>
      <c r="G534" s="78" t="e">
        <v>#N/A</v>
      </c>
    </row>
    <row r="535" customFormat="false" ht="15.75" hidden="false" customHeight="false" outlineLevel="0" collapsed="false">
      <c r="A535" s="78" t="e">
        <v>#N/A</v>
      </c>
      <c r="B535" s="120" t="e">
        <v>#N/A</v>
      </c>
      <c r="C535" s="78" t="e">
        <v>#N/A</v>
      </c>
      <c r="D535" s="78" t="e">
        <v>#N/A</v>
      </c>
      <c r="E535" s="120" t="e">
        <v>#N/A</v>
      </c>
      <c r="F535" s="78" t="e">
        <v>#N/A</v>
      </c>
      <c r="G535" s="78" t="e">
        <v>#N/A</v>
      </c>
    </row>
    <row r="536" customFormat="false" ht="15.75" hidden="false" customHeight="false" outlineLevel="0" collapsed="false">
      <c r="A536" s="78" t="e">
        <v>#N/A</v>
      </c>
      <c r="B536" s="120" t="e">
        <v>#N/A</v>
      </c>
      <c r="C536" s="78" t="e">
        <v>#N/A</v>
      </c>
      <c r="D536" s="78" t="e">
        <v>#N/A</v>
      </c>
      <c r="E536" s="120" t="e">
        <v>#N/A</v>
      </c>
      <c r="F536" s="78" t="e">
        <v>#N/A</v>
      </c>
      <c r="G536" s="78" t="e">
        <v>#N/A</v>
      </c>
    </row>
    <row r="537" customFormat="false" ht="15.75" hidden="false" customHeight="false" outlineLevel="0" collapsed="false">
      <c r="A537" s="78" t="e">
        <v>#N/A</v>
      </c>
      <c r="B537" s="120" t="e">
        <v>#N/A</v>
      </c>
      <c r="C537" s="78" t="e">
        <v>#N/A</v>
      </c>
      <c r="D537" s="78" t="e">
        <v>#N/A</v>
      </c>
      <c r="E537" s="120" t="e">
        <v>#N/A</v>
      </c>
      <c r="F537" s="78" t="e">
        <v>#N/A</v>
      </c>
      <c r="G537" s="78" t="e">
        <v>#N/A</v>
      </c>
    </row>
    <row r="538" customFormat="false" ht="15.75" hidden="false" customHeight="false" outlineLevel="0" collapsed="false">
      <c r="A538" s="78" t="e">
        <v>#N/A</v>
      </c>
      <c r="B538" s="120" t="e">
        <v>#N/A</v>
      </c>
      <c r="C538" s="78" t="e">
        <v>#N/A</v>
      </c>
      <c r="D538" s="78" t="e">
        <v>#N/A</v>
      </c>
      <c r="E538" s="120" t="e">
        <v>#N/A</v>
      </c>
      <c r="F538" s="78" t="e">
        <v>#N/A</v>
      </c>
      <c r="G538" s="78" t="e">
        <v>#N/A</v>
      </c>
    </row>
    <row r="539" customFormat="false" ht="15.75" hidden="false" customHeight="false" outlineLevel="0" collapsed="false">
      <c r="A539" s="78" t="e">
        <v>#N/A</v>
      </c>
      <c r="B539" s="120" t="e">
        <v>#N/A</v>
      </c>
      <c r="C539" s="78" t="e">
        <v>#N/A</v>
      </c>
      <c r="D539" s="78" t="e">
        <v>#N/A</v>
      </c>
      <c r="E539" s="120" t="e">
        <v>#N/A</v>
      </c>
      <c r="F539" s="78" t="e">
        <v>#N/A</v>
      </c>
      <c r="G539" s="78" t="e">
        <v>#N/A</v>
      </c>
    </row>
    <row r="540" customFormat="false" ht="15.75" hidden="false" customHeight="false" outlineLevel="0" collapsed="false">
      <c r="A540" s="78" t="e">
        <v>#N/A</v>
      </c>
      <c r="B540" s="120" t="e">
        <v>#N/A</v>
      </c>
      <c r="C540" s="78" t="e">
        <v>#N/A</v>
      </c>
      <c r="D540" s="78" t="e">
        <v>#N/A</v>
      </c>
      <c r="E540" s="120" t="e">
        <v>#N/A</v>
      </c>
      <c r="F540" s="78" t="e">
        <v>#N/A</v>
      </c>
      <c r="G540" s="78" t="e">
        <v>#N/A</v>
      </c>
    </row>
    <row r="541" customFormat="false" ht="15.75" hidden="false" customHeight="false" outlineLevel="0" collapsed="false">
      <c r="A541" s="78" t="e">
        <v>#N/A</v>
      </c>
      <c r="B541" s="120" t="e">
        <v>#N/A</v>
      </c>
      <c r="C541" s="78" t="e">
        <v>#N/A</v>
      </c>
      <c r="D541" s="78" t="e">
        <v>#N/A</v>
      </c>
      <c r="E541" s="120" t="e">
        <v>#N/A</v>
      </c>
      <c r="F541" s="78" t="e">
        <v>#N/A</v>
      </c>
      <c r="G541" s="78" t="e">
        <v>#N/A</v>
      </c>
    </row>
    <row r="542" customFormat="false" ht="15.75" hidden="false" customHeight="false" outlineLevel="0" collapsed="false">
      <c r="A542" s="78" t="e">
        <v>#N/A</v>
      </c>
      <c r="B542" s="120" t="e">
        <v>#N/A</v>
      </c>
      <c r="C542" s="78" t="e">
        <v>#N/A</v>
      </c>
      <c r="D542" s="78" t="e">
        <v>#N/A</v>
      </c>
      <c r="E542" s="120" t="e">
        <v>#N/A</v>
      </c>
      <c r="F542" s="78" t="e">
        <v>#N/A</v>
      </c>
      <c r="G542" s="78" t="e">
        <v>#N/A</v>
      </c>
    </row>
    <row r="543" customFormat="false" ht="15.75" hidden="false" customHeight="false" outlineLevel="0" collapsed="false">
      <c r="A543" s="78" t="e">
        <v>#N/A</v>
      </c>
      <c r="B543" s="120" t="e">
        <v>#N/A</v>
      </c>
      <c r="C543" s="78" t="e">
        <v>#N/A</v>
      </c>
      <c r="D543" s="78" t="e">
        <v>#N/A</v>
      </c>
      <c r="E543" s="120" t="e">
        <v>#N/A</v>
      </c>
      <c r="F543" s="78" t="e">
        <v>#N/A</v>
      </c>
      <c r="G543" s="78" t="e">
        <v>#N/A</v>
      </c>
    </row>
    <row r="544" customFormat="false" ht="15.75" hidden="false" customHeight="false" outlineLevel="0" collapsed="false">
      <c r="A544" s="78" t="e">
        <v>#N/A</v>
      </c>
      <c r="B544" s="120" t="e">
        <v>#N/A</v>
      </c>
      <c r="C544" s="78" t="e">
        <v>#N/A</v>
      </c>
      <c r="D544" s="78" t="e">
        <v>#N/A</v>
      </c>
      <c r="E544" s="120" t="e">
        <v>#N/A</v>
      </c>
      <c r="F544" s="78" t="e">
        <v>#N/A</v>
      </c>
      <c r="G544" s="78" t="e">
        <v>#N/A</v>
      </c>
    </row>
    <row r="545" customFormat="false" ht="15.75" hidden="false" customHeight="false" outlineLevel="0" collapsed="false">
      <c r="A545" s="78" t="e">
        <v>#N/A</v>
      </c>
      <c r="B545" s="120" t="e">
        <v>#N/A</v>
      </c>
      <c r="C545" s="78" t="e">
        <v>#N/A</v>
      </c>
      <c r="D545" s="78" t="e">
        <v>#N/A</v>
      </c>
      <c r="E545" s="120" t="e">
        <v>#N/A</v>
      </c>
      <c r="F545" s="78" t="e">
        <v>#N/A</v>
      </c>
      <c r="G545" s="78" t="e">
        <v>#N/A</v>
      </c>
    </row>
    <row r="546" customFormat="false" ht="15.75" hidden="false" customHeight="false" outlineLevel="0" collapsed="false">
      <c r="A546" s="78" t="e">
        <v>#N/A</v>
      </c>
      <c r="B546" s="120" t="e">
        <v>#N/A</v>
      </c>
      <c r="C546" s="78" t="e">
        <v>#N/A</v>
      </c>
      <c r="D546" s="78" t="e">
        <v>#N/A</v>
      </c>
      <c r="E546" s="120" t="e">
        <v>#N/A</v>
      </c>
      <c r="F546" s="78" t="e">
        <v>#N/A</v>
      </c>
      <c r="G546" s="78" t="e">
        <v>#N/A</v>
      </c>
    </row>
    <row r="547" customFormat="false" ht="15.75" hidden="false" customHeight="false" outlineLevel="0" collapsed="false">
      <c r="A547" s="78" t="e">
        <v>#N/A</v>
      </c>
      <c r="B547" s="120" t="e">
        <v>#N/A</v>
      </c>
      <c r="C547" s="78" t="e">
        <v>#N/A</v>
      </c>
      <c r="D547" s="78" t="e">
        <v>#N/A</v>
      </c>
      <c r="E547" s="120" t="e">
        <v>#N/A</v>
      </c>
      <c r="F547" s="78" t="e">
        <v>#N/A</v>
      </c>
      <c r="G547" s="78" t="e">
        <v>#N/A</v>
      </c>
    </row>
    <row r="548" customFormat="false" ht="15.75" hidden="false" customHeight="false" outlineLevel="0" collapsed="false">
      <c r="A548" s="78" t="e">
        <v>#N/A</v>
      </c>
      <c r="B548" s="120" t="e">
        <v>#N/A</v>
      </c>
      <c r="C548" s="78" t="e">
        <v>#N/A</v>
      </c>
      <c r="D548" s="78" t="e">
        <v>#N/A</v>
      </c>
      <c r="E548" s="120" t="e">
        <v>#N/A</v>
      </c>
      <c r="F548" s="78" t="e">
        <v>#N/A</v>
      </c>
      <c r="G548" s="78" t="e">
        <v>#N/A</v>
      </c>
    </row>
    <row r="549" customFormat="false" ht="15.75" hidden="false" customHeight="false" outlineLevel="0" collapsed="false">
      <c r="A549" s="78" t="e">
        <v>#N/A</v>
      </c>
      <c r="B549" s="120" t="e">
        <v>#N/A</v>
      </c>
      <c r="C549" s="78" t="e">
        <v>#N/A</v>
      </c>
      <c r="D549" s="78" t="e">
        <v>#N/A</v>
      </c>
      <c r="E549" s="120" t="e">
        <v>#N/A</v>
      </c>
      <c r="F549" s="78" t="e">
        <v>#N/A</v>
      </c>
      <c r="G549" s="78" t="e">
        <v>#N/A</v>
      </c>
    </row>
    <row r="550" customFormat="false" ht="15.75" hidden="false" customHeight="false" outlineLevel="0" collapsed="false">
      <c r="A550" s="78" t="e">
        <v>#N/A</v>
      </c>
      <c r="B550" s="120" t="e">
        <v>#N/A</v>
      </c>
      <c r="C550" s="78" t="e">
        <v>#N/A</v>
      </c>
      <c r="D550" s="78" t="e">
        <v>#N/A</v>
      </c>
      <c r="E550" s="120" t="e">
        <v>#N/A</v>
      </c>
      <c r="F550" s="78" t="e">
        <v>#N/A</v>
      </c>
      <c r="G550" s="78" t="e">
        <v>#N/A</v>
      </c>
    </row>
    <row r="551" customFormat="false" ht="15.75" hidden="false" customHeight="false" outlineLevel="0" collapsed="false">
      <c r="A551" s="78" t="e">
        <v>#N/A</v>
      </c>
      <c r="B551" s="120" t="e">
        <v>#N/A</v>
      </c>
      <c r="C551" s="78" t="e">
        <v>#N/A</v>
      </c>
      <c r="D551" s="78" t="e">
        <v>#N/A</v>
      </c>
      <c r="E551" s="120" t="e">
        <v>#N/A</v>
      </c>
      <c r="F551" s="78" t="e">
        <v>#N/A</v>
      </c>
      <c r="G551" s="78" t="e">
        <v>#N/A</v>
      </c>
    </row>
    <row r="552" customFormat="false" ht="15.75" hidden="false" customHeight="false" outlineLevel="0" collapsed="false">
      <c r="A552" s="78" t="e">
        <v>#N/A</v>
      </c>
      <c r="B552" s="120" t="e">
        <v>#N/A</v>
      </c>
      <c r="C552" s="78" t="e">
        <v>#N/A</v>
      </c>
      <c r="D552" s="78" t="e">
        <v>#N/A</v>
      </c>
      <c r="E552" s="120" t="e">
        <v>#N/A</v>
      </c>
      <c r="F552" s="78" t="e">
        <v>#N/A</v>
      </c>
      <c r="G552" s="78" t="e">
        <v>#N/A</v>
      </c>
    </row>
    <row r="553" customFormat="false" ht="15.75" hidden="false" customHeight="false" outlineLevel="0" collapsed="false">
      <c r="A553" s="78" t="e">
        <v>#N/A</v>
      </c>
      <c r="B553" s="120" t="e">
        <v>#N/A</v>
      </c>
      <c r="C553" s="78" t="e">
        <v>#N/A</v>
      </c>
      <c r="D553" s="78" t="e">
        <v>#N/A</v>
      </c>
      <c r="E553" s="120" t="e">
        <v>#N/A</v>
      </c>
      <c r="F553" s="78" t="e">
        <v>#N/A</v>
      </c>
      <c r="G553" s="78" t="e">
        <v>#N/A</v>
      </c>
    </row>
    <row r="554" customFormat="false" ht="15.75" hidden="false" customHeight="false" outlineLevel="0" collapsed="false">
      <c r="A554" s="78" t="e">
        <v>#N/A</v>
      </c>
      <c r="B554" s="120" t="e">
        <v>#N/A</v>
      </c>
      <c r="C554" s="78" t="e">
        <v>#N/A</v>
      </c>
      <c r="D554" s="78" t="e">
        <v>#N/A</v>
      </c>
      <c r="E554" s="120" t="e">
        <v>#N/A</v>
      </c>
      <c r="F554" s="78" t="e">
        <v>#N/A</v>
      </c>
      <c r="G554" s="78" t="e">
        <v>#N/A</v>
      </c>
    </row>
    <row r="555" customFormat="false" ht="15.75" hidden="false" customHeight="false" outlineLevel="0" collapsed="false">
      <c r="A555" s="78" t="e">
        <v>#N/A</v>
      </c>
      <c r="B555" s="120" t="e">
        <v>#N/A</v>
      </c>
      <c r="C555" s="78" t="e">
        <v>#N/A</v>
      </c>
      <c r="D555" s="78" t="e">
        <v>#N/A</v>
      </c>
      <c r="E555" s="120" t="e">
        <v>#N/A</v>
      </c>
      <c r="F555" s="78" t="e">
        <v>#N/A</v>
      </c>
      <c r="G555" s="78" t="e">
        <v>#N/A</v>
      </c>
    </row>
    <row r="556" customFormat="false" ht="15.75" hidden="false" customHeight="false" outlineLevel="0" collapsed="false">
      <c r="A556" s="78" t="e">
        <v>#N/A</v>
      </c>
      <c r="B556" s="120" t="e">
        <v>#N/A</v>
      </c>
      <c r="C556" s="78" t="e">
        <v>#N/A</v>
      </c>
      <c r="D556" s="78" t="e">
        <v>#N/A</v>
      </c>
      <c r="E556" s="120" t="e">
        <v>#N/A</v>
      </c>
      <c r="F556" s="78" t="e">
        <v>#N/A</v>
      </c>
      <c r="G556" s="78" t="e">
        <v>#N/A</v>
      </c>
    </row>
    <row r="557" customFormat="false" ht="15.75" hidden="false" customHeight="false" outlineLevel="0" collapsed="false">
      <c r="A557" s="78" t="e">
        <v>#N/A</v>
      </c>
      <c r="B557" s="120" t="e">
        <v>#N/A</v>
      </c>
      <c r="C557" s="78" t="e">
        <v>#N/A</v>
      </c>
      <c r="D557" s="78" t="e">
        <v>#N/A</v>
      </c>
      <c r="E557" s="120" t="e">
        <v>#N/A</v>
      </c>
      <c r="F557" s="78" t="e">
        <v>#N/A</v>
      </c>
      <c r="G557" s="78" t="e">
        <v>#N/A</v>
      </c>
    </row>
    <row r="558" customFormat="false" ht="15.75" hidden="false" customHeight="false" outlineLevel="0" collapsed="false">
      <c r="A558" s="78" t="e">
        <v>#N/A</v>
      </c>
      <c r="B558" s="120" t="e">
        <v>#N/A</v>
      </c>
      <c r="C558" s="78" t="e">
        <v>#N/A</v>
      </c>
      <c r="D558" s="78" t="e">
        <v>#N/A</v>
      </c>
      <c r="E558" s="120" t="e">
        <v>#N/A</v>
      </c>
      <c r="F558" s="78" t="e">
        <v>#N/A</v>
      </c>
      <c r="G558" s="78" t="e">
        <v>#N/A</v>
      </c>
    </row>
    <row r="559" customFormat="false" ht="15.75" hidden="false" customHeight="false" outlineLevel="0" collapsed="false">
      <c r="A559" s="78" t="e">
        <v>#N/A</v>
      </c>
      <c r="B559" s="120" t="e">
        <v>#N/A</v>
      </c>
      <c r="C559" s="78" t="e">
        <v>#N/A</v>
      </c>
      <c r="D559" s="78" t="e">
        <v>#N/A</v>
      </c>
      <c r="E559" s="120" t="e">
        <v>#N/A</v>
      </c>
      <c r="F559" s="78" t="e">
        <v>#N/A</v>
      </c>
      <c r="G559" s="78" t="e">
        <v>#N/A</v>
      </c>
    </row>
    <row r="560" customFormat="false" ht="15.75" hidden="false" customHeight="false" outlineLevel="0" collapsed="false">
      <c r="A560" s="78" t="e">
        <v>#N/A</v>
      </c>
      <c r="B560" s="120" t="e">
        <v>#N/A</v>
      </c>
      <c r="C560" s="78" t="e">
        <v>#N/A</v>
      </c>
      <c r="D560" s="78" t="e">
        <v>#N/A</v>
      </c>
      <c r="E560" s="120" t="e">
        <v>#N/A</v>
      </c>
      <c r="F560" s="78" t="e">
        <v>#N/A</v>
      </c>
      <c r="G560" s="78" t="e">
        <v>#N/A</v>
      </c>
    </row>
    <row r="561" customFormat="false" ht="15.75" hidden="false" customHeight="false" outlineLevel="0" collapsed="false">
      <c r="A561" s="78" t="e">
        <v>#N/A</v>
      </c>
      <c r="B561" s="120" t="e">
        <v>#N/A</v>
      </c>
      <c r="C561" s="78" t="e">
        <v>#N/A</v>
      </c>
      <c r="D561" s="78" t="e">
        <v>#N/A</v>
      </c>
      <c r="E561" s="120" t="e">
        <v>#N/A</v>
      </c>
      <c r="F561" s="78" t="e">
        <v>#N/A</v>
      </c>
      <c r="G561" s="78" t="e">
        <v>#N/A</v>
      </c>
    </row>
    <row r="562" customFormat="false" ht="15.75" hidden="false" customHeight="false" outlineLevel="0" collapsed="false">
      <c r="A562" s="78" t="e">
        <v>#N/A</v>
      </c>
      <c r="B562" s="120" t="e">
        <v>#N/A</v>
      </c>
      <c r="C562" s="78" t="e">
        <v>#N/A</v>
      </c>
      <c r="D562" s="78" t="e">
        <v>#N/A</v>
      </c>
      <c r="E562" s="120" t="e">
        <v>#N/A</v>
      </c>
      <c r="F562" s="78" t="e">
        <v>#N/A</v>
      </c>
      <c r="G562" s="78" t="e">
        <v>#N/A</v>
      </c>
    </row>
    <row r="563" customFormat="false" ht="15.75" hidden="false" customHeight="false" outlineLevel="0" collapsed="false">
      <c r="A563" s="78" t="e">
        <v>#N/A</v>
      </c>
      <c r="B563" s="120" t="e">
        <v>#N/A</v>
      </c>
      <c r="C563" s="78" t="e">
        <v>#N/A</v>
      </c>
      <c r="D563" s="78" t="e">
        <v>#N/A</v>
      </c>
      <c r="E563" s="120" t="e">
        <v>#N/A</v>
      </c>
      <c r="F563" s="78" t="e">
        <v>#N/A</v>
      </c>
      <c r="G563" s="78" t="e">
        <v>#N/A</v>
      </c>
    </row>
    <row r="564" customFormat="false" ht="15.75" hidden="false" customHeight="false" outlineLevel="0" collapsed="false">
      <c r="A564" s="78" t="e">
        <v>#N/A</v>
      </c>
      <c r="B564" s="120" t="e">
        <v>#N/A</v>
      </c>
      <c r="C564" s="78" t="e">
        <v>#N/A</v>
      </c>
      <c r="D564" s="78" t="e">
        <v>#N/A</v>
      </c>
      <c r="E564" s="120" t="e">
        <v>#N/A</v>
      </c>
      <c r="F564" s="78" t="e">
        <v>#N/A</v>
      </c>
      <c r="G564" s="78" t="e">
        <v>#N/A</v>
      </c>
    </row>
    <row r="565" customFormat="false" ht="15.75" hidden="false" customHeight="false" outlineLevel="0" collapsed="false">
      <c r="A565" s="78" t="e">
        <v>#N/A</v>
      </c>
      <c r="B565" s="120" t="e">
        <v>#N/A</v>
      </c>
      <c r="C565" s="78" t="e">
        <v>#N/A</v>
      </c>
      <c r="D565" s="78" t="e">
        <v>#N/A</v>
      </c>
      <c r="E565" s="120" t="e">
        <v>#N/A</v>
      </c>
      <c r="F565" s="78" t="e">
        <v>#N/A</v>
      </c>
      <c r="G565" s="78" t="e">
        <v>#N/A</v>
      </c>
    </row>
    <row r="566" customFormat="false" ht="15.75" hidden="false" customHeight="false" outlineLevel="0" collapsed="false">
      <c r="A566" s="78" t="e">
        <v>#N/A</v>
      </c>
      <c r="B566" s="120" t="e">
        <v>#N/A</v>
      </c>
      <c r="C566" s="78" t="e">
        <v>#N/A</v>
      </c>
      <c r="D566" s="78" t="e">
        <v>#N/A</v>
      </c>
      <c r="E566" s="120" t="e">
        <v>#N/A</v>
      </c>
      <c r="F566" s="78" t="e">
        <v>#N/A</v>
      </c>
      <c r="G566" s="78" t="e">
        <v>#N/A</v>
      </c>
    </row>
    <row r="567" customFormat="false" ht="15.75" hidden="false" customHeight="false" outlineLevel="0" collapsed="false">
      <c r="A567" s="78" t="e">
        <v>#N/A</v>
      </c>
      <c r="B567" s="120" t="e">
        <v>#N/A</v>
      </c>
      <c r="C567" s="78" t="e">
        <v>#N/A</v>
      </c>
      <c r="D567" s="78" t="e">
        <v>#N/A</v>
      </c>
      <c r="E567" s="120" t="e">
        <v>#N/A</v>
      </c>
      <c r="F567" s="78" t="e">
        <v>#N/A</v>
      </c>
      <c r="G567" s="78" t="e">
        <v>#N/A</v>
      </c>
    </row>
    <row r="568" customFormat="false" ht="15.75" hidden="false" customHeight="false" outlineLevel="0" collapsed="false">
      <c r="A568" s="78" t="e">
        <v>#N/A</v>
      </c>
      <c r="B568" s="120" t="e">
        <v>#N/A</v>
      </c>
      <c r="C568" s="78" t="e">
        <v>#N/A</v>
      </c>
      <c r="D568" s="78" t="e">
        <v>#N/A</v>
      </c>
      <c r="E568" s="120" t="e">
        <v>#N/A</v>
      </c>
      <c r="F568" s="78" t="e">
        <v>#N/A</v>
      </c>
      <c r="G568" s="78" t="e">
        <v>#N/A</v>
      </c>
    </row>
    <row r="569" customFormat="false" ht="15.75" hidden="false" customHeight="false" outlineLevel="0" collapsed="false">
      <c r="A569" s="78" t="e">
        <v>#N/A</v>
      </c>
      <c r="B569" s="120" t="e">
        <v>#N/A</v>
      </c>
      <c r="C569" s="78" t="e">
        <v>#N/A</v>
      </c>
      <c r="D569" s="78" t="e">
        <v>#N/A</v>
      </c>
      <c r="E569" s="120" t="e">
        <v>#N/A</v>
      </c>
      <c r="F569" s="78" t="e">
        <v>#N/A</v>
      </c>
      <c r="G569" s="78" t="e">
        <v>#N/A</v>
      </c>
    </row>
    <row r="570" customFormat="false" ht="15.75" hidden="false" customHeight="false" outlineLevel="0" collapsed="false">
      <c r="A570" s="78" t="e">
        <v>#N/A</v>
      </c>
      <c r="B570" s="120" t="e">
        <v>#N/A</v>
      </c>
      <c r="C570" s="78" t="e">
        <v>#N/A</v>
      </c>
      <c r="D570" s="78" t="e">
        <v>#N/A</v>
      </c>
      <c r="E570" s="120" t="e">
        <v>#N/A</v>
      </c>
      <c r="F570" s="78" t="e">
        <v>#N/A</v>
      </c>
      <c r="G570" s="78" t="e">
        <v>#N/A</v>
      </c>
    </row>
    <row r="571" customFormat="false" ht="15.75" hidden="false" customHeight="false" outlineLevel="0" collapsed="false">
      <c r="A571" s="78" t="e">
        <v>#N/A</v>
      </c>
      <c r="B571" s="120" t="e">
        <v>#N/A</v>
      </c>
      <c r="C571" s="78" t="e">
        <v>#N/A</v>
      </c>
      <c r="D571" s="78" t="e">
        <v>#N/A</v>
      </c>
      <c r="E571" s="120" t="e">
        <v>#N/A</v>
      </c>
      <c r="F571" s="78" t="e">
        <v>#N/A</v>
      </c>
      <c r="G571" s="78" t="e">
        <v>#N/A</v>
      </c>
    </row>
    <row r="572" customFormat="false" ht="15.75" hidden="false" customHeight="false" outlineLevel="0" collapsed="false">
      <c r="A572" s="78" t="e">
        <v>#N/A</v>
      </c>
      <c r="B572" s="120" t="e">
        <v>#N/A</v>
      </c>
      <c r="C572" s="78" t="e">
        <v>#N/A</v>
      </c>
      <c r="D572" s="78" t="e">
        <v>#N/A</v>
      </c>
      <c r="E572" s="120" t="e">
        <v>#N/A</v>
      </c>
      <c r="F572" s="78" t="e">
        <v>#N/A</v>
      </c>
      <c r="G572" s="78" t="e">
        <v>#N/A</v>
      </c>
    </row>
    <row r="573" customFormat="false" ht="15.75" hidden="false" customHeight="false" outlineLevel="0" collapsed="false">
      <c r="A573" s="78" t="e">
        <v>#N/A</v>
      </c>
      <c r="B573" s="120" t="e">
        <v>#N/A</v>
      </c>
      <c r="C573" s="78" t="e">
        <v>#N/A</v>
      </c>
      <c r="D573" s="78" t="e">
        <v>#N/A</v>
      </c>
      <c r="E573" s="120" t="e">
        <v>#N/A</v>
      </c>
      <c r="F573" s="78" t="e">
        <v>#N/A</v>
      </c>
      <c r="G573" s="78" t="e">
        <v>#N/A</v>
      </c>
    </row>
    <row r="574" customFormat="false" ht="15.75" hidden="false" customHeight="false" outlineLevel="0" collapsed="false">
      <c r="A574" s="78" t="e">
        <v>#N/A</v>
      </c>
      <c r="B574" s="120" t="e">
        <v>#N/A</v>
      </c>
      <c r="C574" s="78" t="e">
        <v>#N/A</v>
      </c>
      <c r="D574" s="78" t="e">
        <v>#N/A</v>
      </c>
      <c r="E574" s="120" t="e">
        <v>#N/A</v>
      </c>
      <c r="F574" s="78" t="e">
        <v>#N/A</v>
      </c>
      <c r="G574" s="78" t="e">
        <v>#N/A</v>
      </c>
    </row>
    <row r="575" customFormat="false" ht="15.75" hidden="false" customHeight="false" outlineLevel="0" collapsed="false">
      <c r="A575" s="78" t="e">
        <v>#N/A</v>
      </c>
      <c r="B575" s="120" t="e">
        <v>#N/A</v>
      </c>
      <c r="C575" s="78" t="e">
        <v>#N/A</v>
      </c>
      <c r="D575" s="78" t="e">
        <v>#N/A</v>
      </c>
      <c r="E575" s="120" t="e">
        <v>#N/A</v>
      </c>
      <c r="F575" s="78" t="e">
        <v>#N/A</v>
      </c>
      <c r="G575" s="78" t="e">
        <v>#N/A</v>
      </c>
    </row>
    <row r="576" customFormat="false" ht="15.75" hidden="false" customHeight="false" outlineLevel="0" collapsed="false">
      <c r="A576" s="78" t="e">
        <v>#N/A</v>
      </c>
      <c r="B576" s="120" t="e">
        <v>#N/A</v>
      </c>
      <c r="C576" s="78" t="e">
        <v>#N/A</v>
      </c>
      <c r="D576" s="78" t="e">
        <v>#N/A</v>
      </c>
      <c r="E576" s="120" t="e">
        <v>#N/A</v>
      </c>
      <c r="F576" s="78" t="e">
        <v>#N/A</v>
      </c>
      <c r="G576" s="78" t="e">
        <v>#N/A</v>
      </c>
    </row>
    <row r="577" customFormat="false" ht="15.75" hidden="false" customHeight="false" outlineLevel="0" collapsed="false">
      <c r="A577" s="78" t="e">
        <v>#N/A</v>
      </c>
      <c r="B577" s="120" t="e">
        <v>#N/A</v>
      </c>
      <c r="C577" s="78" t="e">
        <v>#N/A</v>
      </c>
      <c r="D577" s="78" t="e">
        <v>#N/A</v>
      </c>
      <c r="E577" s="120" t="e">
        <v>#N/A</v>
      </c>
      <c r="F577" s="78" t="e">
        <v>#N/A</v>
      </c>
      <c r="G577" s="78" t="e">
        <v>#N/A</v>
      </c>
    </row>
    <row r="578" customFormat="false" ht="15.75" hidden="false" customHeight="false" outlineLevel="0" collapsed="false">
      <c r="A578" s="78" t="e">
        <v>#N/A</v>
      </c>
      <c r="B578" s="120" t="e">
        <v>#N/A</v>
      </c>
      <c r="C578" s="78" t="e">
        <v>#N/A</v>
      </c>
      <c r="D578" s="78" t="e">
        <v>#N/A</v>
      </c>
      <c r="E578" s="120" t="e">
        <v>#N/A</v>
      </c>
      <c r="F578" s="78" t="e">
        <v>#N/A</v>
      </c>
      <c r="G578" s="78" t="e">
        <v>#N/A</v>
      </c>
    </row>
    <row r="579" customFormat="false" ht="15.75" hidden="false" customHeight="false" outlineLevel="0" collapsed="false">
      <c r="A579" s="78" t="e">
        <v>#N/A</v>
      </c>
      <c r="B579" s="120" t="e">
        <v>#N/A</v>
      </c>
      <c r="C579" s="78" t="e">
        <v>#N/A</v>
      </c>
      <c r="D579" s="78" t="e">
        <v>#N/A</v>
      </c>
      <c r="E579" s="120" t="e">
        <v>#N/A</v>
      </c>
      <c r="F579" s="78" t="e">
        <v>#N/A</v>
      </c>
      <c r="G579" s="78" t="e">
        <v>#N/A</v>
      </c>
    </row>
    <row r="580" customFormat="false" ht="15.75" hidden="false" customHeight="false" outlineLevel="0" collapsed="false">
      <c r="A580" s="78" t="e">
        <v>#N/A</v>
      </c>
      <c r="B580" s="120" t="e">
        <v>#N/A</v>
      </c>
      <c r="C580" s="78" t="e">
        <v>#N/A</v>
      </c>
      <c r="D580" s="78" t="e">
        <v>#N/A</v>
      </c>
      <c r="E580" s="120" t="e">
        <v>#N/A</v>
      </c>
      <c r="F580" s="78" t="e">
        <v>#N/A</v>
      </c>
      <c r="G580" s="78" t="e">
        <v>#N/A</v>
      </c>
    </row>
    <row r="581" customFormat="false" ht="15.75" hidden="false" customHeight="false" outlineLevel="0" collapsed="false">
      <c r="A581" s="78" t="e">
        <v>#N/A</v>
      </c>
      <c r="B581" s="120" t="e">
        <v>#N/A</v>
      </c>
      <c r="C581" s="78" t="e">
        <v>#N/A</v>
      </c>
      <c r="D581" s="78" t="e">
        <v>#N/A</v>
      </c>
      <c r="E581" s="120" t="e">
        <v>#N/A</v>
      </c>
      <c r="F581" s="78" t="e">
        <v>#N/A</v>
      </c>
      <c r="G581" s="78" t="e">
        <v>#N/A</v>
      </c>
    </row>
    <row r="582" customFormat="false" ht="15.75" hidden="false" customHeight="false" outlineLevel="0" collapsed="false">
      <c r="A582" s="78" t="e">
        <v>#N/A</v>
      </c>
      <c r="B582" s="120" t="e">
        <v>#N/A</v>
      </c>
      <c r="C582" s="78" t="e">
        <v>#N/A</v>
      </c>
      <c r="D582" s="78" t="e">
        <v>#N/A</v>
      </c>
      <c r="E582" s="120" t="e">
        <v>#N/A</v>
      </c>
      <c r="F582" s="78" t="e">
        <v>#N/A</v>
      </c>
      <c r="G582" s="78" t="e">
        <v>#N/A</v>
      </c>
    </row>
    <row r="583" customFormat="false" ht="15.75" hidden="false" customHeight="false" outlineLevel="0" collapsed="false">
      <c r="A583" s="78" t="e">
        <v>#N/A</v>
      </c>
      <c r="B583" s="120" t="e">
        <v>#N/A</v>
      </c>
      <c r="C583" s="78" t="e">
        <v>#N/A</v>
      </c>
      <c r="D583" s="78" t="e">
        <v>#N/A</v>
      </c>
      <c r="E583" s="120" t="e">
        <v>#N/A</v>
      </c>
      <c r="F583" s="78" t="e">
        <v>#N/A</v>
      </c>
      <c r="G583" s="78" t="e">
        <v>#N/A</v>
      </c>
    </row>
    <row r="584" customFormat="false" ht="15.75" hidden="false" customHeight="false" outlineLevel="0" collapsed="false">
      <c r="A584" s="78" t="e">
        <v>#N/A</v>
      </c>
      <c r="B584" s="120" t="e">
        <v>#N/A</v>
      </c>
      <c r="C584" s="78" t="e">
        <v>#N/A</v>
      </c>
      <c r="D584" s="78" t="e">
        <v>#N/A</v>
      </c>
      <c r="E584" s="120" t="e">
        <v>#N/A</v>
      </c>
      <c r="F584" s="78" t="e">
        <v>#N/A</v>
      </c>
      <c r="G584" s="78" t="e">
        <v>#N/A</v>
      </c>
    </row>
    <row r="585" customFormat="false" ht="15.75" hidden="false" customHeight="false" outlineLevel="0" collapsed="false">
      <c r="A585" s="78" t="e">
        <v>#N/A</v>
      </c>
      <c r="B585" s="120" t="e">
        <v>#N/A</v>
      </c>
      <c r="C585" s="78" t="e">
        <v>#N/A</v>
      </c>
      <c r="D585" s="78" t="e">
        <v>#N/A</v>
      </c>
      <c r="E585" s="120" t="e">
        <v>#N/A</v>
      </c>
      <c r="F585" s="78" t="e">
        <v>#N/A</v>
      </c>
      <c r="G585" s="78" t="e">
        <v>#N/A</v>
      </c>
    </row>
    <row r="586" customFormat="false" ht="15.75" hidden="false" customHeight="false" outlineLevel="0" collapsed="false">
      <c r="A586" s="78" t="e">
        <v>#N/A</v>
      </c>
      <c r="B586" s="120" t="e">
        <v>#N/A</v>
      </c>
      <c r="C586" s="78" t="e">
        <v>#N/A</v>
      </c>
      <c r="D586" s="78" t="e">
        <v>#N/A</v>
      </c>
      <c r="E586" s="120" t="e">
        <v>#N/A</v>
      </c>
      <c r="F586" s="78" t="e">
        <v>#N/A</v>
      </c>
      <c r="G586" s="78" t="e">
        <v>#N/A</v>
      </c>
    </row>
    <row r="587" customFormat="false" ht="15.75" hidden="false" customHeight="false" outlineLevel="0" collapsed="false">
      <c r="A587" s="78" t="e">
        <v>#N/A</v>
      </c>
      <c r="B587" s="120" t="e">
        <v>#N/A</v>
      </c>
      <c r="C587" s="78" t="e">
        <v>#N/A</v>
      </c>
      <c r="D587" s="78" t="e">
        <v>#N/A</v>
      </c>
      <c r="E587" s="120" t="e">
        <v>#N/A</v>
      </c>
      <c r="F587" s="78" t="e">
        <v>#N/A</v>
      </c>
      <c r="G587" s="78" t="e">
        <v>#N/A</v>
      </c>
    </row>
    <row r="588" customFormat="false" ht="15.75" hidden="false" customHeight="false" outlineLevel="0" collapsed="false">
      <c r="A588" s="78" t="e">
        <v>#N/A</v>
      </c>
      <c r="B588" s="120" t="e">
        <v>#N/A</v>
      </c>
      <c r="C588" s="78" t="e">
        <v>#N/A</v>
      </c>
      <c r="D588" s="78" t="e">
        <v>#N/A</v>
      </c>
      <c r="E588" s="120" t="e">
        <v>#N/A</v>
      </c>
      <c r="F588" s="78" t="e">
        <v>#N/A</v>
      </c>
      <c r="G588" s="78" t="e">
        <v>#N/A</v>
      </c>
    </row>
    <row r="589" customFormat="false" ht="15.75" hidden="false" customHeight="false" outlineLevel="0" collapsed="false">
      <c r="A589" s="78" t="e">
        <v>#N/A</v>
      </c>
      <c r="B589" s="120" t="e">
        <v>#N/A</v>
      </c>
      <c r="C589" s="78" t="e">
        <v>#N/A</v>
      </c>
      <c r="D589" s="78" t="e">
        <v>#N/A</v>
      </c>
      <c r="E589" s="120" t="e">
        <v>#N/A</v>
      </c>
      <c r="F589" s="78" t="e">
        <v>#N/A</v>
      </c>
      <c r="G589" s="78" t="e">
        <v>#N/A</v>
      </c>
    </row>
    <row r="590" customFormat="false" ht="15.75" hidden="false" customHeight="false" outlineLevel="0" collapsed="false">
      <c r="A590" s="78" t="e">
        <v>#N/A</v>
      </c>
      <c r="B590" s="120" t="e">
        <v>#N/A</v>
      </c>
      <c r="C590" s="78" t="e">
        <v>#N/A</v>
      </c>
      <c r="D590" s="78" t="e">
        <v>#N/A</v>
      </c>
      <c r="E590" s="120" t="e">
        <v>#N/A</v>
      </c>
      <c r="F590" s="78" t="e">
        <v>#N/A</v>
      </c>
      <c r="G590" s="78" t="e">
        <v>#N/A</v>
      </c>
    </row>
    <row r="591" customFormat="false" ht="15.75" hidden="false" customHeight="false" outlineLevel="0" collapsed="false">
      <c r="A591" s="78" t="e">
        <v>#N/A</v>
      </c>
      <c r="B591" s="120" t="e">
        <v>#N/A</v>
      </c>
      <c r="C591" s="78" t="e">
        <v>#N/A</v>
      </c>
      <c r="D591" s="78" t="e">
        <v>#N/A</v>
      </c>
      <c r="E591" s="120" t="e">
        <v>#N/A</v>
      </c>
      <c r="F591" s="78" t="e">
        <v>#N/A</v>
      </c>
      <c r="G591" s="78" t="e">
        <v>#N/A</v>
      </c>
    </row>
    <row r="592" customFormat="false" ht="15.75" hidden="false" customHeight="false" outlineLevel="0" collapsed="false">
      <c r="A592" s="78" t="e">
        <v>#N/A</v>
      </c>
      <c r="B592" s="120" t="e">
        <v>#N/A</v>
      </c>
      <c r="C592" s="78" t="e">
        <v>#N/A</v>
      </c>
      <c r="D592" s="78" t="e">
        <v>#N/A</v>
      </c>
      <c r="E592" s="120" t="e">
        <v>#N/A</v>
      </c>
      <c r="F592" s="78" t="e">
        <v>#N/A</v>
      </c>
      <c r="G592" s="78" t="e">
        <v>#N/A</v>
      </c>
    </row>
    <row r="593" customFormat="false" ht="15.75" hidden="false" customHeight="false" outlineLevel="0" collapsed="false">
      <c r="A593" s="78" t="e">
        <v>#N/A</v>
      </c>
      <c r="B593" s="120" t="e">
        <v>#N/A</v>
      </c>
      <c r="C593" s="78" t="e">
        <v>#N/A</v>
      </c>
      <c r="D593" s="78" t="e">
        <v>#N/A</v>
      </c>
      <c r="E593" s="120" t="e">
        <v>#N/A</v>
      </c>
      <c r="F593" s="78" t="e">
        <v>#N/A</v>
      </c>
      <c r="G593" s="78" t="e">
        <v>#N/A</v>
      </c>
    </row>
    <row r="594" customFormat="false" ht="15.75" hidden="false" customHeight="false" outlineLevel="0" collapsed="false">
      <c r="A594" s="78" t="e">
        <v>#N/A</v>
      </c>
      <c r="B594" s="120" t="e">
        <v>#N/A</v>
      </c>
      <c r="C594" s="78" t="e">
        <v>#N/A</v>
      </c>
      <c r="D594" s="78" t="e">
        <v>#N/A</v>
      </c>
      <c r="E594" s="120" t="e">
        <v>#N/A</v>
      </c>
      <c r="F594" s="78" t="e">
        <v>#N/A</v>
      </c>
      <c r="G594" s="78" t="e">
        <v>#N/A</v>
      </c>
    </row>
    <row r="595" customFormat="false" ht="15.75" hidden="false" customHeight="false" outlineLevel="0" collapsed="false">
      <c r="A595" s="78" t="e">
        <v>#N/A</v>
      </c>
      <c r="B595" s="120" t="e">
        <v>#N/A</v>
      </c>
      <c r="C595" s="78" t="e">
        <v>#N/A</v>
      </c>
      <c r="D595" s="78" t="e">
        <v>#N/A</v>
      </c>
      <c r="E595" s="120" t="e">
        <v>#N/A</v>
      </c>
      <c r="F595" s="78" t="e">
        <v>#N/A</v>
      </c>
      <c r="G595" s="78" t="e">
        <v>#N/A</v>
      </c>
    </row>
    <row r="596" customFormat="false" ht="15.75" hidden="false" customHeight="false" outlineLevel="0" collapsed="false">
      <c r="A596" s="78" t="e">
        <v>#N/A</v>
      </c>
      <c r="B596" s="120" t="e">
        <v>#N/A</v>
      </c>
      <c r="C596" s="78" t="e">
        <v>#N/A</v>
      </c>
      <c r="D596" s="78" t="e">
        <v>#N/A</v>
      </c>
      <c r="E596" s="120" t="e">
        <v>#N/A</v>
      </c>
      <c r="F596" s="78" t="e">
        <v>#N/A</v>
      </c>
      <c r="G596" s="78" t="e">
        <v>#N/A</v>
      </c>
    </row>
    <row r="597" customFormat="false" ht="15.75" hidden="false" customHeight="false" outlineLevel="0" collapsed="false">
      <c r="A597" s="78" t="e">
        <v>#N/A</v>
      </c>
      <c r="B597" s="120" t="e">
        <v>#N/A</v>
      </c>
      <c r="C597" s="78" t="e">
        <v>#N/A</v>
      </c>
      <c r="D597" s="78" t="e">
        <v>#N/A</v>
      </c>
      <c r="E597" s="120" t="e">
        <v>#N/A</v>
      </c>
      <c r="F597" s="78" t="e">
        <v>#N/A</v>
      </c>
      <c r="G597" s="78" t="e">
        <v>#N/A</v>
      </c>
    </row>
    <row r="598" customFormat="false" ht="15.75" hidden="false" customHeight="false" outlineLevel="0" collapsed="false">
      <c r="A598" s="78" t="e">
        <v>#N/A</v>
      </c>
      <c r="B598" s="120" t="e">
        <v>#N/A</v>
      </c>
      <c r="C598" s="78" t="e">
        <v>#N/A</v>
      </c>
      <c r="D598" s="78" t="e">
        <v>#N/A</v>
      </c>
      <c r="E598" s="120" t="e">
        <v>#N/A</v>
      </c>
      <c r="F598" s="78" t="e">
        <v>#N/A</v>
      </c>
      <c r="G598" s="78" t="e">
        <v>#N/A</v>
      </c>
    </row>
    <row r="599" customFormat="false" ht="15.75" hidden="false" customHeight="false" outlineLevel="0" collapsed="false">
      <c r="A599" s="78" t="e">
        <v>#N/A</v>
      </c>
      <c r="B599" s="120" t="e">
        <v>#N/A</v>
      </c>
      <c r="C599" s="78" t="e">
        <v>#N/A</v>
      </c>
      <c r="D599" s="78" t="e">
        <v>#N/A</v>
      </c>
      <c r="E599" s="120" t="e">
        <v>#N/A</v>
      </c>
      <c r="F599" s="78" t="e">
        <v>#N/A</v>
      </c>
      <c r="G599" s="78" t="e">
        <v>#N/A</v>
      </c>
    </row>
    <row r="600" customFormat="false" ht="15.75" hidden="false" customHeight="false" outlineLevel="0" collapsed="false">
      <c r="A600" s="78" t="e">
        <v>#N/A</v>
      </c>
      <c r="B600" s="120" t="e">
        <v>#N/A</v>
      </c>
      <c r="C600" s="78" t="e">
        <v>#N/A</v>
      </c>
      <c r="D600" s="78" t="e">
        <v>#N/A</v>
      </c>
      <c r="E600" s="120" t="e">
        <v>#N/A</v>
      </c>
      <c r="F600" s="78" t="e">
        <v>#N/A</v>
      </c>
      <c r="G600" s="78" t="e">
        <v>#N/A</v>
      </c>
    </row>
    <row r="601" customFormat="false" ht="15.75" hidden="false" customHeight="false" outlineLevel="0" collapsed="false">
      <c r="A601" s="78" t="e">
        <v>#N/A</v>
      </c>
      <c r="B601" s="120" t="e">
        <v>#N/A</v>
      </c>
      <c r="C601" s="78" t="e">
        <v>#N/A</v>
      </c>
      <c r="D601" s="78" t="e">
        <v>#N/A</v>
      </c>
      <c r="E601" s="120" t="e">
        <v>#N/A</v>
      </c>
      <c r="F601" s="78" t="e">
        <v>#N/A</v>
      </c>
      <c r="G601" s="78" t="e">
        <v>#N/A</v>
      </c>
    </row>
    <row r="602" customFormat="false" ht="15.75" hidden="false" customHeight="false" outlineLevel="0" collapsed="false">
      <c r="A602" s="78" t="e">
        <v>#N/A</v>
      </c>
      <c r="B602" s="120" t="e">
        <v>#N/A</v>
      </c>
      <c r="C602" s="78" t="e">
        <v>#N/A</v>
      </c>
      <c r="D602" s="78" t="e">
        <v>#N/A</v>
      </c>
      <c r="E602" s="120" t="e">
        <v>#N/A</v>
      </c>
      <c r="F602" s="78" t="e">
        <v>#N/A</v>
      </c>
      <c r="G602" s="78" t="e">
        <v>#N/A</v>
      </c>
    </row>
    <row r="603" customFormat="false" ht="15.75" hidden="false" customHeight="false" outlineLevel="0" collapsed="false">
      <c r="A603" s="78" t="e">
        <v>#N/A</v>
      </c>
      <c r="B603" s="120" t="e">
        <v>#N/A</v>
      </c>
      <c r="C603" s="78" t="e">
        <v>#N/A</v>
      </c>
      <c r="D603" s="78" t="e">
        <v>#N/A</v>
      </c>
      <c r="E603" s="120" t="e">
        <v>#N/A</v>
      </c>
      <c r="F603" s="78" t="e">
        <v>#N/A</v>
      </c>
      <c r="G603" s="78" t="e">
        <v>#N/A</v>
      </c>
    </row>
    <row r="604" customFormat="false" ht="15.75" hidden="false" customHeight="false" outlineLevel="0" collapsed="false">
      <c r="A604" s="78" t="e">
        <v>#N/A</v>
      </c>
      <c r="B604" s="120" t="e">
        <v>#N/A</v>
      </c>
      <c r="C604" s="78" t="e">
        <v>#N/A</v>
      </c>
      <c r="D604" s="78" t="e">
        <v>#N/A</v>
      </c>
      <c r="E604" s="120" t="e">
        <v>#N/A</v>
      </c>
      <c r="F604" s="78" t="e">
        <v>#N/A</v>
      </c>
      <c r="G604" s="78" t="e">
        <v>#N/A</v>
      </c>
    </row>
    <row r="605" customFormat="false" ht="15.75" hidden="false" customHeight="false" outlineLevel="0" collapsed="false">
      <c r="A605" s="78" t="e">
        <v>#N/A</v>
      </c>
      <c r="B605" s="120" t="e">
        <v>#N/A</v>
      </c>
      <c r="C605" s="78" t="e">
        <v>#N/A</v>
      </c>
      <c r="D605" s="78" t="e">
        <v>#N/A</v>
      </c>
      <c r="E605" s="120" t="e">
        <v>#N/A</v>
      </c>
      <c r="F605" s="78" t="e">
        <v>#N/A</v>
      </c>
      <c r="G605" s="78" t="e">
        <v>#N/A</v>
      </c>
    </row>
    <row r="606" customFormat="false" ht="15.75" hidden="false" customHeight="false" outlineLevel="0" collapsed="false">
      <c r="A606" s="78" t="e">
        <v>#N/A</v>
      </c>
      <c r="B606" s="120" t="e">
        <v>#N/A</v>
      </c>
      <c r="C606" s="78" t="e">
        <v>#N/A</v>
      </c>
      <c r="D606" s="78" t="e">
        <v>#N/A</v>
      </c>
      <c r="E606" s="120" t="e">
        <v>#N/A</v>
      </c>
      <c r="F606" s="78" t="e">
        <v>#N/A</v>
      </c>
      <c r="G606" s="78" t="e">
        <v>#N/A</v>
      </c>
    </row>
    <row r="607" customFormat="false" ht="15.75" hidden="false" customHeight="false" outlineLevel="0" collapsed="false">
      <c r="A607" s="78" t="e">
        <v>#N/A</v>
      </c>
      <c r="B607" s="120" t="e">
        <v>#N/A</v>
      </c>
      <c r="C607" s="78" t="e">
        <v>#N/A</v>
      </c>
      <c r="D607" s="78" t="e">
        <v>#N/A</v>
      </c>
      <c r="E607" s="120" t="e">
        <v>#N/A</v>
      </c>
      <c r="F607" s="78" t="e">
        <v>#N/A</v>
      </c>
      <c r="G607" s="78" t="e">
        <v>#N/A</v>
      </c>
    </row>
    <row r="608" customFormat="false" ht="15.75" hidden="false" customHeight="false" outlineLevel="0" collapsed="false">
      <c r="A608" s="78" t="e">
        <v>#N/A</v>
      </c>
      <c r="B608" s="120" t="e">
        <v>#N/A</v>
      </c>
      <c r="C608" s="78" t="e">
        <v>#N/A</v>
      </c>
      <c r="D608" s="78" t="e">
        <v>#N/A</v>
      </c>
      <c r="E608" s="120" t="e">
        <v>#N/A</v>
      </c>
      <c r="F608" s="78" t="e">
        <v>#N/A</v>
      </c>
      <c r="G608" s="78" t="e">
        <v>#N/A</v>
      </c>
    </row>
    <row r="609" customFormat="false" ht="15.75" hidden="false" customHeight="false" outlineLevel="0" collapsed="false">
      <c r="A609" s="78" t="e">
        <v>#N/A</v>
      </c>
      <c r="B609" s="120" t="e">
        <v>#N/A</v>
      </c>
      <c r="C609" s="78" t="e">
        <v>#N/A</v>
      </c>
      <c r="D609" s="78" t="e">
        <v>#N/A</v>
      </c>
      <c r="E609" s="120" t="e">
        <v>#N/A</v>
      </c>
      <c r="F609" s="78" t="e">
        <v>#N/A</v>
      </c>
      <c r="G609" s="78" t="e">
        <v>#N/A</v>
      </c>
    </row>
    <row r="610" customFormat="false" ht="15.75" hidden="false" customHeight="false" outlineLevel="0" collapsed="false">
      <c r="A610" s="78" t="e">
        <v>#N/A</v>
      </c>
      <c r="B610" s="120" t="e">
        <v>#N/A</v>
      </c>
      <c r="C610" s="78" t="e">
        <v>#N/A</v>
      </c>
      <c r="D610" s="78" t="e">
        <v>#N/A</v>
      </c>
      <c r="E610" s="120" t="e">
        <v>#N/A</v>
      </c>
      <c r="F610" s="78" t="e">
        <v>#N/A</v>
      </c>
      <c r="G610" s="78" t="e">
        <v>#N/A</v>
      </c>
    </row>
    <row r="611" customFormat="false" ht="15.75" hidden="false" customHeight="false" outlineLevel="0" collapsed="false">
      <c r="A611" s="78" t="e">
        <v>#N/A</v>
      </c>
      <c r="B611" s="120" t="e">
        <v>#N/A</v>
      </c>
      <c r="C611" s="78" t="e">
        <v>#N/A</v>
      </c>
      <c r="D611" s="78" t="e">
        <v>#N/A</v>
      </c>
      <c r="E611" s="120" t="e">
        <v>#N/A</v>
      </c>
      <c r="F611" s="78" t="e">
        <v>#N/A</v>
      </c>
      <c r="G611" s="78" t="e">
        <v>#N/A</v>
      </c>
    </row>
    <row r="612" customFormat="false" ht="15.75" hidden="false" customHeight="false" outlineLevel="0" collapsed="false">
      <c r="A612" s="78" t="e">
        <v>#N/A</v>
      </c>
      <c r="B612" s="120" t="e">
        <v>#N/A</v>
      </c>
      <c r="C612" s="78" t="e">
        <v>#N/A</v>
      </c>
      <c r="D612" s="78" t="e">
        <v>#N/A</v>
      </c>
      <c r="E612" s="120" t="e">
        <v>#N/A</v>
      </c>
      <c r="F612" s="78" t="e">
        <v>#N/A</v>
      </c>
      <c r="G612" s="78" t="e">
        <v>#N/A</v>
      </c>
    </row>
    <row r="613" customFormat="false" ht="15.75" hidden="false" customHeight="false" outlineLevel="0" collapsed="false">
      <c r="A613" s="78" t="e">
        <v>#N/A</v>
      </c>
      <c r="B613" s="120" t="e">
        <v>#N/A</v>
      </c>
      <c r="C613" s="78" t="e">
        <v>#N/A</v>
      </c>
      <c r="D613" s="78" t="e">
        <v>#N/A</v>
      </c>
      <c r="E613" s="120" t="e">
        <v>#N/A</v>
      </c>
      <c r="F613" s="78" t="e">
        <v>#N/A</v>
      </c>
      <c r="G613" s="78" t="e">
        <v>#N/A</v>
      </c>
    </row>
    <row r="614" customFormat="false" ht="15.75" hidden="false" customHeight="false" outlineLevel="0" collapsed="false">
      <c r="A614" s="78" t="e">
        <v>#N/A</v>
      </c>
      <c r="B614" s="120" t="e">
        <v>#N/A</v>
      </c>
      <c r="C614" s="78" t="e">
        <v>#N/A</v>
      </c>
      <c r="D614" s="78" t="e">
        <v>#N/A</v>
      </c>
      <c r="E614" s="120" t="e">
        <v>#N/A</v>
      </c>
      <c r="F614" s="78" t="e">
        <v>#N/A</v>
      </c>
      <c r="G614" s="78" t="e">
        <v>#N/A</v>
      </c>
    </row>
    <row r="615" customFormat="false" ht="15.75" hidden="false" customHeight="false" outlineLevel="0" collapsed="false">
      <c r="A615" s="78" t="e">
        <v>#N/A</v>
      </c>
      <c r="B615" s="120" t="e">
        <v>#N/A</v>
      </c>
      <c r="C615" s="78" t="e">
        <v>#N/A</v>
      </c>
      <c r="D615" s="78" t="e">
        <v>#N/A</v>
      </c>
      <c r="E615" s="120" t="e">
        <v>#N/A</v>
      </c>
      <c r="F615" s="78" t="e">
        <v>#N/A</v>
      </c>
      <c r="G615" s="78" t="e">
        <v>#N/A</v>
      </c>
    </row>
    <row r="616" customFormat="false" ht="15.75" hidden="false" customHeight="false" outlineLevel="0" collapsed="false">
      <c r="A616" s="78" t="e">
        <v>#N/A</v>
      </c>
      <c r="B616" s="120" t="e">
        <v>#N/A</v>
      </c>
      <c r="C616" s="78" t="e">
        <v>#N/A</v>
      </c>
      <c r="D616" s="78" t="e">
        <v>#N/A</v>
      </c>
      <c r="E616" s="120" t="e">
        <v>#N/A</v>
      </c>
      <c r="F616" s="78" t="e">
        <v>#N/A</v>
      </c>
      <c r="G616" s="78" t="e">
        <v>#N/A</v>
      </c>
    </row>
    <row r="617" customFormat="false" ht="15.75" hidden="false" customHeight="false" outlineLevel="0" collapsed="false">
      <c r="A617" s="78" t="e">
        <v>#N/A</v>
      </c>
      <c r="B617" s="120" t="e">
        <v>#N/A</v>
      </c>
      <c r="C617" s="78" t="e">
        <v>#N/A</v>
      </c>
      <c r="D617" s="78" t="e">
        <v>#N/A</v>
      </c>
      <c r="E617" s="120" t="e">
        <v>#N/A</v>
      </c>
      <c r="F617" s="78" t="e">
        <v>#N/A</v>
      </c>
      <c r="G617" s="78" t="e">
        <v>#N/A</v>
      </c>
    </row>
    <row r="618" customFormat="false" ht="15.75" hidden="false" customHeight="false" outlineLevel="0" collapsed="false">
      <c r="A618" s="78" t="e">
        <v>#N/A</v>
      </c>
      <c r="B618" s="120" t="e">
        <v>#N/A</v>
      </c>
      <c r="C618" s="78" t="e">
        <v>#N/A</v>
      </c>
      <c r="D618" s="78" t="e">
        <v>#N/A</v>
      </c>
      <c r="E618" s="120" t="e">
        <v>#N/A</v>
      </c>
      <c r="F618" s="78" t="e">
        <v>#N/A</v>
      </c>
      <c r="G618" s="78" t="e">
        <v>#N/A</v>
      </c>
    </row>
    <row r="619" customFormat="false" ht="15.75" hidden="false" customHeight="false" outlineLevel="0" collapsed="false">
      <c r="A619" s="78" t="e">
        <v>#N/A</v>
      </c>
      <c r="B619" s="120" t="e">
        <v>#N/A</v>
      </c>
      <c r="C619" s="78" t="e">
        <v>#N/A</v>
      </c>
      <c r="D619" s="78" t="e">
        <v>#N/A</v>
      </c>
      <c r="E619" s="120" t="e">
        <v>#N/A</v>
      </c>
      <c r="F619" s="78" t="e">
        <v>#N/A</v>
      </c>
      <c r="G619" s="78" t="e">
        <v>#N/A</v>
      </c>
    </row>
    <row r="620" customFormat="false" ht="15.75" hidden="false" customHeight="false" outlineLevel="0" collapsed="false">
      <c r="A620" s="78" t="e">
        <v>#N/A</v>
      </c>
      <c r="B620" s="120" t="e">
        <v>#N/A</v>
      </c>
      <c r="C620" s="78" t="e">
        <v>#N/A</v>
      </c>
      <c r="D620" s="78" t="e">
        <v>#N/A</v>
      </c>
      <c r="E620" s="120" t="e">
        <v>#N/A</v>
      </c>
      <c r="F620" s="78" t="e">
        <v>#N/A</v>
      </c>
      <c r="G620" s="78" t="e">
        <v>#N/A</v>
      </c>
    </row>
    <row r="621" customFormat="false" ht="15.75" hidden="false" customHeight="false" outlineLevel="0" collapsed="false">
      <c r="A621" s="78" t="e">
        <v>#N/A</v>
      </c>
      <c r="B621" s="120" t="e">
        <v>#N/A</v>
      </c>
      <c r="C621" s="78" t="e">
        <v>#N/A</v>
      </c>
      <c r="D621" s="78" t="e">
        <v>#N/A</v>
      </c>
      <c r="E621" s="120" t="e">
        <v>#N/A</v>
      </c>
      <c r="F621" s="78" t="e">
        <v>#N/A</v>
      </c>
      <c r="G621" s="78" t="e">
        <v>#N/A</v>
      </c>
    </row>
    <row r="622" customFormat="false" ht="15.75" hidden="false" customHeight="false" outlineLevel="0" collapsed="false">
      <c r="A622" s="78" t="e">
        <v>#N/A</v>
      </c>
      <c r="B622" s="120" t="e">
        <v>#N/A</v>
      </c>
      <c r="C622" s="78" t="e">
        <v>#N/A</v>
      </c>
      <c r="D622" s="78" t="e">
        <v>#N/A</v>
      </c>
      <c r="E622" s="120" t="e">
        <v>#N/A</v>
      </c>
      <c r="F622" s="78" t="e">
        <v>#N/A</v>
      </c>
      <c r="G622" s="78" t="e">
        <v>#N/A</v>
      </c>
    </row>
    <row r="623" customFormat="false" ht="15.75" hidden="false" customHeight="false" outlineLevel="0" collapsed="false">
      <c r="A623" s="78" t="e">
        <v>#N/A</v>
      </c>
      <c r="B623" s="120" t="e">
        <v>#N/A</v>
      </c>
      <c r="C623" s="78" t="e">
        <v>#N/A</v>
      </c>
      <c r="D623" s="78" t="e">
        <v>#N/A</v>
      </c>
      <c r="E623" s="120" t="e">
        <v>#N/A</v>
      </c>
      <c r="F623" s="78" t="e">
        <v>#N/A</v>
      </c>
      <c r="G623" s="78" t="e">
        <v>#N/A</v>
      </c>
    </row>
    <row r="624" customFormat="false" ht="15.75" hidden="false" customHeight="false" outlineLevel="0" collapsed="false">
      <c r="A624" s="78" t="e">
        <v>#N/A</v>
      </c>
      <c r="B624" s="120" t="e">
        <v>#N/A</v>
      </c>
      <c r="C624" s="78" t="e">
        <v>#N/A</v>
      </c>
      <c r="D624" s="78" t="e">
        <v>#N/A</v>
      </c>
      <c r="E624" s="120" t="e">
        <v>#N/A</v>
      </c>
      <c r="F624" s="78" t="e">
        <v>#N/A</v>
      </c>
      <c r="G624" s="78" t="e">
        <v>#N/A</v>
      </c>
    </row>
    <row r="625" customFormat="false" ht="15.75" hidden="false" customHeight="false" outlineLevel="0" collapsed="false">
      <c r="A625" s="78" t="e">
        <v>#N/A</v>
      </c>
      <c r="B625" s="120" t="e">
        <v>#N/A</v>
      </c>
      <c r="C625" s="78" t="e">
        <v>#N/A</v>
      </c>
      <c r="D625" s="78" t="e">
        <v>#N/A</v>
      </c>
      <c r="E625" s="120" t="e">
        <v>#N/A</v>
      </c>
      <c r="F625" s="78" t="e">
        <v>#N/A</v>
      </c>
      <c r="G625" s="78" t="e">
        <v>#N/A</v>
      </c>
    </row>
    <row r="626" customFormat="false" ht="15.75" hidden="false" customHeight="false" outlineLevel="0" collapsed="false">
      <c r="A626" s="78" t="e">
        <v>#N/A</v>
      </c>
      <c r="B626" s="120" t="e">
        <v>#N/A</v>
      </c>
      <c r="C626" s="78" t="e">
        <v>#N/A</v>
      </c>
      <c r="D626" s="78" t="e">
        <v>#N/A</v>
      </c>
      <c r="E626" s="120" t="e">
        <v>#N/A</v>
      </c>
      <c r="F626" s="78" t="e">
        <v>#N/A</v>
      </c>
      <c r="G626" s="78" t="e">
        <v>#N/A</v>
      </c>
    </row>
    <row r="627" customFormat="false" ht="15.75" hidden="false" customHeight="false" outlineLevel="0" collapsed="false">
      <c r="A627" s="78" t="e">
        <v>#N/A</v>
      </c>
      <c r="B627" s="120" t="e">
        <v>#N/A</v>
      </c>
      <c r="C627" s="78" t="e">
        <v>#N/A</v>
      </c>
      <c r="D627" s="78" t="e">
        <v>#N/A</v>
      </c>
      <c r="E627" s="120" t="e">
        <v>#N/A</v>
      </c>
      <c r="F627" s="78" t="e">
        <v>#N/A</v>
      </c>
      <c r="G627" s="78" t="e">
        <v>#N/A</v>
      </c>
    </row>
    <row r="628" customFormat="false" ht="15.75" hidden="false" customHeight="false" outlineLevel="0" collapsed="false">
      <c r="A628" s="78" t="e">
        <v>#N/A</v>
      </c>
      <c r="B628" s="120" t="e">
        <v>#N/A</v>
      </c>
      <c r="C628" s="78" t="e">
        <v>#N/A</v>
      </c>
      <c r="D628" s="78" t="e">
        <v>#N/A</v>
      </c>
      <c r="E628" s="120" t="e">
        <v>#N/A</v>
      </c>
      <c r="F628" s="78" t="e">
        <v>#N/A</v>
      </c>
      <c r="G628" s="78" t="e">
        <v>#N/A</v>
      </c>
    </row>
    <row r="629" customFormat="false" ht="15.75" hidden="false" customHeight="false" outlineLevel="0" collapsed="false">
      <c r="A629" s="78" t="e">
        <v>#N/A</v>
      </c>
      <c r="B629" s="120" t="e">
        <v>#N/A</v>
      </c>
      <c r="C629" s="78" t="e">
        <v>#N/A</v>
      </c>
      <c r="D629" s="78" t="e">
        <v>#N/A</v>
      </c>
      <c r="E629" s="120" t="e">
        <v>#N/A</v>
      </c>
      <c r="F629" s="78" t="e">
        <v>#N/A</v>
      </c>
      <c r="G629" s="78" t="e">
        <v>#N/A</v>
      </c>
    </row>
    <row r="630" customFormat="false" ht="15.75" hidden="false" customHeight="false" outlineLevel="0" collapsed="false">
      <c r="A630" s="78" t="e">
        <v>#N/A</v>
      </c>
      <c r="B630" s="120" t="e">
        <v>#N/A</v>
      </c>
      <c r="C630" s="78" t="e">
        <v>#N/A</v>
      </c>
      <c r="D630" s="78" t="e">
        <v>#N/A</v>
      </c>
      <c r="E630" s="120" t="e">
        <v>#N/A</v>
      </c>
      <c r="F630" s="78" t="e">
        <v>#N/A</v>
      </c>
      <c r="G630" s="78" t="e">
        <v>#N/A</v>
      </c>
    </row>
    <row r="631" customFormat="false" ht="15.75" hidden="false" customHeight="false" outlineLevel="0" collapsed="false">
      <c r="A631" s="78" t="e">
        <v>#N/A</v>
      </c>
      <c r="B631" s="120" t="e">
        <v>#N/A</v>
      </c>
      <c r="C631" s="78" t="e">
        <v>#N/A</v>
      </c>
      <c r="D631" s="78" t="e">
        <v>#N/A</v>
      </c>
      <c r="E631" s="120" t="e">
        <v>#N/A</v>
      </c>
      <c r="F631" s="78" t="e">
        <v>#N/A</v>
      </c>
      <c r="G631" s="78" t="e">
        <v>#N/A</v>
      </c>
    </row>
    <row r="632" customFormat="false" ht="15.75" hidden="false" customHeight="false" outlineLevel="0" collapsed="false">
      <c r="A632" s="78" t="e">
        <v>#N/A</v>
      </c>
      <c r="B632" s="120" t="e">
        <v>#N/A</v>
      </c>
      <c r="C632" s="78" t="e">
        <v>#N/A</v>
      </c>
      <c r="D632" s="78" t="e">
        <v>#N/A</v>
      </c>
      <c r="E632" s="120" t="e">
        <v>#N/A</v>
      </c>
      <c r="F632" s="78" t="e">
        <v>#N/A</v>
      </c>
      <c r="G632" s="78" t="e">
        <v>#N/A</v>
      </c>
    </row>
    <row r="633" customFormat="false" ht="15.75" hidden="false" customHeight="false" outlineLevel="0" collapsed="false">
      <c r="A633" s="78" t="e">
        <v>#N/A</v>
      </c>
      <c r="B633" s="120" t="e">
        <v>#N/A</v>
      </c>
      <c r="C633" s="78" t="e">
        <v>#N/A</v>
      </c>
      <c r="D633" s="78" t="e">
        <v>#N/A</v>
      </c>
      <c r="E633" s="120" t="e">
        <v>#N/A</v>
      </c>
      <c r="F633" s="78" t="e">
        <v>#N/A</v>
      </c>
      <c r="G633" s="78" t="e">
        <v>#N/A</v>
      </c>
    </row>
    <row r="634" customFormat="false" ht="15.75" hidden="false" customHeight="false" outlineLevel="0" collapsed="false">
      <c r="A634" s="78" t="e">
        <v>#N/A</v>
      </c>
      <c r="B634" s="120" t="e">
        <v>#N/A</v>
      </c>
      <c r="C634" s="78" t="e">
        <v>#N/A</v>
      </c>
      <c r="D634" s="78" t="e">
        <v>#N/A</v>
      </c>
      <c r="E634" s="120" t="e">
        <v>#N/A</v>
      </c>
      <c r="F634" s="78" t="e">
        <v>#N/A</v>
      </c>
      <c r="G634" s="78" t="e">
        <v>#N/A</v>
      </c>
    </row>
    <row r="635" customFormat="false" ht="15.75" hidden="false" customHeight="false" outlineLevel="0" collapsed="false">
      <c r="A635" s="78" t="e">
        <v>#N/A</v>
      </c>
      <c r="B635" s="120" t="e">
        <v>#N/A</v>
      </c>
      <c r="C635" s="78" t="e">
        <v>#N/A</v>
      </c>
      <c r="D635" s="78" t="e">
        <v>#N/A</v>
      </c>
      <c r="E635" s="120" t="e">
        <v>#N/A</v>
      </c>
      <c r="F635" s="78" t="e">
        <v>#N/A</v>
      </c>
      <c r="G635" s="78" t="e">
        <v>#N/A</v>
      </c>
    </row>
    <row r="636" customFormat="false" ht="15.75" hidden="false" customHeight="false" outlineLevel="0" collapsed="false">
      <c r="A636" s="78" t="e">
        <v>#N/A</v>
      </c>
      <c r="B636" s="120" t="e">
        <v>#N/A</v>
      </c>
      <c r="C636" s="78" t="e">
        <v>#N/A</v>
      </c>
      <c r="D636" s="78" t="e">
        <v>#N/A</v>
      </c>
      <c r="E636" s="120" t="e">
        <v>#N/A</v>
      </c>
      <c r="F636" s="78" t="e">
        <v>#N/A</v>
      </c>
      <c r="G636" s="78" t="e">
        <v>#N/A</v>
      </c>
    </row>
    <row r="637" customFormat="false" ht="15.75" hidden="false" customHeight="false" outlineLevel="0" collapsed="false">
      <c r="A637" s="78" t="e">
        <v>#N/A</v>
      </c>
      <c r="B637" s="120" t="e">
        <v>#N/A</v>
      </c>
      <c r="C637" s="78" t="e">
        <v>#N/A</v>
      </c>
      <c r="D637" s="78" t="e">
        <v>#N/A</v>
      </c>
      <c r="E637" s="120" t="e">
        <v>#N/A</v>
      </c>
      <c r="F637" s="78" t="e">
        <v>#N/A</v>
      </c>
      <c r="G637" s="78" t="e">
        <v>#N/A</v>
      </c>
    </row>
    <row r="638" customFormat="false" ht="15.75" hidden="false" customHeight="false" outlineLevel="0" collapsed="false">
      <c r="A638" s="78" t="e">
        <v>#N/A</v>
      </c>
      <c r="B638" s="120" t="e">
        <v>#N/A</v>
      </c>
      <c r="C638" s="78" t="e">
        <v>#N/A</v>
      </c>
      <c r="D638" s="78" t="e">
        <v>#N/A</v>
      </c>
      <c r="E638" s="120" t="e">
        <v>#N/A</v>
      </c>
      <c r="F638" s="78" t="e">
        <v>#N/A</v>
      </c>
      <c r="G638" s="78" t="e">
        <v>#N/A</v>
      </c>
    </row>
    <row r="639" customFormat="false" ht="15.75" hidden="false" customHeight="false" outlineLevel="0" collapsed="false">
      <c r="A639" s="78" t="e">
        <v>#N/A</v>
      </c>
      <c r="B639" s="120" t="e">
        <v>#N/A</v>
      </c>
      <c r="C639" s="78" t="e">
        <v>#N/A</v>
      </c>
      <c r="D639" s="78" t="e">
        <v>#N/A</v>
      </c>
      <c r="E639" s="120" t="e">
        <v>#N/A</v>
      </c>
      <c r="F639" s="78" t="e">
        <v>#N/A</v>
      </c>
      <c r="G639" s="78" t="e">
        <v>#N/A</v>
      </c>
    </row>
    <row r="640" customFormat="false" ht="15.75" hidden="false" customHeight="false" outlineLevel="0" collapsed="false">
      <c r="A640" s="78" t="e">
        <v>#N/A</v>
      </c>
      <c r="B640" s="120" t="e">
        <v>#N/A</v>
      </c>
      <c r="C640" s="78" t="e">
        <v>#N/A</v>
      </c>
      <c r="D640" s="78" t="e">
        <v>#N/A</v>
      </c>
      <c r="E640" s="120" t="e">
        <v>#N/A</v>
      </c>
      <c r="F640" s="78" t="e">
        <v>#N/A</v>
      </c>
      <c r="G640" s="78" t="e">
        <v>#N/A</v>
      </c>
    </row>
    <row r="641" customFormat="false" ht="15.75" hidden="false" customHeight="false" outlineLevel="0" collapsed="false">
      <c r="A641" s="78" t="e">
        <v>#N/A</v>
      </c>
      <c r="B641" s="120" t="e">
        <v>#N/A</v>
      </c>
      <c r="C641" s="78" t="e">
        <v>#N/A</v>
      </c>
      <c r="D641" s="78" t="e">
        <v>#N/A</v>
      </c>
      <c r="E641" s="120" t="e">
        <v>#N/A</v>
      </c>
      <c r="F641" s="78" t="e">
        <v>#N/A</v>
      </c>
      <c r="G641" s="78" t="e">
        <v>#N/A</v>
      </c>
    </row>
    <row r="642" customFormat="false" ht="15.75" hidden="false" customHeight="false" outlineLevel="0" collapsed="false">
      <c r="A642" s="78" t="e">
        <v>#N/A</v>
      </c>
      <c r="B642" s="120" t="e">
        <v>#N/A</v>
      </c>
      <c r="C642" s="78" t="e">
        <v>#N/A</v>
      </c>
      <c r="D642" s="78" t="e">
        <v>#N/A</v>
      </c>
      <c r="E642" s="120" t="e">
        <v>#N/A</v>
      </c>
      <c r="F642" s="78" t="e">
        <v>#N/A</v>
      </c>
      <c r="G642" s="78" t="e">
        <v>#N/A</v>
      </c>
    </row>
    <row r="643" customFormat="false" ht="15.75" hidden="false" customHeight="false" outlineLevel="0" collapsed="false">
      <c r="A643" s="78" t="e">
        <v>#N/A</v>
      </c>
      <c r="B643" s="120" t="e">
        <v>#N/A</v>
      </c>
      <c r="C643" s="78" t="e">
        <v>#N/A</v>
      </c>
      <c r="D643" s="78" t="e">
        <v>#N/A</v>
      </c>
      <c r="E643" s="120" t="e">
        <v>#N/A</v>
      </c>
      <c r="F643" s="78" t="e">
        <v>#N/A</v>
      </c>
      <c r="G643" s="78" t="e">
        <v>#N/A</v>
      </c>
    </row>
    <row r="644" customFormat="false" ht="15.75" hidden="false" customHeight="false" outlineLevel="0" collapsed="false">
      <c r="A644" s="78" t="e">
        <v>#N/A</v>
      </c>
      <c r="B644" s="120" t="e">
        <v>#N/A</v>
      </c>
      <c r="C644" s="78" t="e">
        <v>#N/A</v>
      </c>
      <c r="D644" s="78" t="e">
        <v>#N/A</v>
      </c>
      <c r="E644" s="120" t="e">
        <v>#N/A</v>
      </c>
      <c r="F644" s="78" t="e">
        <v>#N/A</v>
      </c>
      <c r="G644" s="78" t="e">
        <v>#N/A</v>
      </c>
    </row>
    <row r="645" customFormat="false" ht="15.75" hidden="false" customHeight="false" outlineLevel="0" collapsed="false">
      <c r="A645" s="78" t="e">
        <v>#N/A</v>
      </c>
      <c r="B645" s="120" t="e">
        <v>#N/A</v>
      </c>
      <c r="C645" s="78" t="e">
        <v>#N/A</v>
      </c>
      <c r="D645" s="78" t="e">
        <v>#N/A</v>
      </c>
      <c r="E645" s="120" t="e">
        <v>#N/A</v>
      </c>
      <c r="F645" s="78" t="e">
        <v>#N/A</v>
      </c>
      <c r="G645" s="78" t="e">
        <v>#N/A</v>
      </c>
    </row>
    <row r="646" customFormat="false" ht="15.75" hidden="false" customHeight="false" outlineLevel="0" collapsed="false">
      <c r="A646" s="78" t="e">
        <v>#N/A</v>
      </c>
      <c r="B646" s="120" t="e">
        <v>#N/A</v>
      </c>
      <c r="C646" s="78" t="e">
        <v>#N/A</v>
      </c>
      <c r="D646" s="78" t="e">
        <v>#N/A</v>
      </c>
      <c r="E646" s="120" t="e">
        <v>#N/A</v>
      </c>
      <c r="F646" s="78" t="e">
        <v>#N/A</v>
      </c>
      <c r="G646" s="78" t="e">
        <v>#N/A</v>
      </c>
    </row>
    <row r="647" customFormat="false" ht="15.75" hidden="false" customHeight="false" outlineLevel="0" collapsed="false">
      <c r="A647" s="78" t="e">
        <v>#N/A</v>
      </c>
      <c r="B647" s="120" t="e">
        <v>#N/A</v>
      </c>
      <c r="C647" s="78" t="e">
        <v>#N/A</v>
      </c>
      <c r="D647" s="78" t="e">
        <v>#N/A</v>
      </c>
      <c r="E647" s="120" t="e">
        <v>#N/A</v>
      </c>
      <c r="F647" s="78" t="e">
        <v>#N/A</v>
      </c>
      <c r="G647" s="78" t="e">
        <v>#N/A</v>
      </c>
    </row>
    <row r="648" customFormat="false" ht="15.75" hidden="false" customHeight="false" outlineLevel="0" collapsed="false">
      <c r="A648" s="78" t="e">
        <v>#N/A</v>
      </c>
      <c r="B648" s="120" t="e">
        <v>#N/A</v>
      </c>
      <c r="C648" s="78" t="e">
        <v>#N/A</v>
      </c>
      <c r="D648" s="78" t="e">
        <v>#N/A</v>
      </c>
      <c r="E648" s="120" t="e">
        <v>#N/A</v>
      </c>
      <c r="F648" s="78" t="e">
        <v>#N/A</v>
      </c>
      <c r="G648" s="78" t="e">
        <v>#N/A</v>
      </c>
    </row>
    <row r="649" customFormat="false" ht="15.75" hidden="false" customHeight="false" outlineLevel="0" collapsed="false">
      <c r="A649" s="78" t="e">
        <v>#N/A</v>
      </c>
      <c r="B649" s="120" t="e">
        <v>#N/A</v>
      </c>
      <c r="C649" s="78" t="e">
        <v>#N/A</v>
      </c>
      <c r="D649" s="78" t="e">
        <v>#N/A</v>
      </c>
      <c r="E649" s="120" t="e">
        <v>#N/A</v>
      </c>
      <c r="F649" s="78" t="e">
        <v>#N/A</v>
      </c>
      <c r="G649" s="78" t="e">
        <v>#N/A</v>
      </c>
    </row>
    <row r="650" customFormat="false" ht="15.75" hidden="false" customHeight="false" outlineLevel="0" collapsed="false">
      <c r="A650" s="78" t="e">
        <v>#N/A</v>
      </c>
      <c r="B650" s="120" t="e">
        <v>#N/A</v>
      </c>
      <c r="C650" s="78" t="e">
        <v>#N/A</v>
      </c>
      <c r="D650" s="78" t="e">
        <v>#N/A</v>
      </c>
      <c r="E650" s="120" t="e">
        <v>#N/A</v>
      </c>
      <c r="F650" s="78" t="e">
        <v>#N/A</v>
      </c>
      <c r="G650" s="78" t="e">
        <v>#N/A</v>
      </c>
    </row>
    <row r="651" customFormat="false" ht="15.75" hidden="false" customHeight="false" outlineLevel="0" collapsed="false">
      <c r="A651" s="78" t="e">
        <v>#N/A</v>
      </c>
      <c r="B651" s="120" t="e">
        <v>#N/A</v>
      </c>
      <c r="C651" s="78" t="e">
        <v>#N/A</v>
      </c>
      <c r="D651" s="78" t="e">
        <v>#N/A</v>
      </c>
      <c r="E651" s="120" t="e">
        <v>#N/A</v>
      </c>
      <c r="F651" s="78" t="e">
        <v>#N/A</v>
      </c>
      <c r="G651" s="78" t="e">
        <v>#N/A</v>
      </c>
    </row>
    <row r="652" customFormat="false" ht="15.75" hidden="false" customHeight="false" outlineLevel="0" collapsed="false">
      <c r="A652" s="78" t="e">
        <v>#N/A</v>
      </c>
      <c r="B652" s="120" t="e">
        <v>#N/A</v>
      </c>
      <c r="C652" s="78" t="e">
        <v>#N/A</v>
      </c>
      <c r="D652" s="78" t="e">
        <v>#N/A</v>
      </c>
      <c r="E652" s="120" t="e">
        <v>#N/A</v>
      </c>
      <c r="F652" s="78" t="e">
        <v>#N/A</v>
      </c>
      <c r="G652" s="78" t="e">
        <v>#N/A</v>
      </c>
    </row>
    <row r="653" customFormat="false" ht="15.75" hidden="false" customHeight="false" outlineLevel="0" collapsed="false">
      <c r="A653" s="78" t="e">
        <v>#N/A</v>
      </c>
      <c r="B653" s="120" t="e">
        <v>#N/A</v>
      </c>
      <c r="C653" s="78" t="e">
        <v>#N/A</v>
      </c>
      <c r="D653" s="78" t="e">
        <v>#N/A</v>
      </c>
      <c r="E653" s="120" t="e">
        <v>#N/A</v>
      </c>
      <c r="F653" s="78" t="e">
        <v>#N/A</v>
      </c>
      <c r="G653" s="78" t="e">
        <v>#N/A</v>
      </c>
    </row>
    <row r="654" customFormat="false" ht="15.75" hidden="false" customHeight="false" outlineLevel="0" collapsed="false">
      <c r="A654" s="78" t="e">
        <v>#N/A</v>
      </c>
      <c r="B654" s="120" t="e">
        <v>#N/A</v>
      </c>
      <c r="C654" s="78" t="e">
        <v>#N/A</v>
      </c>
      <c r="D654" s="78" t="e">
        <v>#N/A</v>
      </c>
      <c r="E654" s="120" t="e">
        <v>#N/A</v>
      </c>
      <c r="F654" s="78" t="e">
        <v>#N/A</v>
      </c>
      <c r="G654" s="78" t="e">
        <v>#N/A</v>
      </c>
    </row>
    <row r="655" customFormat="false" ht="15.75" hidden="false" customHeight="false" outlineLevel="0" collapsed="false">
      <c r="A655" s="78" t="e">
        <v>#N/A</v>
      </c>
      <c r="B655" s="120" t="e">
        <v>#N/A</v>
      </c>
      <c r="C655" s="78" t="e">
        <v>#N/A</v>
      </c>
      <c r="D655" s="78" t="e">
        <v>#N/A</v>
      </c>
      <c r="E655" s="120" t="e">
        <v>#N/A</v>
      </c>
      <c r="F655" s="78" t="e">
        <v>#N/A</v>
      </c>
      <c r="G655" s="78" t="e">
        <v>#N/A</v>
      </c>
    </row>
    <row r="656" customFormat="false" ht="15.75" hidden="false" customHeight="false" outlineLevel="0" collapsed="false">
      <c r="A656" s="78" t="e">
        <v>#N/A</v>
      </c>
      <c r="B656" s="120" t="e">
        <v>#N/A</v>
      </c>
      <c r="C656" s="78" t="e">
        <v>#N/A</v>
      </c>
      <c r="D656" s="78" t="e">
        <v>#N/A</v>
      </c>
      <c r="E656" s="120" t="e">
        <v>#N/A</v>
      </c>
      <c r="F656" s="78" t="e">
        <v>#N/A</v>
      </c>
      <c r="G656" s="78" t="e">
        <v>#N/A</v>
      </c>
    </row>
    <row r="657" customFormat="false" ht="15.75" hidden="false" customHeight="false" outlineLevel="0" collapsed="false">
      <c r="A657" s="78" t="e">
        <v>#N/A</v>
      </c>
      <c r="B657" s="120" t="e">
        <v>#N/A</v>
      </c>
      <c r="C657" s="78" t="e">
        <v>#N/A</v>
      </c>
      <c r="D657" s="78" t="e">
        <v>#N/A</v>
      </c>
      <c r="E657" s="120" t="e">
        <v>#N/A</v>
      </c>
      <c r="F657" s="78" t="e">
        <v>#N/A</v>
      </c>
      <c r="G657" s="78" t="e">
        <v>#N/A</v>
      </c>
    </row>
    <row r="658" customFormat="false" ht="15.75" hidden="false" customHeight="false" outlineLevel="0" collapsed="false">
      <c r="A658" s="78" t="e">
        <v>#N/A</v>
      </c>
      <c r="B658" s="120" t="e">
        <v>#N/A</v>
      </c>
      <c r="C658" s="78" t="e">
        <v>#N/A</v>
      </c>
      <c r="D658" s="78" t="e">
        <v>#N/A</v>
      </c>
      <c r="E658" s="120" t="e">
        <v>#N/A</v>
      </c>
      <c r="F658" s="78" t="e">
        <v>#N/A</v>
      </c>
      <c r="G658" s="78" t="e">
        <v>#N/A</v>
      </c>
    </row>
    <row r="659" customFormat="false" ht="15.75" hidden="false" customHeight="false" outlineLevel="0" collapsed="false">
      <c r="A659" s="78" t="e">
        <v>#N/A</v>
      </c>
      <c r="B659" s="120" t="e">
        <v>#N/A</v>
      </c>
      <c r="C659" s="78" t="e">
        <v>#N/A</v>
      </c>
      <c r="D659" s="78" t="e">
        <v>#N/A</v>
      </c>
      <c r="E659" s="120" t="e">
        <v>#N/A</v>
      </c>
      <c r="F659" s="78" t="e">
        <v>#N/A</v>
      </c>
      <c r="G659" s="78" t="e">
        <v>#N/A</v>
      </c>
    </row>
    <row r="660" customFormat="false" ht="15.75" hidden="false" customHeight="false" outlineLevel="0" collapsed="false">
      <c r="A660" s="78" t="e">
        <v>#N/A</v>
      </c>
      <c r="B660" s="120" t="e">
        <v>#N/A</v>
      </c>
      <c r="C660" s="78" t="e">
        <v>#N/A</v>
      </c>
      <c r="D660" s="78" t="e">
        <v>#N/A</v>
      </c>
      <c r="E660" s="120" t="e">
        <v>#N/A</v>
      </c>
      <c r="F660" s="78" t="e">
        <v>#N/A</v>
      </c>
      <c r="G660" s="78" t="e">
        <v>#N/A</v>
      </c>
    </row>
    <row r="661" customFormat="false" ht="15.75" hidden="false" customHeight="false" outlineLevel="0" collapsed="false">
      <c r="A661" s="78" t="e">
        <v>#N/A</v>
      </c>
      <c r="B661" s="120" t="e">
        <v>#N/A</v>
      </c>
      <c r="C661" s="78" t="e">
        <v>#N/A</v>
      </c>
      <c r="D661" s="78" t="e">
        <v>#N/A</v>
      </c>
      <c r="E661" s="120" t="e">
        <v>#N/A</v>
      </c>
      <c r="F661" s="78" t="e">
        <v>#N/A</v>
      </c>
      <c r="G661" s="78" t="e">
        <v>#N/A</v>
      </c>
    </row>
    <row r="662" customFormat="false" ht="15.75" hidden="false" customHeight="false" outlineLevel="0" collapsed="false">
      <c r="A662" s="78" t="e">
        <v>#N/A</v>
      </c>
      <c r="B662" s="120" t="e">
        <v>#N/A</v>
      </c>
      <c r="C662" s="78" t="e">
        <v>#N/A</v>
      </c>
      <c r="D662" s="78" t="e">
        <v>#N/A</v>
      </c>
      <c r="E662" s="120" t="e">
        <v>#N/A</v>
      </c>
      <c r="F662" s="78" t="e">
        <v>#N/A</v>
      </c>
      <c r="G662" s="78" t="e">
        <v>#N/A</v>
      </c>
    </row>
    <row r="663" customFormat="false" ht="15.75" hidden="false" customHeight="false" outlineLevel="0" collapsed="false">
      <c r="A663" s="78" t="e">
        <v>#N/A</v>
      </c>
      <c r="B663" s="120" t="e">
        <v>#N/A</v>
      </c>
      <c r="C663" s="78" t="e">
        <v>#N/A</v>
      </c>
      <c r="D663" s="78" t="e">
        <v>#N/A</v>
      </c>
      <c r="E663" s="120" t="e">
        <v>#N/A</v>
      </c>
      <c r="F663" s="78" t="e">
        <v>#N/A</v>
      </c>
      <c r="G663" s="78" t="e">
        <v>#N/A</v>
      </c>
    </row>
    <row r="664" customFormat="false" ht="15.75" hidden="false" customHeight="false" outlineLevel="0" collapsed="false">
      <c r="A664" s="78" t="e">
        <v>#N/A</v>
      </c>
      <c r="B664" s="120" t="e">
        <v>#N/A</v>
      </c>
      <c r="C664" s="78" t="e">
        <v>#N/A</v>
      </c>
      <c r="D664" s="78" t="e">
        <v>#N/A</v>
      </c>
      <c r="E664" s="120" t="e">
        <v>#N/A</v>
      </c>
      <c r="F664" s="78" t="e">
        <v>#N/A</v>
      </c>
      <c r="G664" s="78" t="e">
        <v>#N/A</v>
      </c>
    </row>
    <row r="665" customFormat="false" ht="15.75" hidden="false" customHeight="false" outlineLevel="0" collapsed="false">
      <c r="A665" s="78" t="e">
        <v>#N/A</v>
      </c>
      <c r="B665" s="120" t="e">
        <v>#N/A</v>
      </c>
      <c r="C665" s="78" t="e">
        <v>#N/A</v>
      </c>
      <c r="D665" s="78" t="e">
        <v>#N/A</v>
      </c>
      <c r="E665" s="120" t="e">
        <v>#N/A</v>
      </c>
      <c r="F665" s="78" t="e">
        <v>#N/A</v>
      </c>
      <c r="G665" s="78" t="e">
        <v>#N/A</v>
      </c>
    </row>
    <row r="666" customFormat="false" ht="15.75" hidden="false" customHeight="false" outlineLevel="0" collapsed="false">
      <c r="A666" s="78" t="e">
        <v>#N/A</v>
      </c>
      <c r="B666" s="120" t="e">
        <v>#N/A</v>
      </c>
      <c r="C666" s="78" t="e">
        <v>#N/A</v>
      </c>
      <c r="D666" s="78" t="e">
        <v>#N/A</v>
      </c>
      <c r="E666" s="120" t="e">
        <v>#N/A</v>
      </c>
      <c r="F666" s="78" t="e">
        <v>#N/A</v>
      </c>
      <c r="G666" s="78" t="e">
        <v>#N/A</v>
      </c>
    </row>
    <row r="667" customFormat="false" ht="15.75" hidden="false" customHeight="false" outlineLevel="0" collapsed="false">
      <c r="A667" s="78" t="e">
        <v>#N/A</v>
      </c>
      <c r="B667" s="120" t="e">
        <v>#N/A</v>
      </c>
      <c r="C667" s="78" t="e">
        <v>#N/A</v>
      </c>
      <c r="D667" s="78" t="e">
        <v>#N/A</v>
      </c>
      <c r="E667" s="120" t="e">
        <v>#N/A</v>
      </c>
      <c r="F667" s="78" t="e">
        <v>#N/A</v>
      </c>
      <c r="G667" s="78" t="e">
        <v>#N/A</v>
      </c>
    </row>
    <row r="668" customFormat="false" ht="15.75" hidden="false" customHeight="false" outlineLevel="0" collapsed="false">
      <c r="A668" s="78" t="e">
        <v>#N/A</v>
      </c>
      <c r="B668" s="120" t="e">
        <v>#N/A</v>
      </c>
      <c r="C668" s="78" t="e">
        <v>#N/A</v>
      </c>
      <c r="D668" s="78" t="e">
        <v>#N/A</v>
      </c>
      <c r="E668" s="120" t="e">
        <v>#N/A</v>
      </c>
      <c r="F668" s="78" t="e">
        <v>#N/A</v>
      </c>
      <c r="G668" s="78" t="e">
        <v>#N/A</v>
      </c>
    </row>
    <row r="669" customFormat="false" ht="15.75" hidden="false" customHeight="false" outlineLevel="0" collapsed="false">
      <c r="A669" s="78" t="e">
        <v>#N/A</v>
      </c>
      <c r="B669" s="120" t="e">
        <v>#N/A</v>
      </c>
      <c r="C669" s="78" t="e">
        <v>#N/A</v>
      </c>
      <c r="D669" s="78" t="e">
        <v>#N/A</v>
      </c>
      <c r="E669" s="120" t="e">
        <v>#N/A</v>
      </c>
      <c r="F669" s="78" t="e">
        <v>#N/A</v>
      </c>
      <c r="G669" s="78" t="e">
        <v>#N/A</v>
      </c>
    </row>
    <row r="670" customFormat="false" ht="15.75" hidden="false" customHeight="false" outlineLevel="0" collapsed="false">
      <c r="A670" s="78" t="e">
        <v>#N/A</v>
      </c>
      <c r="B670" s="120" t="e">
        <v>#N/A</v>
      </c>
      <c r="C670" s="78" t="e">
        <v>#N/A</v>
      </c>
      <c r="D670" s="78" t="e">
        <v>#N/A</v>
      </c>
      <c r="E670" s="120" t="e">
        <v>#N/A</v>
      </c>
      <c r="F670" s="78" t="e">
        <v>#N/A</v>
      </c>
      <c r="G670" s="78" t="e">
        <v>#N/A</v>
      </c>
    </row>
    <row r="671" customFormat="false" ht="15.75" hidden="false" customHeight="false" outlineLevel="0" collapsed="false">
      <c r="A671" s="78" t="e">
        <v>#N/A</v>
      </c>
      <c r="B671" s="120" t="e">
        <v>#N/A</v>
      </c>
      <c r="C671" s="78" t="e">
        <v>#N/A</v>
      </c>
      <c r="D671" s="78" t="e">
        <v>#N/A</v>
      </c>
      <c r="E671" s="120" t="e">
        <v>#N/A</v>
      </c>
      <c r="F671" s="78" t="e">
        <v>#N/A</v>
      </c>
      <c r="G671" s="78" t="e">
        <v>#N/A</v>
      </c>
    </row>
    <row r="672" customFormat="false" ht="15.75" hidden="false" customHeight="false" outlineLevel="0" collapsed="false">
      <c r="A672" s="78" t="e">
        <v>#N/A</v>
      </c>
      <c r="B672" s="120" t="e">
        <v>#N/A</v>
      </c>
      <c r="C672" s="78" t="e">
        <v>#N/A</v>
      </c>
      <c r="D672" s="78" t="e">
        <v>#N/A</v>
      </c>
      <c r="E672" s="120" t="e">
        <v>#N/A</v>
      </c>
      <c r="F672" s="78" t="e">
        <v>#N/A</v>
      </c>
      <c r="G672" s="78" t="e">
        <v>#N/A</v>
      </c>
    </row>
    <row r="673" customFormat="false" ht="15.75" hidden="false" customHeight="false" outlineLevel="0" collapsed="false">
      <c r="A673" s="78" t="e">
        <v>#N/A</v>
      </c>
      <c r="B673" s="120" t="e">
        <v>#N/A</v>
      </c>
      <c r="C673" s="78" t="e">
        <v>#N/A</v>
      </c>
      <c r="D673" s="78" t="e">
        <v>#N/A</v>
      </c>
      <c r="E673" s="120" t="e">
        <v>#N/A</v>
      </c>
      <c r="F673" s="78" t="e">
        <v>#N/A</v>
      </c>
      <c r="G673" s="78" t="e">
        <v>#N/A</v>
      </c>
    </row>
    <row r="674" customFormat="false" ht="15.75" hidden="false" customHeight="false" outlineLevel="0" collapsed="false">
      <c r="A674" s="78" t="e">
        <v>#N/A</v>
      </c>
      <c r="B674" s="120" t="e">
        <v>#N/A</v>
      </c>
      <c r="C674" s="78" t="e">
        <v>#N/A</v>
      </c>
      <c r="D674" s="78" t="e">
        <v>#N/A</v>
      </c>
      <c r="E674" s="120" t="e">
        <v>#N/A</v>
      </c>
      <c r="F674" s="78" t="e">
        <v>#N/A</v>
      </c>
      <c r="G674" s="78" t="e">
        <v>#N/A</v>
      </c>
    </row>
    <row r="675" customFormat="false" ht="15.75" hidden="false" customHeight="false" outlineLevel="0" collapsed="false">
      <c r="A675" s="78" t="e">
        <v>#N/A</v>
      </c>
      <c r="B675" s="120" t="e">
        <v>#N/A</v>
      </c>
      <c r="C675" s="78" t="e">
        <v>#N/A</v>
      </c>
      <c r="D675" s="78" t="e">
        <v>#N/A</v>
      </c>
      <c r="E675" s="120" t="e">
        <v>#N/A</v>
      </c>
      <c r="F675" s="78" t="e">
        <v>#N/A</v>
      </c>
      <c r="G675" s="78" t="e">
        <v>#N/A</v>
      </c>
    </row>
    <row r="676" customFormat="false" ht="15.75" hidden="false" customHeight="false" outlineLevel="0" collapsed="false">
      <c r="A676" s="78" t="e">
        <v>#N/A</v>
      </c>
      <c r="B676" s="120" t="e">
        <v>#N/A</v>
      </c>
      <c r="C676" s="78" t="e">
        <v>#N/A</v>
      </c>
      <c r="D676" s="78" t="e">
        <v>#N/A</v>
      </c>
      <c r="E676" s="120" t="e">
        <v>#N/A</v>
      </c>
      <c r="F676" s="78" t="e">
        <v>#N/A</v>
      </c>
      <c r="G676" s="78" t="e">
        <v>#N/A</v>
      </c>
    </row>
    <row r="677" customFormat="false" ht="15.75" hidden="false" customHeight="false" outlineLevel="0" collapsed="false">
      <c r="A677" s="78" t="e">
        <v>#N/A</v>
      </c>
      <c r="B677" s="120" t="e">
        <v>#N/A</v>
      </c>
      <c r="C677" s="78" t="e">
        <v>#N/A</v>
      </c>
      <c r="D677" s="78" t="e">
        <v>#N/A</v>
      </c>
      <c r="E677" s="120" t="e">
        <v>#N/A</v>
      </c>
      <c r="F677" s="78" t="e">
        <v>#N/A</v>
      </c>
      <c r="G677" s="78" t="e">
        <v>#N/A</v>
      </c>
    </row>
    <row r="678" customFormat="false" ht="15.75" hidden="false" customHeight="false" outlineLevel="0" collapsed="false">
      <c r="A678" s="78" t="e">
        <v>#N/A</v>
      </c>
      <c r="B678" s="120" t="e">
        <v>#N/A</v>
      </c>
      <c r="C678" s="78" t="e">
        <v>#N/A</v>
      </c>
      <c r="D678" s="78" t="e">
        <v>#N/A</v>
      </c>
      <c r="E678" s="120" t="e">
        <v>#N/A</v>
      </c>
      <c r="F678" s="78" t="e">
        <v>#N/A</v>
      </c>
      <c r="G678" s="78" t="e">
        <v>#N/A</v>
      </c>
    </row>
    <row r="679" customFormat="false" ht="15.75" hidden="false" customHeight="false" outlineLevel="0" collapsed="false">
      <c r="A679" s="78" t="e">
        <v>#N/A</v>
      </c>
      <c r="B679" s="120" t="e">
        <v>#N/A</v>
      </c>
      <c r="C679" s="78" t="e">
        <v>#N/A</v>
      </c>
      <c r="D679" s="78" t="e">
        <v>#N/A</v>
      </c>
      <c r="E679" s="120" t="e">
        <v>#N/A</v>
      </c>
      <c r="F679" s="78" t="e">
        <v>#N/A</v>
      </c>
      <c r="G679" s="78" t="e">
        <v>#N/A</v>
      </c>
    </row>
    <row r="680" customFormat="false" ht="15.75" hidden="false" customHeight="false" outlineLevel="0" collapsed="false">
      <c r="A680" s="78" t="e">
        <v>#N/A</v>
      </c>
      <c r="B680" s="120" t="e">
        <v>#N/A</v>
      </c>
      <c r="C680" s="78" t="e">
        <v>#N/A</v>
      </c>
      <c r="D680" s="78" t="e">
        <v>#N/A</v>
      </c>
      <c r="E680" s="120" t="e">
        <v>#N/A</v>
      </c>
      <c r="F680" s="78" t="e">
        <v>#N/A</v>
      </c>
      <c r="G680" s="78" t="e">
        <v>#N/A</v>
      </c>
    </row>
    <row r="681" customFormat="false" ht="15.75" hidden="false" customHeight="false" outlineLevel="0" collapsed="false">
      <c r="A681" s="78" t="e">
        <v>#N/A</v>
      </c>
      <c r="B681" s="120" t="e">
        <v>#N/A</v>
      </c>
      <c r="C681" s="78" t="e">
        <v>#N/A</v>
      </c>
      <c r="D681" s="78" t="e">
        <v>#N/A</v>
      </c>
      <c r="E681" s="120" t="e">
        <v>#N/A</v>
      </c>
      <c r="F681" s="78" t="e">
        <v>#N/A</v>
      </c>
      <c r="G681" s="78" t="e">
        <v>#N/A</v>
      </c>
    </row>
    <row r="682" customFormat="false" ht="15.75" hidden="false" customHeight="false" outlineLevel="0" collapsed="false">
      <c r="A682" s="78" t="e">
        <v>#N/A</v>
      </c>
      <c r="B682" s="120" t="e">
        <v>#N/A</v>
      </c>
      <c r="C682" s="78" t="e">
        <v>#N/A</v>
      </c>
      <c r="D682" s="78" t="e">
        <v>#N/A</v>
      </c>
      <c r="E682" s="120" t="e">
        <v>#N/A</v>
      </c>
      <c r="F682" s="78" t="e">
        <v>#N/A</v>
      </c>
      <c r="G682" s="78" t="e">
        <v>#N/A</v>
      </c>
    </row>
    <row r="683" customFormat="false" ht="15.75" hidden="false" customHeight="false" outlineLevel="0" collapsed="false">
      <c r="A683" s="78" t="e">
        <v>#N/A</v>
      </c>
      <c r="B683" s="120" t="e">
        <v>#N/A</v>
      </c>
      <c r="C683" s="78" t="e">
        <v>#N/A</v>
      </c>
      <c r="D683" s="78" t="e">
        <v>#N/A</v>
      </c>
      <c r="E683" s="120" t="e">
        <v>#N/A</v>
      </c>
      <c r="F683" s="78" t="e">
        <v>#N/A</v>
      </c>
      <c r="G683" s="78" t="e">
        <v>#N/A</v>
      </c>
    </row>
    <row r="684" customFormat="false" ht="15.75" hidden="false" customHeight="false" outlineLevel="0" collapsed="false">
      <c r="A684" s="78" t="e">
        <v>#N/A</v>
      </c>
      <c r="B684" s="120" t="e">
        <v>#N/A</v>
      </c>
      <c r="C684" s="78" t="e">
        <v>#N/A</v>
      </c>
      <c r="D684" s="78" t="e">
        <v>#N/A</v>
      </c>
      <c r="E684" s="120" t="e">
        <v>#N/A</v>
      </c>
      <c r="F684" s="78" t="e">
        <v>#N/A</v>
      </c>
      <c r="G684" s="78" t="e">
        <v>#N/A</v>
      </c>
    </row>
    <row r="685" customFormat="false" ht="15.75" hidden="false" customHeight="false" outlineLevel="0" collapsed="false">
      <c r="A685" s="78" t="e">
        <v>#N/A</v>
      </c>
      <c r="B685" s="120" t="e">
        <v>#N/A</v>
      </c>
      <c r="C685" s="78" t="e">
        <v>#N/A</v>
      </c>
      <c r="D685" s="78" t="e">
        <v>#N/A</v>
      </c>
      <c r="E685" s="120" t="e">
        <v>#N/A</v>
      </c>
      <c r="F685" s="78" t="e">
        <v>#N/A</v>
      </c>
      <c r="G685" s="78" t="e">
        <v>#N/A</v>
      </c>
    </row>
    <row r="686" customFormat="false" ht="15.75" hidden="false" customHeight="false" outlineLevel="0" collapsed="false">
      <c r="A686" s="78" t="e">
        <v>#N/A</v>
      </c>
      <c r="B686" s="120" t="e">
        <v>#N/A</v>
      </c>
      <c r="C686" s="78" t="e">
        <v>#N/A</v>
      </c>
      <c r="D686" s="78" t="e">
        <v>#N/A</v>
      </c>
      <c r="E686" s="120" t="e">
        <v>#N/A</v>
      </c>
      <c r="F686" s="78" t="e">
        <v>#N/A</v>
      </c>
      <c r="G686" s="78" t="e">
        <v>#N/A</v>
      </c>
    </row>
    <row r="687" customFormat="false" ht="15.75" hidden="false" customHeight="false" outlineLevel="0" collapsed="false">
      <c r="A687" s="78" t="e">
        <v>#N/A</v>
      </c>
      <c r="B687" s="120" t="e">
        <v>#N/A</v>
      </c>
      <c r="C687" s="78" t="e">
        <v>#N/A</v>
      </c>
      <c r="D687" s="78" t="e">
        <v>#N/A</v>
      </c>
      <c r="E687" s="120" t="e">
        <v>#N/A</v>
      </c>
      <c r="F687" s="78" t="e">
        <v>#N/A</v>
      </c>
      <c r="G687" s="78" t="e">
        <v>#N/A</v>
      </c>
    </row>
    <row r="688" customFormat="false" ht="15.75" hidden="false" customHeight="false" outlineLevel="0" collapsed="false">
      <c r="A688" s="78" t="e">
        <v>#N/A</v>
      </c>
      <c r="B688" s="120" t="e">
        <v>#N/A</v>
      </c>
      <c r="C688" s="78" t="e">
        <v>#N/A</v>
      </c>
      <c r="D688" s="78" t="e">
        <v>#N/A</v>
      </c>
      <c r="E688" s="120" t="e">
        <v>#N/A</v>
      </c>
      <c r="F688" s="78" t="e">
        <v>#N/A</v>
      </c>
      <c r="G688" s="78" t="e">
        <v>#N/A</v>
      </c>
    </row>
    <row r="689" customFormat="false" ht="15.75" hidden="false" customHeight="false" outlineLevel="0" collapsed="false">
      <c r="A689" s="78" t="e">
        <v>#N/A</v>
      </c>
      <c r="B689" s="120" t="e">
        <v>#N/A</v>
      </c>
      <c r="C689" s="78" t="e">
        <v>#N/A</v>
      </c>
      <c r="D689" s="78" t="e">
        <v>#N/A</v>
      </c>
      <c r="E689" s="120" t="e">
        <v>#N/A</v>
      </c>
      <c r="F689" s="78" t="e">
        <v>#N/A</v>
      </c>
      <c r="G689" s="78" t="e">
        <v>#N/A</v>
      </c>
    </row>
    <row r="690" customFormat="false" ht="15.75" hidden="false" customHeight="false" outlineLevel="0" collapsed="false">
      <c r="A690" s="78" t="e">
        <v>#N/A</v>
      </c>
      <c r="B690" s="120" t="e">
        <v>#N/A</v>
      </c>
      <c r="C690" s="78" t="e">
        <v>#N/A</v>
      </c>
      <c r="D690" s="78" t="e">
        <v>#N/A</v>
      </c>
      <c r="E690" s="120" t="e">
        <v>#N/A</v>
      </c>
      <c r="F690" s="78" t="e">
        <v>#N/A</v>
      </c>
      <c r="G690" s="78" t="e">
        <v>#N/A</v>
      </c>
    </row>
    <row r="691" customFormat="false" ht="15.75" hidden="false" customHeight="false" outlineLevel="0" collapsed="false">
      <c r="A691" s="78" t="e">
        <v>#N/A</v>
      </c>
      <c r="B691" s="120" t="e">
        <v>#N/A</v>
      </c>
      <c r="C691" s="78" t="e">
        <v>#N/A</v>
      </c>
      <c r="D691" s="78" t="e">
        <v>#N/A</v>
      </c>
      <c r="E691" s="120" t="e">
        <v>#N/A</v>
      </c>
      <c r="F691" s="78" t="e">
        <v>#N/A</v>
      </c>
      <c r="G691" s="78" t="e">
        <v>#N/A</v>
      </c>
    </row>
    <row r="692" customFormat="false" ht="15.75" hidden="false" customHeight="false" outlineLevel="0" collapsed="false">
      <c r="A692" s="78" t="e">
        <v>#N/A</v>
      </c>
      <c r="B692" s="120" t="e">
        <v>#N/A</v>
      </c>
      <c r="C692" s="78" t="e">
        <v>#N/A</v>
      </c>
      <c r="D692" s="78" t="e">
        <v>#N/A</v>
      </c>
      <c r="E692" s="120" t="e">
        <v>#N/A</v>
      </c>
      <c r="F692" s="78" t="e">
        <v>#N/A</v>
      </c>
      <c r="G692" s="78" t="e">
        <v>#N/A</v>
      </c>
    </row>
    <row r="693" customFormat="false" ht="15.75" hidden="false" customHeight="false" outlineLevel="0" collapsed="false">
      <c r="A693" s="78" t="e">
        <v>#N/A</v>
      </c>
      <c r="B693" s="120" t="e">
        <v>#N/A</v>
      </c>
      <c r="C693" s="78" t="e">
        <v>#N/A</v>
      </c>
      <c r="D693" s="78" t="e">
        <v>#N/A</v>
      </c>
      <c r="E693" s="120" t="e">
        <v>#N/A</v>
      </c>
      <c r="F693" s="78" t="e">
        <v>#N/A</v>
      </c>
      <c r="G693" s="78" t="e">
        <v>#N/A</v>
      </c>
    </row>
    <row r="694" customFormat="false" ht="15.75" hidden="false" customHeight="false" outlineLevel="0" collapsed="false">
      <c r="A694" s="78" t="e">
        <v>#N/A</v>
      </c>
      <c r="B694" s="120" t="e">
        <v>#N/A</v>
      </c>
      <c r="C694" s="78" t="e">
        <v>#N/A</v>
      </c>
      <c r="D694" s="78" t="e">
        <v>#N/A</v>
      </c>
      <c r="E694" s="120" t="e">
        <v>#N/A</v>
      </c>
      <c r="F694" s="78" t="e">
        <v>#N/A</v>
      </c>
      <c r="G694" s="78" t="e">
        <v>#N/A</v>
      </c>
    </row>
    <row r="695" customFormat="false" ht="15.75" hidden="false" customHeight="false" outlineLevel="0" collapsed="false">
      <c r="A695" s="78" t="e">
        <v>#N/A</v>
      </c>
      <c r="B695" s="120" t="e">
        <v>#N/A</v>
      </c>
      <c r="C695" s="78" t="e">
        <v>#N/A</v>
      </c>
      <c r="D695" s="78" t="e">
        <v>#N/A</v>
      </c>
      <c r="E695" s="120" t="e">
        <v>#N/A</v>
      </c>
      <c r="F695" s="78" t="e">
        <v>#N/A</v>
      </c>
      <c r="G695" s="78" t="e">
        <v>#N/A</v>
      </c>
    </row>
    <row r="696" customFormat="false" ht="15.75" hidden="false" customHeight="false" outlineLevel="0" collapsed="false">
      <c r="A696" s="78" t="e">
        <v>#N/A</v>
      </c>
      <c r="B696" s="120" t="e">
        <v>#N/A</v>
      </c>
      <c r="C696" s="78" t="e">
        <v>#N/A</v>
      </c>
      <c r="D696" s="78" t="e">
        <v>#N/A</v>
      </c>
      <c r="E696" s="120" t="e">
        <v>#N/A</v>
      </c>
      <c r="F696" s="78" t="e">
        <v>#N/A</v>
      </c>
      <c r="G696" s="78" t="e">
        <v>#N/A</v>
      </c>
    </row>
    <row r="697" customFormat="false" ht="15.75" hidden="false" customHeight="false" outlineLevel="0" collapsed="false">
      <c r="A697" s="78" t="e">
        <v>#N/A</v>
      </c>
      <c r="B697" s="120" t="e">
        <v>#N/A</v>
      </c>
      <c r="C697" s="78" t="e">
        <v>#N/A</v>
      </c>
      <c r="D697" s="78" t="e">
        <v>#N/A</v>
      </c>
      <c r="E697" s="120" t="e">
        <v>#N/A</v>
      </c>
      <c r="F697" s="78" t="e">
        <v>#N/A</v>
      </c>
      <c r="G697" s="78" t="e">
        <v>#N/A</v>
      </c>
    </row>
    <row r="698" customFormat="false" ht="15.75" hidden="false" customHeight="false" outlineLevel="0" collapsed="false">
      <c r="A698" s="78" t="e">
        <v>#N/A</v>
      </c>
      <c r="B698" s="120" t="e">
        <v>#N/A</v>
      </c>
      <c r="C698" s="78" t="e">
        <v>#N/A</v>
      </c>
      <c r="D698" s="78" t="e">
        <v>#N/A</v>
      </c>
      <c r="E698" s="120" t="e">
        <v>#N/A</v>
      </c>
      <c r="F698" s="78" t="e">
        <v>#N/A</v>
      </c>
      <c r="G698" s="78" t="e">
        <v>#N/A</v>
      </c>
    </row>
    <row r="699" customFormat="false" ht="15.75" hidden="false" customHeight="false" outlineLevel="0" collapsed="false">
      <c r="A699" s="78" t="e">
        <v>#N/A</v>
      </c>
      <c r="B699" s="120" t="e">
        <v>#N/A</v>
      </c>
      <c r="C699" s="78" t="e">
        <v>#N/A</v>
      </c>
      <c r="D699" s="78" t="e">
        <v>#N/A</v>
      </c>
      <c r="E699" s="120" t="e">
        <v>#N/A</v>
      </c>
      <c r="F699" s="78" t="e">
        <v>#N/A</v>
      </c>
      <c r="G699" s="78" t="e">
        <v>#N/A</v>
      </c>
    </row>
    <row r="700" customFormat="false" ht="15.75" hidden="false" customHeight="false" outlineLevel="0" collapsed="false">
      <c r="A700" s="78" t="e">
        <v>#N/A</v>
      </c>
      <c r="B700" s="120" t="e">
        <v>#N/A</v>
      </c>
      <c r="C700" s="78" t="e">
        <v>#N/A</v>
      </c>
      <c r="D700" s="78" t="e">
        <v>#N/A</v>
      </c>
      <c r="E700" s="120" t="e">
        <v>#N/A</v>
      </c>
      <c r="F700" s="78" t="e">
        <v>#N/A</v>
      </c>
      <c r="G700" s="78" t="e">
        <v>#N/A</v>
      </c>
    </row>
    <row r="701" customFormat="false" ht="15.75" hidden="false" customHeight="false" outlineLevel="0" collapsed="false">
      <c r="A701" s="78" t="e">
        <v>#N/A</v>
      </c>
      <c r="B701" s="120" t="e">
        <v>#N/A</v>
      </c>
      <c r="C701" s="78" t="e">
        <v>#N/A</v>
      </c>
      <c r="D701" s="78" t="e">
        <v>#N/A</v>
      </c>
      <c r="E701" s="120" t="e">
        <v>#N/A</v>
      </c>
      <c r="F701" s="78" t="e">
        <v>#N/A</v>
      </c>
      <c r="G701" s="78" t="e">
        <v>#N/A</v>
      </c>
    </row>
    <row r="702" customFormat="false" ht="15.75" hidden="false" customHeight="false" outlineLevel="0" collapsed="false">
      <c r="A702" s="78" t="e">
        <v>#N/A</v>
      </c>
      <c r="B702" s="120" t="e">
        <v>#N/A</v>
      </c>
      <c r="C702" s="78" t="e">
        <v>#N/A</v>
      </c>
      <c r="D702" s="78" t="e">
        <v>#N/A</v>
      </c>
      <c r="E702" s="120" t="e">
        <v>#N/A</v>
      </c>
      <c r="F702" s="78" t="e">
        <v>#N/A</v>
      </c>
      <c r="G702" s="78" t="e">
        <v>#N/A</v>
      </c>
    </row>
    <row r="703" customFormat="false" ht="15.75" hidden="false" customHeight="false" outlineLevel="0" collapsed="false">
      <c r="A703" s="78" t="e">
        <v>#N/A</v>
      </c>
      <c r="B703" s="120" t="e">
        <v>#N/A</v>
      </c>
      <c r="C703" s="78" t="e">
        <v>#N/A</v>
      </c>
      <c r="D703" s="78" t="e">
        <v>#N/A</v>
      </c>
      <c r="E703" s="120" t="e">
        <v>#N/A</v>
      </c>
      <c r="F703" s="78" t="e">
        <v>#N/A</v>
      </c>
      <c r="G703" s="78" t="e">
        <v>#N/A</v>
      </c>
    </row>
    <row r="704" customFormat="false" ht="15.75" hidden="false" customHeight="false" outlineLevel="0" collapsed="false">
      <c r="A704" s="78" t="e">
        <v>#N/A</v>
      </c>
      <c r="B704" s="120" t="e">
        <v>#N/A</v>
      </c>
      <c r="C704" s="78" t="e">
        <v>#N/A</v>
      </c>
      <c r="D704" s="78" t="e">
        <v>#N/A</v>
      </c>
      <c r="E704" s="120" t="e">
        <v>#N/A</v>
      </c>
      <c r="F704" s="78" t="e">
        <v>#N/A</v>
      </c>
      <c r="G704" s="78" t="e">
        <v>#N/A</v>
      </c>
    </row>
    <row r="705" customFormat="false" ht="15.75" hidden="false" customHeight="false" outlineLevel="0" collapsed="false">
      <c r="A705" s="78" t="e">
        <v>#N/A</v>
      </c>
      <c r="B705" s="120" t="e">
        <v>#N/A</v>
      </c>
      <c r="C705" s="78" t="e">
        <v>#N/A</v>
      </c>
      <c r="D705" s="78" t="e">
        <v>#N/A</v>
      </c>
      <c r="E705" s="120" t="e">
        <v>#N/A</v>
      </c>
      <c r="F705" s="78" t="e">
        <v>#N/A</v>
      </c>
      <c r="G705" s="78" t="e">
        <v>#N/A</v>
      </c>
    </row>
    <row r="706" customFormat="false" ht="15.75" hidden="false" customHeight="false" outlineLevel="0" collapsed="false">
      <c r="A706" s="78" t="e">
        <v>#N/A</v>
      </c>
      <c r="B706" s="120" t="e">
        <v>#N/A</v>
      </c>
      <c r="C706" s="78" t="e">
        <v>#N/A</v>
      </c>
      <c r="D706" s="78" t="e">
        <v>#N/A</v>
      </c>
      <c r="E706" s="120" t="e">
        <v>#N/A</v>
      </c>
      <c r="F706" s="78" t="e">
        <v>#N/A</v>
      </c>
      <c r="G706" s="78" t="e">
        <v>#N/A</v>
      </c>
    </row>
    <row r="707" customFormat="false" ht="15.75" hidden="false" customHeight="false" outlineLevel="0" collapsed="false">
      <c r="A707" s="78" t="e">
        <v>#N/A</v>
      </c>
      <c r="B707" s="120" t="e">
        <v>#N/A</v>
      </c>
      <c r="C707" s="78" t="e">
        <v>#N/A</v>
      </c>
      <c r="D707" s="78" t="e">
        <v>#N/A</v>
      </c>
      <c r="E707" s="120" t="e">
        <v>#N/A</v>
      </c>
      <c r="F707" s="78" t="e">
        <v>#N/A</v>
      </c>
      <c r="G707" s="78" t="e">
        <v>#N/A</v>
      </c>
    </row>
    <row r="708" customFormat="false" ht="15.75" hidden="false" customHeight="false" outlineLevel="0" collapsed="false">
      <c r="A708" s="78" t="e">
        <v>#N/A</v>
      </c>
      <c r="B708" s="120" t="e">
        <v>#N/A</v>
      </c>
      <c r="C708" s="78" t="e">
        <v>#N/A</v>
      </c>
      <c r="D708" s="78" t="e">
        <v>#N/A</v>
      </c>
      <c r="E708" s="120" t="e">
        <v>#N/A</v>
      </c>
      <c r="F708" s="78" t="e">
        <v>#N/A</v>
      </c>
      <c r="G708" s="78" t="e">
        <v>#N/A</v>
      </c>
    </row>
    <row r="709" customFormat="false" ht="15.75" hidden="false" customHeight="false" outlineLevel="0" collapsed="false">
      <c r="A709" s="78" t="e">
        <v>#N/A</v>
      </c>
      <c r="B709" s="120" t="e">
        <v>#N/A</v>
      </c>
      <c r="C709" s="78" t="e">
        <v>#N/A</v>
      </c>
      <c r="D709" s="78" t="e">
        <v>#N/A</v>
      </c>
      <c r="E709" s="120" t="e">
        <v>#N/A</v>
      </c>
      <c r="F709" s="78" t="e">
        <v>#N/A</v>
      </c>
      <c r="G709" s="78" t="e">
        <v>#N/A</v>
      </c>
    </row>
    <row r="710" customFormat="false" ht="15.75" hidden="false" customHeight="false" outlineLevel="0" collapsed="false">
      <c r="A710" s="78" t="e">
        <v>#N/A</v>
      </c>
      <c r="B710" s="120" t="e">
        <v>#N/A</v>
      </c>
      <c r="C710" s="78" t="e">
        <v>#N/A</v>
      </c>
      <c r="D710" s="78" t="e">
        <v>#N/A</v>
      </c>
      <c r="E710" s="120" t="e">
        <v>#N/A</v>
      </c>
      <c r="F710" s="78" t="e">
        <v>#N/A</v>
      </c>
      <c r="G710" s="78" t="e">
        <v>#N/A</v>
      </c>
    </row>
    <row r="711" customFormat="false" ht="15.75" hidden="false" customHeight="false" outlineLevel="0" collapsed="false">
      <c r="A711" s="78" t="e">
        <v>#N/A</v>
      </c>
      <c r="B711" s="120" t="e">
        <v>#N/A</v>
      </c>
      <c r="C711" s="78" t="e">
        <v>#N/A</v>
      </c>
      <c r="D711" s="78" t="e">
        <v>#N/A</v>
      </c>
      <c r="E711" s="120" t="e">
        <v>#N/A</v>
      </c>
      <c r="F711" s="78" t="e">
        <v>#N/A</v>
      </c>
      <c r="G711" s="78" t="e">
        <v>#N/A</v>
      </c>
    </row>
    <row r="712" customFormat="false" ht="15.75" hidden="false" customHeight="false" outlineLevel="0" collapsed="false">
      <c r="A712" s="78" t="e">
        <v>#N/A</v>
      </c>
      <c r="B712" s="120" t="e">
        <v>#N/A</v>
      </c>
      <c r="C712" s="78" t="e">
        <v>#N/A</v>
      </c>
      <c r="D712" s="78" t="e">
        <v>#N/A</v>
      </c>
      <c r="E712" s="120" t="e">
        <v>#N/A</v>
      </c>
      <c r="F712" s="78" t="e">
        <v>#N/A</v>
      </c>
      <c r="G712" s="78" t="e">
        <v>#N/A</v>
      </c>
    </row>
    <row r="713" customFormat="false" ht="15.75" hidden="false" customHeight="false" outlineLevel="0" collapsed="false">
      <c r="A713" s="78" t="e">
        <v>#N/A</v>
      </c>
      <c r="B713" s="120" t="e">
        <v>#N/A</v>
      </c>
      <c r="C713" s="78" t="e">
        <v>#N/A</v>
      </c>
      <c r="D713" s="78" t="e">
        <v>#N/A</v>
      </c>
      <c r="E713" s="120" t="e">
        <v>#N/A</v>
      </c>
      <c r="F713" s="78" t="e">
        <v>#N/A</v>
      </c>
      <c r="G713" s="78" t="e">
        <v>#N/A</v>
      </c>
    </row>
    <row r="714" customFormat="false" ht="15.75" hidden="false" customHeight="false" outlineLevel="0" collapsed="false">
      <c r="A714" s="78" t="e">
        <v>#N/A</v>
      </c>
      <c r="B714" s="120" t="e">
        <v>#N/A</v>
      </c>
      <c r="C714" s="78" t="e">
        <v>#N/A</v>
      </c>
      <c r="D714" s="78" t="e">
        <v>#N/A</v>
      </c>
      <c r="E714" s="120" t="e">
        <v>#N/A</v>
      </c>
      <c r="F714" s="78" t="e">
        <v>#N/A</v>
      </c>
      <c r="G714" s="78" t="e">
        <v>#N/A</v>
      </c>
    </row>
    <row r="715" customFormat="false" ht="15.75" hidden="false" customHeight="false" outlineLevel="0" collapsed="false">
      <c r="A715" s="78" t="e">
        <v>#N/A</v>
      </c>
      <c r="B715" s="120" t="e">
        <v>#N/A</v>
      </c>
      <c r="C715" s="78" t="e">
        <v>#N/A</v>
      </c>
      <c r="D715" s="78" t="e">
        <v>#N/A</v>
      </c>
      <c r="E715" s="120" t="e">
        <v>#N/A</v>
      </c>
      <c r="F715" s="78" t="e">
        <v>#N/A</v>
      </c>
      <c r="G715" s="78" t="e">
        <v>#N/A</v>
      </c>
    </row>
    <row r="716" customFormat="false" ht="15.75" hidden="false" customHeight="false" outlineLevel="0" collapsed="false">
      <c r="A716" s="78" t="e">
        <v>#N/A</v>
      </c>
      <c r="B716" s="120" t="e">
        <v>#N/A</v>
      </c>
      <c r="C716" s="78" t="e">
        <v>#N/A</v>
      </c>
      <c r="D716" s="78" t="e">
        <v>#N/A</v>
      </c>
      <c r="E716" s="120" t="e">
        <v>#N/A</v>
      </c>
      <c r="F716" s="78" t="e">
        <v>#N/A</v>
      </c>
      <c r="G716" s="78" t="e">
        <v>#N/A</v>
      </c>
    </row>
    <row r="717" customFormat="false" ht="15.75" hidden="false" customHeight="false" outlineLevel="0" collapsed="false">
      <c r="A717" s="78" t="e">
        <v>#N/A</v>
      </c>
      <c r="B717" s="120" t="e">
        <v>#N/A</v>
      </c>
      <c r="C717" s="78" t="e">
        <v>#N/A</v>
      </c>
      <c r="D717" s="78" t="e">
        <v>#N/A</v>
      </c>
      <c r="E717" s="120" t="e">
        <v>#N/A</v>
      </c>
      <c r="F717" s="78" t="e">
        <v>#N/A</v>
      </c>
      <c r="G717" s="78" t="e">
        <v>#N/A</v>
      </c>
    </row>
    <row r="718" customFormat="false" ht="15.75" hidden="false" customHeight="false" outlineLevel="0" collapsed="false">
      <c r="A718" s="78" t="e">
        <v>#N/A</v>
      </c>
      <c r="B718" s="120" t="e">
        <v>#N/A</v>
      </c>
      <c r="C718" s="78" t="e">
        <v>#N/A</v>
      </c>
      <c r="D718" s="78" t="e">
        <v>#N/A</v>
      </c>
      <c r="E718" s="120" t="e">
        <v>#N/A</v>
      </c>
      <c r="F718" s="78" t="e">
        <v>#N/A</v>
      </c>
      <c r="G718" s="78" t="e">
        <v>#N/A</v>
      </c>
    </row>
    <row r="719" customFormat="false" ht="15.75" hidden="false" customHeight="false" outlineLevel="0" collapsed="false">
      <c r="A719" s="78" t="e">
        <v>#N/A</v>
      </c>
      <c r="B719" s="120" t="e">
        <v>#N/A</v>
      </c>
      <c r="C719" s="78" t="e">
        <v>#N/A</v>
      </c>
      <c r="D719" s="78" t="e">
        <v>#N/A</v>
      </c>
      <c r="E719" s="120" t="e">
        <v>#N/A</v>
      </c>
      <c r="F719" s="78" t="e">
        <v>#N/A</v>
      </c>
      <c r="G719" s="78" t="e">
        <v>#N/A</v>
      </c>
    </row>
    <row r="720" customFormat="false" ht="15.75" hidden="false" customHeight="false" outlineLevel="0" collapsed="false">
      <c r="A720" s="78" t="e">
        <v>#N/A</v>
      </c>
      <c r="B720" s="120" t="e">
        <v>#N/A</v>
      </c>
      <c r="C720" s="78" t="e">
        <v>#N/A</v>
      </c>
      <c r="D720" s="78" t="e">
        <v>#N/A</v>
      </c>
      <c r="E720" s="120" t="e">
        <v>#N/A</v>
      </c>
      <c r="F720" s="78" t="e">
        <v>#N/A</v>
      </c>
      <c r="G720" s="78" t="e">
        <v>#N/A</v>
      </c>
    </row>
    <row r="721" customFormat="false" ht="15.75" hidden="false" customHeight="false" outlineLevel="0" collapsed="false">
      <c r="A721" s="78" t="e">
        <v>#N/A</v>
      </c>
      <c r="B721" s="120" t="e">
        <v>#N/A</v>
      </c>
      <c r="C721" s="78" t="e">
        <v>#N/A</v>
      </c>
      <c r="D721" s="78" t="e">
        <v>#N/A</v>
      </c>
      <c r="E721" s="120" t="e">
        <v>#N/A</v>
      </c>
      <c r="F721" s="78" t="e">
        <v>#N/A</v>
      </c>
      <c r="G721" s="78" t="e">
        <v>#N/A</v>
      </c>
    </row>
    <row r="722" customFormat="false" ht="15.75" hidden="false" customHeight="false" outlineLevel="0" collapsed="false">
      <c r="A722" s="78" t="e">
        <v>#N/A</v>
      </c>
      <c r="B722" s="120" t="e">
        <v>#N/A</v>
      </c>
      <c r="C722" s="78" t="e">
        <v>#N/A</v>
      </c>
      <c r="D722" s="78" t="e">
        <v>#N/A</v>
      </c>
      <c r="E722" s="120" t="e">
        <v>#N/A</v>
      </c>
      <c r="F722" s="78" t="e">
        <v>#N/A</v>
      </c>
      <c r="G722" s="78" t="e">
        <v>#N/A</v>
      </c>
    </row>
    <row r="723" customFormat="false" ht="15.75" hidden="false" customHeight="false" outlineLevel="0" collapsed="false">
      <c r="A723" s="78" t="e">
        <v>#N/A</v>
      </c>
      <c r="B723" s="120" t="e">
        <v>#N/A</v>
      </c>
      <c r="C723" s="78" t="e">
        <v>#N/A</v>
      </c>
      <c r="D723" s="78" t="e">
        <v>#N/A</v>
      </c>
      <c r="E723" s="120" t="e">
        <v>#N/A</v>
      </c>
      <c r="F723" s="78" t="e">
        <v>#N/A</v>
      </c>
      <c r="G723" s="78" t="e">
        <v>#N/A</v>
      </c>
    </row>
    <row r="724" customFormat="false" ht="15.75" hidden="false" customHeight="false" outlineLevel="0" collapsed="false">
      <c r="A724" s="78" t="e">
        <v>#N/A</v>
      </c>
      <c r="B724" s="120" t="e">
        <v>#N/A</v>
      </c>
      <c r="C724" s="78" t="e">
        <v>#N/A</v>
      </c>
      <c r="D724" s="78" t="e">
        <v>#N/A</v>
      </c>
      <c r="E724" s="120" t="e">
        <v>#N/A</v>
      </c>
      <c r="F724" s="78" t="e">
        <v>#N/A</v>
      </c>
      <c r="G724" s="78" t="e">
        <v>#N/A</v>
      </c>
    </row>
    <row r="725" customFormat="false" ht="15.75" hidden="false" customHeight="false" outlineLevel="0" collapsed="false">
      <c r="A725" s="78" t="e">
        <v>#N/A</v>
      </c>
      <c r="B725" s="120" t="e">
        <v>#N/A</v>
      </c>
      <c r="C725" s="78" t="e">
        <v>#N/A</v>
      </c>
      <c r="D725" s="78" t="e">
        <v>#N/A</v>
      </c>
      <c r="E725" s="120" t="e">
        <v>#N/A</v>
      </c>
      <c r="F725" s="78" t="e">
        <v>#N/A</v>
      </c>
      <c r="G725" s="78" t="e">
        <v>#N/A</v>
      </c>
    </row>
    <row r="726" customFormat="false" ht="15.75" hidden="false" customHeight="false" outlineLevel="0" collapsed="false">
      <c r="A726" s="78" t="e">
        <v>#N/A</v>
      </c>
      <c r="B726" s="120" t="e">
        <v>#N/A</v>
      </c>
      <c r="C726" s="78" t="e">
        <v>#N/A</v>
      </c>
      <c r="D726" s="78" t="e">
        <v>#N/A</v>
      </c>
      <c r="E726" s="120" t="e">
        <v>#N/A</v>
      </c>
      <c r="F726" s="78" t="e">
        <v>#N/A</v>
      </c>
      <c r="G726" s="78" t="e">
        <v>#N/A</v>
      </c>
    </row>
    <row r="727" customFormat="false" ht="15.75" hidden="false" customHeight="false" outlineLevel="0" collapsed="false">
      <c r="A727" s="78" t="e">
        <v>#N/A</v>
      </c>
      <c r="B727" s="120" t="e">
        <v>#N/A</v>
      </c>
      <c r="C727" s="78" t="e">
        <v>#N/A</v>
      </c>
      <c r="D727" s="78" t="e">
        <v>#N/A</v>
      </c>
      <c r="E727" s="120" t="e">
        <v>#N/A</v>
      </c>
      <c r="F727" s="78" t="e">
        <v>#N/A</v>
      </c>
      <c r="G727" s="78" t="e">
        <v>#N/A</v>
      </c>
    </row>
    <row r="728" customFormat="false" ht="15.75" hidden="false" customHeight="false" outlineLevel="0" collapsed="false">
      <c r="A728" s="78" t="e">
        <v>#N/A</v>
      </c>
      <c r="B728" s="120" t="e">
        <v>#N/A</v>
      </c>
      <c r="C728" s="78" t="e">
        <v>#N/A</v>
      </c>
      <c r="D728" s="78" t="e">
        <v>#N/A</v>
      </c>
      <c r="E728" s="120" t="e">
        <v>#N/A</v>
      </c>
      <c r="F728" s="78" t="e">
        <v>#N/A</v>
      </c>
      <c r="G728" s="78" t="e">
        <v>#N/A</v>
      </c>
    </row>
    <row r="729" customFormat="false" ht="15.75" hidden="false" customHeight="false" outlineLevel="0" collapsed="false">
      <c r="A729" s="78" t="e">
        <v>#N/A</v>
      </c>
      <c r="B729" s="120" t="e">
        <v>#N/A</v>
      </c>
      <c r="C729" s="78" t="e">
        <v>#N/A</v>
      </c>
      <c r="D729" s="78" t="e">
        <v>#N/A</v>
      </c>
      <c r="E729" s="120" t="e">
        <v>#N/A</v>
      </c>
      <c r="F729" s="78" t="e">
        <v>#N/A</v>
      </c>
      <c r="G729" s="78" t="e">
        <v>#N/A</v>
      </c>
    </row>
    <row r="730" customFormat="false" ht="15.75" hidden="false" customHeight="false" outlineLevel="0" collapsed="false">
      <c r="A730" s="78" t="e">
        <v>#N/A</v>
      </c>
      <c r="B730" s="120" t="e">
        <v>#N/A</v>
      </c>
      <c r="C730" s="78" t="e">
        <v>#N/A</v>
      </c>
      <c r="D730" s="78" t="e">
        <v>#N/A</v>
      </c>
      <c r="E730" s="120" t="e">
        <v>#N/A</v>
      </c>
      <c r="F730" s="78" t="e">
        <v>#N/A</v>
      </c>
      <c r="G730" s="78" t="e">
        <v>#N/A</v>
      </c>
    </row>
    <row r="731" customFormat="false" ht="15.75" hidden="false" customHeight="false" outlineLevel="0" collapsed="false">
      <c r="A731" s="78" t="e">
        <v>#N/A</v>
      </c>
      <c r="B731" s="120" t="e">
        <v>#N/A</v>
      </c>
      <c r="C731" s="78" t="e">
        <v>#N/A</v>
      </c>
      <c r="D731" s="78" t="e">
        <v>#N/A</v>
      </c>
      <c r="E731" s="120" t="e">
        <v>#N/A</v>
      </c>
      <c r="F731" s="78" t="e">
        <v>#N/A</v>
      </c>
      <c r="G731" s="78" t="e">
        <v>#N/A</v>
      </c>
    </row>
    <row r="732" customFormat="false" ht="15.75" hidden="false" customHeight="false" outlineLevel="0" collapsed="false">
      <c r="A732" s="78" t="e">
        <v>#N/A</v>
      </c>
      <c r="B732" s="120" t="e">
        <v>#N/A</v>
      </c>
      <c r="C732" s="78" t="e">
        <v>#N/A</v>
      </c>
      <c r="D732" s="78" t="e">
        <v>#N/A</v>
      </c>
      <c r="E732" s="120" t="e">
        <v>#N/A</v>
      </c>
      <c r="F732" s="78" t="e">
        <v>#N/A</v>
      </c>
      <c r="G732" s="78" t="e">
        <v>#N/A</v>
      </c>
    </row>
    <row r="733" customFormat="false" ht="15.75" hidden="false" customHeight="false" outlineLevel="0" collapsed="false">
      <c r="A733" s="78" t="e">
        <v>#N/A</v>
      </c>
      <c r="B733" s="120" t="e">
        <v>#N/A</v>
      </c>
      <c r="C733" s="78" t="e">
        <v>#N/A</v>
      </c>
      <c r="D733" s="78" t="e">
        <v>#N/A</v>
      </c>
      <c r="E733" s="120" t="e">
        <v>#N/A</v>
      </c>
      <c r="F733" s="78" t="e">
        <v>#N/A</v>
      </c>
      <c r="G733" s="78" t="e">
        <v>#N/A</v>
      </c>
    </row>
    <row r="734" customFormat="false" ht="15.75" hidden="false" customHeight="false" outlineLevel="0" collapsed="false">
      <c r="A734" s="78" t="e">
        <v>#N/A</v>
      </c>
      <c r="B734" s="120" t="e">
        <v>#N/A</v>
      </c>
      <c r="C734" s="78" t="e">
        <v>#N/A</v>
      </c>
      <c r="D734" s="78" t="e">
        <v>#N/A</v>
      </c>
      <c r="E734" s="120" t="e">
        <v>#N/A</v>
      </c>
      <c r="F734" s="78" t="e">
        <v>#N/A</v>
      </c>
      <c r="G734" s="78" t="e">
        <v>#N/A</v>
      </c>
    </row>
    <row r="735" customFormat="false" ht="15.75" hidden="false" customHeight="false" outlineLevel="0" collapsed="false">
      <c r="A735" s="78" t="e">
        <v>#N/A</v>
      </c>
      <c r="B735" s="120" t="e">
        <v>#N/A</v>
      </c>
      <c r="C735" s="78" t="e">
        <v>#N/A</v>
      </c>
      <c r="D735" s="78" t="e">
        <v>#N/A</v>
      </c>
      <c r="E735" s="120" t="e">
        <v>#N/A</v>
      </c>
      <c r="F735" s="78" t="e">
        <v>#N/A</v>
      </c>
      <c r="G735" s="78" t="e">
        <v>#N/A</v>
      </c>
    </row>
    <row r="736" customFormat="false" ht="15.75" hidden="false" customHeight="false" outlineLevel="0" collapsed="false">
      <c r="A736" s="78" t="e">
        <v>#N/A</v>
      </c>
      <c r="B736" s="120" t="e">
        <v>#N/A</v>
      </c>
      <c r="C736" s="78" t="e">
        <v>#N/A</v>
      </c>
      <c r="D736" s="78" t="e">
        <v>#N/A</v>
      </c>
      <c r="E736" s="120" t="e">
        <v>#N/A</v>
      </c>
      <c r="F736" s="78" t="e">
        <v>#N/A</v>
      </c>
      <c r="G736" s="78" t="e">
        <v>#N/A</v>
      </c>
    </row>
    <row r="737" customFormat="false" ht="15.75" hidden="false" customHeight="false" outlineLevel="0" collapsed="false">
      <c r="A737" s="78" t="e">
        <v>#N/A</v>
      </c>
      <c r="B737" s="120" t="e">
        <v>#N/A</v>
      </c>
      <c r="C737" s="78" t="e">
        <v>#N/A</v>
      </c>
      <c r="D737" s="78" t="e">
        <v>#N/A</v>
      </c>
      <c r="E737" s="120" t="e">
        <v>#N/A</v>
      </c>
      <c r="F737" s="78" t="e">
        <v>#N/A</v>
      </c>
      <c r="G737" s="78" t="e">
        <v>#N/A</v>
      </c>
    </row>
    <row r="738" customFormat="false" ht="15.75" hidden="false" customHeight="false" outlineLevel="0" collapsed="false">
      <c r="A738" s="78" t="e">
        <v>#N/A</v>
      </c>
      <c r="B738" s="120" t="e">
        <v>#N/A</v>
      </c>
      <c r="C738" s="78" t="e">
        <v>#N/A</v>
      </c>
      <c r="D738" s="78" t="e">
        <v>#N/A</v>
      </c>
      <c r="E738" s="120" t="e">
        <v>#N/A</v>
      </c>
      <c r="F738" s="78" t="e">
        <v>#N/A</v>
      </c>
      <c r="G738" s="78" t="e">
        <v>#N/A</v>
      </c>
    </row>
    <row r="739" customFormat="false" ht="15.75" hidden="false" customHeight="false" outlineLevel="0" collapsed="false">
      <c r="A739" s="78" t="e">
        <v>#N/A</v>
      </c>
      <c r="B739" s="120" t="e">
        <v>#N/A</v>
      </c>
      <c r="C739" s="78" t="e">
        <v>#N/A</v>
      </c>
      <c r="D739" s="78" t="e">
        <v>#N/A</v>
      </c>
      <c r="E739" s="120" t="e">
        <v>#N/A</v>
      </c>
      <c r="F739" s="78" t="e">
        <v>#N/A</v>
      </c>
      <c r="G739" s="78" t="e">
        <v>#N/A</v>
      </c>
    </row>
    <row r="740" customFormat="false" ht="15.75" hidden="false" customHeight="false" outlineLevel="0" collapsed="false">
      <c r="A740" s="78" t="e">
        <v>#N/A</v>
      </c>
      <c r="B740" s="120" t="e">
        <v>#N/A</v>
      </c>
      <c r="C740" s="78" t="e">
        <v>#N/A</v>
      </c>
      <c r="D740" s="78" t="e">
        <v>#N/A</v>
      </c>
      <c r="E740" s="120" t="e">
        <v>#N/A</v>
      </c>
      <c r="F740" s="78" t="e">
        <v>#N/A</v>
      </c>
      <c r="G740" s="78" t="e">
        <v>#N/A</v>
      </c>
    </row>
    <row r="741" customFormat="false" ht="15.75" hidden="false" customHeight="false" outlineLevel="0" collapsed="false">
      <c r="A741" s="78" t="e">
        <v>#N/A</v>
      </c>
      <c r="B741" s="120" t="e">
        <v>#N/A</v>
      </c>
      <c r="C741" s="78" t="e">
        <v>#N/A</v>
      </c>
      <c r="D741" s="78" t="e">
        <v>#N/A</v>
      </c>
      <c r="E741" s="120" t="e">
        <v>#N/A</v>
      </c>
      <c r="F741" s="78" t="e">
        <v>#N/A</v>
      </c>
      <c r="G741" s="78" t="e">
        <v>#N/A</v>
      </c>
    </row>
    <row r="742" customFormat="false" ht="15.75" hidden="false" customHeight="false" outlineLevel="0" collapsed="false">
      <c r="A742" s="78" t="e">
        <v>#N/A</v>
      </c>
      <c r="B742" s="120" t="e">
        <v>#N/A</v>
      </c>
      <c r="C742" s="78" t="e">
        <v>#N/A</v>
      </c>
      <c r="D742" s="78" t="e">
        <v>#N/A</v>
      </c>
      <c r="E742" s="120" t="e">
        <v>#N/A</v>
      </c>
      <c r="F742" s="78" t="e">
        <v>#N/A</v>
      </c>
      <c r="G742" s="78" t="e">
        <v>#N/A</v>
      </c>
    </row>
    <row r="743" customFormat="false" ht="15.75" hidden="false" customHeight="false" outlineLevel="0" collapsed="false">
      <c r="A743" s="78" t="e">
        <v>#N/A</v>
      </c>
      <c r="B743" s="120" t="e">
        <v>#N/A</v>
      </c>
      <c r="C743" s="78" t="e">
        <v>#N/A</v>
      </c>
      <c r="D743" s="78" t="e">
        <v>#N/A</v>
      </c>
      <c r="E743" s="120" t="e">
        <v>#N/A</v>
      </c>
      <c r="F743" s="78" t="e">
        <v>#N/A</v>
      </c>
      <c r="G743" s="78" t="e">
        <v>#N/A</v>
      </c>
    </row>
    <row r="744" customFormat="false" ht="15.75" hidden="false" customHeight="false" outlineLevel="0" collapsed="false">
      <c r="A744" s="78" t="e">
        <v>#N/A</v>
      </c>
      <c r="B744" s="120" t="e">
        <v>#N/A</v>
      </c>
      <c r="C744" s="78" t="e">
        <v>#N/A</v>
      </c>
      <c r="D744" s="78" t="e">
        <v>#N/A</v>
      </c>
      <c r="E744" s="120" t="e">
        <v>#N/A</v>
      </c>
      <c r="F744" s="78" t="e">
        <v>#N/A</v>
      </c>
      <c r="G744" s="78" t="e">
        <v>#N/A</v>
      </c>
    </row>
    <row r="745" customFormat="false" ht="15.75" hidden="false" customHeight="false" outlineLevel="0" collapsed="false">
      <c r="A745" s="78" t="e">
        <v>#N/A</v>
      </c>
      <c r="B745" s="120" t="e">
        <v>#N/A</v>
      </c>
      <c r="C745" s="78" t="e">
        <v>#N/A</v>
      </c>
      <c r="D745" s="78" t="e">
        <v>#N/A</v>
      </c>
      <c r="E745" s="120" t="e">
        <v>#N/A</v>
      </c>
      <c r="F745" s="78" t="e">
        <v>#N/A</v>
      </c>
      <c r="G745" s="78" t="e">
        <v>#N/A</v>
      </c>
    </row>
    <row r="746" customFormat="false" ht="15.75" hidden="false" customHeight="false" outlineLevel="0" collapsed="false">
      <c r="A746" s="78" t="e">
        <v>#N/A</v>
      </c>
      <c r="B746" s="120" t="e">
        <v>#N/A</v>
      </c>
      <c r="C746" s="78" t="e">
        <v>#N/A</v>
      </c>
      <c r="D746" s="78" t="e">
        <v>#N/A</v>
      </c>
      <c r="E746" s="120" t="e">
        <v>#N/A</v>
      </c>
      <c r="F746" s="78" t="e">
        <v>#N/A</v>
      </c>
      <c r="G746" s="78" t="e">
        <v>#N/A</v>
      </c>
    </row>
    <row r="747" customFormat="false" ht="15.75" hidden="false" customHeight="false" outlineLevel="0" collapsed="false">
      <c r="A747" s="78" t="e">
        <v>#N/A</v>
      </c>
      <c r="B747" s="120" t="e">
        <v>#N/A</v>
      </c>
      <c r="C747" s="78" t="e">
        <v>#N/A</v>
      </c>
      <c r="D747" s="78" t="e">
        <v>#N/A</v>
      </c>
      <c r="E747" s="120" t="e">
        <v>#N/A</v>
      </c>
      <c r="F747" s="78" t="e">
        <v>#N/A</v>
      </c>
      <c r="G747" s="78" t="e">
        <v>#N/A</v>
      </c>
    </row>
    <row r="748" customFormat="false" ht="15.75" hidden="false" customHeight="false" outlineLevel="0" collapsed="false">
      <c r="A748" s="78" t="e">
        <v>#N/A</v>
      </c>
      <c r="B748" s="120" t="e">
        <v>#N/A</v>
      </c>
      <c r="C748" s="78" t="e">
        <v>#N/A</v>
      </c>
      <c r="D748" s="78" t="e">
        <v>#N/A</v>
      </c>
      <c r="E748" s="120" t="e">
        <v>#N/A</v>
      </c>
      <c r="F748" s="78" t="e">
        <v>#N/A</v>
      </c>
      <c r="G748" s="78" t="e">
        <v>#N/A</v>
      </c>
    </row>
    <row r="749" customFormat="false" ht="15.75" hidden="false" customHeight="false" outlineLevel="0" collapsed="false">
      <c r="A749" s="78" t="e">
        <v>#N/A</v>
      </c>
      <c r="B749" s="120" t="e">
        <v>#N/A</v>
      </c>
      <c r="C749" s="78" t="e">
        <v>#N/A</v>
      </c>
      <c r="D749" s="78" t="e">
        <v>#N/A</v>
      </c>
      <c r="E749" s="120" t="e">
        <v>#N/A</v>
      </c>
      <c r="F749" s="78" t="e">
        <v>#N/A</v>
      </c>
      <c r="G749" s="78" t="e">
        <v>#N/A</v>
      </c>
    </row>
    <row r="750" customFormat="false" ht="15.75" hidden="false" customHeight="false" outlineLevel="0" collapsed="false">
      <c r="A750" s="78" t="e">
        <v>#N/A</v>
      </c>
      <c r="B750" s="120" t="e">
        <v>#N/A</v>
      </c>
      <c r="C750" s="78" t="e">
        <v>#N/A</v>
      </c>
      <c r="D750" s="78" t="e">
        <v>#N/A</v>
      </c>
      <c r="E750" s="120" t="e">
        <v>#N/A</v>
      </c>
      <c r="F750" s="78" t="e">
        <v>#N/A</v>
      </c>
      <c r="G750" s="78" t="e">
        <v>#N/A</v>
      </c>
    </row>
    <row r="751" customFormat="false" ht="15.75" hidden="false" customHeight="false" outlineLevel="0" collapsed="false">
      <c r="A751" s="78" t="e">
        <v>#N/A</v>
      </c>
      <c r="B751" s="120" t="e">
        <v>#N/A</v>
      </c>
      <c r="C751" s="78" t="e">
        <v>#N/A</v>
      </c>
      <c r="D751" s="78" t="e">
        <v>#N/A</v>
      </c>
      <c r="E751" s="120" t="e">
        <v>#N/A</v>
      </c>
      <c r="F751" s="78" t="e">
        <v>#N/A</v>
      </c>
      <c r="G751" s="78" t="e">
        <v>#N/A</v>
      </c>
    </row>
    <row r="752" customFormat="false" ht="15.75" hidden="false" customHeight="false" outlineLevel="0" collapsed="false">
      <c r="A752" s="78" t="e">
        <v>#N/A</v>
      </c>
      <c r="B752" s="120" t="e">
        <v>#N/A</v>
      </c>
      <c r="C752" s="78" t="e">
        <v>#N/A</v>
      </c>
      <c r="D752" s="78" t="e">
        <v>#N/A</v>
      </c>
      <c r="E752" s="120" t="e">
        <v>#N/A</v>
      </c>
      <c r="F752" s="78" t="e">
        <v>#N/A</v>
      </c>
      <c r="G752" s="78" t="e">
        <v>#N/A</v>
      </c>
    </row>
    <row r="753" customFormat="false" ht="15.75" hidden="false" customHeight="false" outlineLevel="0" collapsed="false">
      <c r="A753" s="78" t="e">
        <v>#N/A</v>
      </c>
      <c r="B753" s="120" t="e">
        <v>#N/A</v>
      </c>
      <c r="C753" s="78" t="e">
        <v>#N/A</v>
      </c>
      <c r="D753" s="78" t="e">
        <v>#N/A</v>
      </c>
      <c r="E753" s="120" t="e">
        <v>#N/A</v>
      </c>
      <c r="F753" s="78" t="e">
        <v>#N/A</v>
      </c>
      <c r="G753" s="78" t="e">
        <v>#N/A</v>
      </c>
    </row>
    <row r="754" customFormat="false" ht="15.75" hidden="false" customHeight="false" outlineLevel="0" collapsed="false">
      <c r="A754" s="78" t="e">
        <v>#N/A</v>
      </c>
      <c r="B754" s="120" t="e">
        <v>#N/A</v>
      </c>
      <c r="C754" s="78" t="e">
        <v>#N/A</v>
      </c>
      <c r="D754" s="78" t="e">
        <v>#N/A</v>
      </c>
      <c r="E754" s="120" t="e">
        <v>#N/A</v>
      </c>
      <c r="F754" s="78" t="e">
        <v>#N/A</v>
      </c>
      <c r="G754" s="78" t="e">
        <v>#N/A</v>
      </c>
    </row>
    <row r="755" customFormat="false" ht="15.75" hidden="false" customHeight="false" outlineLevel="0" collapsed="false">
      <c r="A755" s="78" t="e">
        <v>#N/A</v>
      </c>
      <c r="B755" s="120" t="e">
        <v>#N/A</v>
      </c>
      <c r="C755" s="78" t="e">
        <v>#N/A</v>
      </c>
      <c r="D755" s="78" t="e">
        <v>#N/A</v>
      </c>
      <c r="E755" s="120" t="e">
        <v>#N/A</v>
      </c>
      <c r="F755" s="78" t="e">
        <v>#N/A</v>
      </c>
      <c r="G755" s="78" t="e">
        <v>#N/A</v>
      </c>
    </row>
    <row r="756" customFormat="false" ht="15.75" hidden="false" customHeight="false" outlineLevel="0" collapsed="false">
      <c r="A756" s="78" t="e">
        <v>#N/A</v>
      </c>
      <c r="B756" s="120" t="e">
        <v>#N/A</v>
      </c>
      <c r="C756" s="78" t="e">
        <v>#N/A</v>
      </c>
      <c r="D756" s="78" t="e">
        <v>#N/A</v>
      </c>
      <c r="E756" s="120" t="e">
        <v>#N/A</v>
      </c>
      <c r="F756" s="78" t="e">
        <v>#N/A</v>
      </c>
      <c r="G756" s="78" t="e">
        <v>#N/A</v>
      </c>
    </row>
    <row r="757" customFormat="false" ht="15.75" hidden="false" customHeight="false" outlineLevel="0" collapsed="false">
      <c r="A757" s="78" t="e">
        <v>#N/A</v>
      </c>
      <c r="B757" s="120" t="e">
        <v>#N/A</v>
      </c>
      <c r="C757" s="78" t="e">
        <v>#N/A</v>
      </c>
      <c r="D757" s="78" t="e">
        <v>#N/A</v>
      </c>
      <c r="E757" s="120" t="e">
        <v>#N/A</v>
      </c>
      <c r="F757" s="78" t="e">
        <v>#N/A</v>
      </c>
      <c r="G757" s="78" t="e">
        <v>#N/A</v>
      </c>
    </row>
    <row r="758" customFormat="false" ht="15.75" hidden="false" customHeight="false" outlineLevel="0" collapsed="false">
      <c r="A758" s="78" t="e">
        <v>#N/A</v>
      </c>
      <c r="B758" s="120" t="e">
        <v>#N/A</v>
      </c>
      <c r="C758" s="78" t="e">
        <v>#N/A</v>
      </c>
      <c r="D758" s="78" t="e">
        <v>#N/A</v>
      </c>
      <c r="E758" s="120" t="e">
        <v>#N/A</v>
      </c>
      <c r="F758" s="78" t="e">
        <v>#N/A</v>
      </c>
      <c r="G758" s="78" t="e">
        <v>#N/A</v>
      </c>
    </row>
    <row r="759" customFormat="false" ht="15.75" hidden="false" customHeight="false" outlineLevel="0" collapsed="false">
      <c r="A759" s="78" t="e">
        <v>#N/A</v>
      </c>
      <c r="B759" s="120" t="e">
        <v>#N/A</v>
      </c>
      <c r="C759" s="78" t="e">
        <v>#N/A</v>
      </c>
      <c r="D759" s="78" t="e">
        <v>#N/A</v>
      </c>
      <c r="E759" s="120" t="e">
        <v>#N/A</v>
      </c>
      <c r="F759" s="78" t="e">
        <v>#N/A</v>
      </c>
      <c r="G759" s="78" t="e">
        <v>#N/A</v>
      </c>
    </row>
    <row r="760" customFormat="false" ht="15.75" hidden="false" customHeight="false" outlineLevel="0" collapsed="false">
      <c r="A760" s="78" t="e">
        <v>#N/A</v>
      </c>
      <c r="B760" s="120" t="e">
        <v>#N/A</v>
      </c>
      <c r="C760" s="78" t="e">
        <v>#N/A</v>
      </c>
      <c r="D760" s="78" t="e">
        <v>#N/A</v>
      </c>
      <c r="E760" s="120" t="e">
        <v>#N/A</v>
      </c>
      <c r="F760" s="78" t="e">
        <v>#N/A</v>
      </c>
      <c r="G760" s="78" t="e">
        <v>#N/A</v>
      </c>
    </row>
    <row r="761" customFormat="false" ht="15.75" hidden="false" customHeight="false" outlineLevel="0" collapsed="false">
      <c r="A761" s="78" t="e">
        <v>#N/A</v>
      </c>
      <c r="B761" s="120" t="e">
        <v>#N/A</v>
      </c>
      <c r="C761" s="78" t="e">
        <v>#N/A</v>
      </c>
      <c r="D761" s="78" t="e">
        <v>#N/A</v>
      </c>
      <c r="E761" s="120" t="e">
        <v>#N/A</v>
      </c>
      <c r="F761" s="78" t="e">
        <v>#N/A</v>
      </c>
      <c r="G761" s="78" t="e">
        <v>#N/A</v>
      </c>
    </row>
    <row r="762" customFormat="false" ht="15.75" hidden="false" customHeight="false" outlineLevel="0" collapsed="false">
      <c r="A762" s="78" t="e">
        <v>#N/A</v>
      </c>
      <c r="B762" s="120" t="e">
        <v>#N/A</v>
      </c>
      <c r="C762" s="78" t="e">
        <v>#N/A</v>
      </c>
      <c r="D762" s="78" t="e">
        <v>#N/A</v>
      </c>
      <c r="E762" s="120" t="e">
        <v>#N/A</v>
      </c>
      <c r="F762" s="78" t="e">
        <v>#N/A</v>
      </c>
      <c r="G762" s="78" t="e">
        <v>#N/A</v>
      </c>
    </row>
    <row r="763" customFormat="false" ht="15.75" hidden="false" customHeight="false" outlineLevel="0" collapsed="false">
      <c r="A763" s="78" t="e">
        <v>#N/A</v>
      </c>
      <c r="B763" s="120" t="e">
        <v>#N/A</v>
      </c>
      <c r="C763" s="78" t="e">
        <v>#N/A</v>
      </c>
      <c r="D763" s="78" t="e">
        <v>#N/A</v>
      </c>
      <c r="E763" s="120" t="e">
        <v>#N/A</v>
      </c>
      <c r="F763" s="78" t="e">
        <v>#N/A</v>
      </c>
      <c r="G763" s="78" t="e">
        <v>#N/A</v>
      </c>
    </row>
    <row r="764" customFormat="false" ht="15.75" hidden="false" customHeight="false" outlineLevel="0" collapsed="false">
      <c r="A764" s="78" t="e">
        <v>#N/A</v>
      </c>
      <c r="B764" s="120" t="e">
        <v>#N/A</v>
      </c>
      <c r="C764" s="78" t="e">
        <v>#N/A</v>
      </c>
      <c r="D764" s="78" t="e">
        <v>#N/A</v>
      </c>
      <c r="E764" s="120" t="e">
        <v>#N/A</v>
      </c>
      <c r="F764" s="78" t="e">
        <v>#N/A</v>
      </c>
      <c r="G764" s="78" t="e">
        <v>#N/A</v>
      </c>
    </row>
    <row r="765" customFormat="false" ht="15.75" hidden="false" customHeight="false" outlineLevel="0" collapsed="false">
      <c r="A765" s="78" t="e">
        <v>#N/A</v>
      </c>
      <c r="B765" s="120" t="e">
        <v>#N/A</v>
      </c>
      <c r="C765" s="78" t="e">
        <v>#N/A</v>
      </c>
      <c r="D765" s="78" t="e">
        <v>#N/A</v>
      </c>
      <c r="E765" s="120" t="e">
        <v>#N/A</v>
      </c>
      <c r="F765" s="78" t="e">
        <v>#N/A</v>
      </c>
      <c r="G765" s="78" t="e">
        <v>#N/A</v>
      </c>
    </row>
    <row r="766" customFormat="false" ht="15.75" hidden="false" customHeight="false" outlineLevel="0" collapsed="false">
      <c r="A766" s="78" t="e">
        <v>#N/A</v>
      </c>
      <c r="B766" s="120" t="e">
        <v>#N/A</v>
      </c>
      <c r="C766" s="78" t="e">
        <v>#N/A</v>
      </c>
      <c r="D766" s="78" t="e">
        <v>#N/A</v>
      </c>
      <c r="E766" s="120" t="e">
        <v>#N/A</v>
      </c>
      <c r="F766" s="78" t="e">
        <v>#N/A</v>
      </c>
      <c r="G766" s="78" t="e">
        <v>#N/A</v>
      </c>
    </row>
    <row r="767" customFormat="false" ht="15.75" hidden="false" customHeight="false" outlineLevel="0" collapsed="false">
      <c r="A767" s="78" t="e">
        <v>#N/A</v>
      </c>
      <c r="B767" s="120" t="e">
        <v>#N/A</v>
      </c>
      <c r="C767" s="78" t="e">
        <v>#N/A</v>
      </c>
      <c r="D767" s="78" t="e">
        <v>#N/A</v>
      </c>
      <c r="E767" s="120" t="e">
        <v>#N/A</v>
      </c>
      <c r="F767" s="78" t="e">
        <v>#N/A</v>
      </c>
      <c r="G767" s="78" t="e">
        <v>#N/A</v>
      </c>
    </row>
    <row r="768" customFormat="false" ht="15.75" hidden="false" customHeight="false" outlineLevel="0" collapsed="false">
      <c r="A768" s="78" t="e">
        <v>#N/A</v>
      </c>
      <c r="B768" s="120" t="e">
        <v>#N/A</v>
      </c>
      <c r="C768" s="78" t="e">
        <v>#N/A</v>
      </c>
      <c r="D768" s="78" t="e">
        <v>#N/A</v>
      </c>
      <c r="E768" s="120" t="e">
        <v>#N/A</v>
      </c>
      <c r="F768" s="78" t="e">
        <v>#N/A</v>
      </c>
      <c r="G768" s="78" t="e">
        <v>#N/A</v>
      </c>
    </row>
    <row r="769" customFormat="false" ht="15.75" hidden="false" customHeight="false" outlineLevel="0" collapsed="false">
      <c r="A769" s="78" t="e">
        <v>#N/A</v>
      </c>
      <c r="B769" s="120" t="e">
        <v>#N/A</v>
      </c>
      <c r="C769" s="78" t="e">
        <v>#N/A</v>
      </c>
      <c r="D769" s="78" t="e">
        <v>#N/A</v>
      </c>
      <c r="E769" s="120" t="e">
        <v>#N/A</v>
      </c>
      <c r="F769" s="78" t="e">
        <v>#N/A</v>
      </c>
      <c r="G769" s="78" t="e">
        <v>#N/A</v>
      </c>
    </row>
    <row r="770" customFormat="false" ht="15.75" hidden="false" customHeight="false" outlineLevel="0" collapsed="false">
      <c r="A770" s="78" t="e">
        <v>#N/A</v>
      </c>
      <c r="B770" s="120" t="e">
        <v>#N/A</v>
      </c>
      <c r="C770" s="78" t="e">
        <v>#N/A</v>
      </c>
      <c r="D770" s="78" t="e">
        <v>#N/A</v>
      </c>
      <c r="E770" s="120" t="e">
        <v>#N/A</v>
      </c>
      <c r="F770" s="78" t="e">
        <v>#N/A</v>
      </c>
      <c r="G770" s="78" t="e">
        <v>#N/A</v>
      </c>
    </row>
    <row r="771" customFormat="false" ht="15.75" hidden="false" customHeight="false" outlineLevel="0" collapsed="false">
      <c r="A771" s="78" t="e">
        <v>#N/A</v>
      </c>
      <c r="B771" s="120" t="e">
        <v>#N/A</v>
      </c>
      <c r="C771" s="78" t="e">
        <v>#N/A</v>
      </c>
      <c r="D771" s="78" t="e">
        <v>#N/A</v>
      </c>
      <c r="E771" s="120" t="e">
        <v>#N/A</v>
      </c>
      <c r="F771" s="78" t="e">
        <v>#N/A</v>
      </c>
      <c r="G771" s="78" t="e">
        <v>#N/A</v>
      </c>
    </row>
    <row r="772" customFormat="false" ht="15.75" hidden="false" customHeight="false" outlineLevel="0" collapsed="false">
      <c r="A772" s="78" t="e">
        <v>#N/A</v>
      </c>
      <c r="B772" s="120" t="e">
        <v>#N/A</v>
      </c>
      <c r="C772" s="78" t="e">
        <v>#N/A</v>
      </c>
      <c r="D772" s="78" t="e">
        <v>#N/A</v>
      </c>
      <c r="E772" s="120" t="e">
        <v>#N/A</v>
      </c>
      <c r="F772" s="78" t="e">
        <v>#N/A</v>
      </c>
      <c r="G772" s="78" t="e">
        <v>#N/A</v>
      </c>
    </row>
    <row r="773" customFormat="false" ht="15.75" hidden="false" customHeight="false" outlineLevel="0" collapsed="false">
      <c r="A773" s="78" t="e">
        <v>#N/A</v>
      </c>
      <c r="B773" s="120" t="e">
        <v>#N/A</v>
      </c>
      <c r="C773" s="78" t="e">
        <v>#N/A</v>
      </c>
      <c r="D773" s="78" t="e">
        <v>#N/A</v>
      </c>
      <c r="E773" s="120" t="e">
        <v>#N/A</v>
      </c>
      <c r="F773" s="78" t="e">
        <v>#N/A</v>
      </c>
      <c r="G773" s="78" t="e">
        <v>#N/A</v>
      </c>
    </row>
    <row r="774" customFormat="false" ht="15.75" hidden="false" customHeight="false" outlineLevel="0" collapsed="false">
      <c r="A774" s="78" t="e">
        <v>#N/A</v>
      </c>
      <c r="B774" s="120" t="e">
        <v>#N/A</v>
      </c>
      <c r="C774" s="78" t="e">
        <v>#N/A</v>
      </c>
      <c r="D774" s="78" t="e">
        <v>#N/A</v>
      </c>
      <c r="E774" s="120" t="e">
        <v>#N/A</v>
      </c>
      <c r="F774" s="78" t="e">
        <v>#N/A</v>
      </c>
      <c r="G774" s="78" t="e">
        <v>#N/A</v>
      </c>
    </row>
    <row r="775" customFormat="false" ht="15.75" hidden="false" customHeight="false" outlineLevel="0" collapsed="false">
      <c r="A775" s="78" t="e">
        <v>#N/A</v>
      </c>
      <c r="B775" s="120" t="e">
        <v>#N/A</v>
      </c>
      <c r="C775" s="78" t="e">
        <v>#N/A</v>
      </c>
      <c r="D775" s="78" t="e">
        <v>#N/A</v>
      </c>
      <c r="E775" s="120" t="e">
        <v>#N/A</v>
      </c>
      <c r="F775" s="78" t="e">
        <v>#N/A</v>
      </c>
      <c r="G775" s="78" t="e">
        <v>#N/A</v>
      </c>
    </row>
    <row r="776" customFormat="false" ht="15.75" hidden="false" customHeight="false" outlineLevel="0" collapsed="false">
      <c r="A776" s="78" t="e">
        <v>#N/A</v>
      </c>
      <c r="B776" s="120" t="e">
        <v>#N/A</v>
      </c>
      <c r="C776" s="78" t="e">
        <v>#N/A</v>
      </c>
      <c r="D776" s="78" t="e">
        <v>#N/A</v>
      </c>
      <c r="E776" s="120" t="e">
        <v>#N/A</v>
      </c>
      <c r="F776" s="78" t="e">
        <v>#N/A</v>
      </c>
      <c r="G776" s="78" t="e">
        <v>#N/A</v>
      </c>
    </row>
    <row r="777" customFormat="false" ht="15.75" hidden="false" customHeight="false" outlineLevel="0" collapsed="false">
      <c r="A777" s="78" t="e">
        <v>#N/A</v>
      </c>
      <c r="B777" s="120" t="e">
        <v>#N/A</v>
      </c>
      <c r="C777" s="78" t="e">
        <v>#N/A</v>
      </c>
      <c r="D777" s="78" t="e">
        <v>#N/A</v>
      </c>
      <c r="E777" s="120" t="e">
        <v>#N/A</v>
      </c>
      <c r="F777" s="78" t="e">
        <v>#N/A</v>
      </c>
      <c r="G777" s="78" t="e">
        <v>#N/A</v>
      </c>
    </row>
    <row r="778" customFormat="false" ht="15.75" hidden="false" customHeight="false" outlineLevel="0" collapsed="false">
      <c r="A778" s="78" t="e">
        <v>#N/A</v>
      </c>
      <c r="B778" s="120" t="e">
        <v>#N/A</v>
      </c>
      <c r="C778" s="78" t="e">
        <v>#N/A</v>
      </c>
      <c r="D778" s="78" t="e">
        <v>#N/A</v>
      </c>
      <c r="E778" s="120" t="e">
        <v>#N/A</v>
      </c>
      <c r="F778" s="78" t="e">
        <v>#N/A</v>
      </c>
      <c r="G778" s="78" t="e">
        <v>#N/A</v>
      </c>
    </row>
    <row r="779" customFormat="false" ht="15.75" hidden="false" customHeight="false" outlineLevel="0" collapsed="false">
      <c r="A779" s="78" t="e">
        <v>#N/A</v>
      </c>
      <c r="B779" s="120" t="e">
        <v>#N/A</v>
      </c>
      <c r="C779" s="78" t="e">
        <v>#N/A</v>
      </c>
      <c r="D779" s="78" t="e">
        <v>#N/A</v>
      </c>
      <c r="E779" s="120" t="e">
        <v>#N/A</v>
      </c>
      <c r="F779" s="78" t="e">
        <v>#N/A</v>
      </c>
      <c r="G779" s="78" t="e">
        <v>#N/A</v>
      </c>
    </row>
    <row r="780" customFormat="false" ht="15.75" hidden="false" customHeight="false" outlineLevel="0" collapsed="false">
      <c r="A780" s="78" t="e">
        <v>#N/A</v>
      </c>
      <c r="B780" s="120" t="e">
        <v>#N/A</v>
      </c>
      <c r="C780" s="78" t="e">
        <v>#N/A</v>
      </c>
      <c r="D780" s="78" t="e">
        <v>#N/A</v>
      </c>
      <c r="E780" s="120" t="e">
        <v>#N/A</v>
      </c>
      <c r="F780" s="78" t="e">
        <v>#N/A</v>
      </c>
      <c r="G780" s="78" t="e">
        <v>#N/A</v>
      </c>
    </row>
    <row r="781" customFormat="false" ht="15.75" hidden="false" customHeight="false" outlineLevel="0" collapsed="false">
      <c r="A781" s="78" t="e">
        <v>#N/A</v>
      </c>
      <c r="B781" s="120" t="e">
        <v>#N/A</v>
      </c>
      <c r="C781" s="78" t="e">
        <v>#N/A</v>
      </c>
      <c r="D781" s="78" t="e">
        <v>#N/A</v>
      </c>
      <c r="E781" s="120" t="e">
        <v>#N/A</v>
      </c>
      <c r="F781" s="78" t="e">
        <v>#N/A</v>
      </c>
      <c r="G781" s="78" t="e">
        <v>#N/A</v>
      </c>
    </row>
    <row r="782" customFormat="false" ht="15.75" hidden="false" customHeight="false" outlineLevel="0" collapsed="false">
      <c r="A782" s="78" t="e">
        <v>#N/A</v>
      </c>
      <c r="B782" s="120" t="e">
        <v>#N/A</v>
      </c>
      <c r="C782" s="78" t="e">
        <v>#N/A</v>
      </c>
      <c r="D782" s="78" t="e">
        <v>#N/A</v>
      </c>
      <c r="E782" s="120" t="e">
        <v>#N/A</v>
      </c>
      <c r="F782" s="78" t="e">
        <v>#N/A</v>
      </c>
      <c r="G782" s="78" t="e">
        <v>#N/A</v>
      </c>
    </row>
    <row r="783" customFormat="false" ht="15.75" hidden="false" customHeight="false" outlineLevel="0" collapsed="false">
      <c r="A783" s="78" t="e">
        <v>#N/A</v>
      </c>
      <c r="B783" s="120" t="e">
        <v>#N/A</v>
      </c>
      <c r="C783" s="78" t="e">
        <v>#N/A</v>
      </c>
      <c r="D783" s="78" t="e">
        <v>#N/A</v>
      </c>
      <c r="E783" s="120" t="e">
        <v>#N/A</v>
      </c>
      <c r="F783" s="78" t="e">
        <v>#N/A</v>
      </c>
      <c r="G783" s="78" t="e">
        <v>#N/A</v>
      </c>
    </row>
    <row r="784" customFormat="false" ht="15.75" hidden="false" customHeight="false" outlineLevel="0" collapsed="false">
      <c r="A784" s="78" t="e">
        <v>#N/A</v>
      </c>
      <c r="B784" s="120" t="e">
        <v>#N/A</v>
      </c>
      <c r="C784" s="78" t="e">
        <v>#N/A</v>
      </c>
      <c r="D784" s="78" t="e">
        <v>#N/A</v>
      </c>
      <c r="E784" s="120" t="e">
        <v>#N/A</v>
      </c>
      <c r="F784" s="78" t="e">
        <v>#N/A</v>
      </c>
      <c r="G784" s="78" t="e">
        <v>#N/A</v>
      </c>
    </row>
    <row r="785" customFormat="false" ht="15.75" hidden="false" customHeight="false" outlineLevel="0" collapsed="false">
      <c r="A785" s="78" t="e">
        <v>#N/A</v>
      </c>
      <c r="B785" s="120" t="e">
        <v>#N/A</v>
      </c>
      <c r="C785" s="78" t="e">
        <v>#N/A</v>
      </c>
      <c r="D785" s="78" t="e">
        <v>#N/A</v>
      </c>
      <c r="E785" s="120" t="e">
        <v>#N/A</v>
      </c>
      <c r="F785" s="78" t="e">
        <v>#N/A</v>
      </c>
      <c r="G785" s="78" t="e">
        <v>#N/A</v>
      </c>
    </row>
    <row r="786" customFormat="false" ht="15.75" hidden="false" customHeight="false" outlineLevel="0" collapsed="false">
      <c r="A786" s="78" t="e">
        <v>#N/A</v>
      </c>
      <c r="B786" s="120" t="e">
        <v>#N/A</v>
      </c>
      <c r="C786" s="78" t="e">
        <v>#N/A</v>
      </c>
      <c r="D786" s="78" t="e">
        <v>#N/A</v>
      </c>
      <c r="E786" s="120" t="e">
        <v>#N/A</v>
      </c>
      <c r="F786" s="78" t="e">
        <v>#N/A</v>
      </c>
      <c r="G786" s="78" t="e">
        <v>#N/A</v>
      </c>
    </row>
    <row r="787" customFormat="false" ht="15.75" hidden="false" customHeight="false" outlineLevel="0" collapsed="false">
      <c r="A787" s="78" t="e">
        <v>#N/A</v>
      </c>
      <c r="B787" s="120" t="e">
        <v>#N/A</v>
      </c>
      <c r="C787" s="78" t="e">
        <v>#N/A</v>
      </c>
      <c r="D787" s="78" t="e">
        <v>#N/A</v>
      </c>
      <c r="E787" s="120" t="e">
        <v>#N/A</v>
      </c>
      <c r="F787" s="78" t="e">
        <v>#N/A</v>
      </c>
      <c r="G787" s="78" t="e">
        <v>#N/A</v>
      </c>
    </row>
    <row r="788" customFormat="false" ht="15.75" hidden="false" customHeight="false" outlineLevel="0" collapsed="false">
      <c r="A788" s="78" t="e">
        <v>#N/A</v>
      </c>
      <c r="B788" s="120" t="e">
        <v>#N/A</v>
      </c>
      <c r="C788" s="78" t="e">
        <v>#N/A</v>
      </c>
      <c r="D788" s="78" t="e">
        <v>#N/A</v>
      </c>
      <c r="E788" s="120" t="e">
        <v>#N/A</v>
      </c>
      <c r="F788" s="78" t="e">
        <v>#N/A</v>
      </c>
      <c r="G788" s="78" t="e">
        <v>#N/A</v>
      </c>
    </row>
    <row r="789" customFormat="false" ht="15.75" hidden="false" customHeight="false" outlineLevel="0" collapsed="false">
      <c r="A789" s="78" t="e">
        <v>#N/A</v>
      </c>
      <c r="B789" s="120" t="e">
        <v>#N/A</v>
      </c>
      <c r="C789" s="78" t="e">
        <v>#N/A</v>
      </c>
      <c r="D789" s="78" t="e">
        <v>#N/A</v>
      </c>
      <c r="E789" s="120" t="e">
        <v>#N/A</v>
      </c>
      <c r="F789" s="78" t="e">
        <v>#N/A</v>
      </c>
      <c r="G789" s="78" t="e">
        <v>#N/A</v>
      </c>
    </row>
    <row r="790" customFormat="false" ht="15.75" hidden="false" customHeight="false" outlineLevel="0" collapsed="false">
      <c r="A790" s="78" t="e">
        <v>#N/A</v>
      </c>
      <c r="B790" s="120" t="e">
        <v>#N/A</v>
      </c>
      <c r="C790" s="78" t="e">
        <v>#N/A</v>
      </c>
      <c r="D790" s="78" t="e">
        <v>#N/A</v>
      </c>
      <c r="E790" s="120" t="e">
        <v>#N/A</v>
      </c>
      <c r="F790" s="78" t="e">
        <v>#N/A</v>
      </c>
      <c r="G790" s="78" t="e">
        <v>#N/A</v>
      </c>
    </row>
    <row r="791" customFormat="false" ht="15.75" hidden="false" customHeight="false" outlineLevel="0" collapsed="false">
      <c r="A791" s="78" t="e">
        <v>#N/A</v>
      </c>
      <c r="B791" s="120" t="e">
        <v>#N/A</v>
      </c>
      <c r="C791" s="78" t="e">
        <v>#N/A</v>
      </c>
      <c r="D791" s="78" t="e">
        <v>#N/A</v>
      </c>
      <c r="E791" s="120" t="e">
        <v>#N/A</v>
      </c>
      <c r="F791" s="78" t="e">
        <v>#N/A</v>
      </c>
      <c r="G791" s="78" t="e">
        <v>#N/A</v>
      </c>
    </row>
    <row r="792" customFormat="false" ht="15.75" hidden="false" customHeight="false" outlineLevel="0" collapsed="false">
      <c r="A792" s="78" t="e">
        <v>#N/A</v>
      </c>
      <c r="B792" s="120" t="e">
        <v>#N/A</v>
      </c>
      <c r="C792" s="78" t="e">
        <v>#N/A</v>
      </c>
      <c r="D792" s="78" t="e">
        <v>#N/A</v>
      </c>
      <c r="E792" s="120" t="e">
        <v>#N/A</v>
      </c>
      <c r="F792" s="78" t="e">
        <v>#N/A</v>
      </c>
      <c r="G792" s="78" t="e">
        <v>#N/A</v>
      </c>
    </row>
    <row r="793" customFormat="false" ht="15.75" hidden="false" customHeight="false" outlineLevel="0" collapsed="false">
      <c r="A793" s="78" t="e">
        <v>#N/A</v>
      </c>
      <c r="B793" s="120" t="e">
        <v>#N/A</v>
      </c>
      <c r="C793" s="78" t="e">
        <v>#N/A</v>
      </c>
      <c r="D793" s="78" t="e">
        <v>#N/A</v>
      </c>
      <c r="E793" s="120" t="e">
        <v>#N/A</v>
      </c>
      <c r="F793" s="78" t="e">
        <v>#N/A</v>
      </c>
      <c r="G793" s="78" t="e">
        <v>#N/A</v>
      </c>
    </row>
    <row r="794" customFormat="false" ht="15.75" hidden="false" customHeight="false" outlineLevel="0" collapsed="false">
      <c r="A794" s="78" t="e">
        <v>#N/A</v>
      </c>
      <c r="B794" s="120" t="e">
        <v>#N/A</v>
      </c>
      <c r="C794" s="78" t="e">
        <v>#N/A</v>
      </c>
      <c r="D794" s="78" t="e">
        <v>#N/A</v>
      </c>
      <c r="E794" s="120" t="e">
        <v>#N/A</v>
      </c>
      <c r="F794" s="78" t="e">
        <v>#N/A</v>
      </c>
      <c r="G794" s="78" t="e">
        <v>#N/A</v>
      </c>
    </row>
    <row r="795" customFormat="false" ht="15.75" hidden="false" customHeight="false" outlineLevel="0" collapsed="false">
      <c r="A795" s="78" t="e">
        <v>#N/A</v>
      </c>
      <c r="B795" s="120" t="e">
        <v>#N/A</v>
      </c>
      <c r="C795" s="78" t="e">
        <v>#N/A</v>
      </c>
      <c r="D795" s="78" t="e">
        <v>#N/A</v>
      </c>
      <c r="E795" s="120" t="e">
        <v>#N/A</v>
      </c>
      <c r="F795" s="78" t="e">
        <v>#N/A</v>
      </c>
      <c r="G795" s="78" t="e">
        <v>#N/A</v>
      </c>
    </row>
    <row r="796" customFormat="false" ht="15.75" hidden="false" customHeight="false" outlineLevel="0" collapsed="false">
      <c r="A796" s="78" t="e">
        <v>#N/A</v>
      </c>
      <c r="B796" s="120" t="e">
        <v>#N/A</v>
      </c>
      <c r="C796" s="78" t="e">
        <v>#N/A</v>
      </c>
      <c r="D796" s="78" t="e">
        <v>#N/A</v>
      </c>
      <c r="E796" s="120" t="e">
        <v>#N/A</v>
      </c>
      <c r="F796" s="78" t="e">
        <v>#N/A</v>
      </c>
      <c r="G796" s="78" t="e">
        <v>#N/A</v>
      </c>
    </row>
    <row r="797" customFormat="false" ht="15.75" hidden="false" customHeight="false" outlineLevel="0" collapsed="false">
      <c r="A797" s="78" t="e">
        <v>#N/A</v>
      </c>
      <c r="B797" s="120" t="e">
        <v>#N/A</v>
      </c>
      <c r="C797" s="78" t="e">
        <v>#N/A</v>
      </c>
      <c r="D797" s="78" t="e">
        <v>#N/A</v>
      </c>
      <c r="E797" s="120" t="e">
        <v>#N/A</v>
      </c>
      <c r="F797" s="78" t="e">
        <v>#N/A</v>
      </c>
      <c r="G797" s="78" t="e">
        <v>#N/A</v>
      </c>
    </row>
    <row r="798" customFormat="false" ht="15.75" hidden="false" customHeight="false" outlineLevel="0" collapsed="false">
      <c r="A798" s="78" t="e">
        <v>#N/A</v>
      </c>
      <c r="B798" s="120" t="e">
        <v>#N/A</v>
      </c>
      <c r="C798" s="78" t="e">
        <v>#N/A</v>
      </c>
      <c r="D798" s="78" t="e">
        <v>#N/A</v>
      </c>
      <c r="E798" s="120" t="e">
        <v>#N/A</v>
      </c>
      <c r="F798" s="78" t="e">
        <v>#N/A</v>
      </c>
      <c r="G798" s="78" t="e">
        <v>#N/A</v>
      </c>
    </row>
    <row r="799" customFormat="false" ht="15.75" hidden="false" customHeight="false" outlineLevel="0" collapsed="false">
      <c r="A799" s="78" t="e">
        <v>#N/A</v>
      </c>
      <c r="B799" s="120" t="e">
        <v>#N/A</v>
      </c>
      <c r="C799" s="78" t="e">
        <v>#N/A</v>
      </c>
      <c r="D799" s="78" t="e">
        <v>#N/A</v>
      </c>
      <c r="E799" s="120" t="e">
        <v>#N/A</v>
      </c>
      <c r="F799" s="78" t="e">
        <v>#N/A</v>
      </c>
      <c r="G799" s="78" t="e">
        <v>#N/A</v>
      </c>
    </row>
    <row r="800" customFormat="false" ht="15.75" hidden="false" customHeight="false" outlineLevel="0" collapsed="false">
      <c r="A800" s="78" t="e">
        <v>#N/A</v>
      </c>
      <c r="B800" s="120" t="e">
        <v>#N/A</v>
      </c>
      <c r="C800" s="78" t="e">
        <v>#N/A</v>
      </c>
      <c r="D800" s="78" t="e">
        <v>#N/A</v>
      </c>
      <c r="E800" s="120" t="e">
        <v>#N/A</v>
      </c>
      <c r="F800" s="78" t="e">
        <v>#N/A</v>
      </c>
      <c r="G800" s="78" t="e">
        <v>#N/A</v>
      </c>
    </row>
    <row r="801" customFormat="false" ht="15.75" hidden="false" customHeight="false" outlineLevel="0" collapsed="false">
      <c r="A801" s="78" t="e">
        <v>#N/A</v>
      </c>
      <c r="B801" s="120" t="e">
        <v>#N/A</v>
      </c>
      <c r="C801" s="78" t="e">
        <v>#N/A</v>
      </c>
      <c r="D801" s="78" t="e">
        <v>#N/A</v>
      </c>
      <c r="E801" s="120" t="e">
        <v>#N/A</v>
      </c>
      <c r="F801" s="78" t="e">
        <v>#N/A</v>
      </c>
      <c r="G801" s="78" t="e">
        <v>#N/A</v>
      </c>
    </row>
    <row r="802" customFormat="false" ht="15.75" hidden="false" customHeight="false" outlineLevel="0" collapsed="false">
      <c r="A802" s="78" t="e">
        <v>#N/A</v>
      </c>
      <c r="B802" s="120" t="e">
        <v>#N/A</v>
      </c>
      <c r="C802" s="78" t="e">
        <v>#N/A</v>
      </c>
      <c r="D802" s="78" t="e">
        <v>#N/A</v>
      </c>
      <c r="E802" s="120" t="e">
        <v>#N/A</v>
      </c>
      <c r="F802" s="78" t="e">
        <v>#N/A</v>
      </c>
      <c r="G802" s="78" t="e">
        <v>#N/A</v>
      </c>
    </row>
    <row r="803" customFormat="false" ht="15.75" hidden="false" customHeight="false" outlineLevel="0" collapsed="false">
      <c r="A803" s="78" t="e">
        <v>#N/A</v>
      </c>
      <c r="B803" s="120" t="e">
        <v>#N/A</v>
      </c>
      <c r="C803" s="78" t="e">
        <v>#N/A</v>
      </c>
      <c r="D803" s="78" t="e">
        <v>#N/A</v>
      </c>
      <c r="E803" s="120" t="e">
        <v>#N/A</v>
      </c>
      <c r="F803" s="78" t="e">
        <v>#N/A</v>
      </c>
      <c r="G803" s="78" t="e">
        <v>#N/A</v>
      </c>
    </row>
    <row r="804" customFormat="false" ht="15.75" hidden="false" customHeight="false" outlineLevel="0" collapsed="false">
      <c r="A804" s="78" t="e">
        <v>#N/A</v>
      </c>
      <c r="B804" s="120" t="e">
        <v>#N/A</v>
      </c>
      <c r="C804" s="78" t="e">
        <v>#N/A</v>
      </c>
      <c r="D804" s="78" t="e">
        <v>#N/A</v>
      </c>
      <c r="E804" s="120" t="e">
        <v>#N/A</v>
      </c>
      <c r="F804" s="78" t="e">
        <v>#N/A</v>
      </c>
      <c r="G804" s="78" t="e">
        <v>#N/A</v>
      </c>
    </row>
    <row r="805" customFormat="false" ht="15.75" hidden="false" customHeight="false" outlineLevel="0" collapsed="false">
      <c r="A805" s="78" t="e">
        <v>#N/A</v>
      </c>
      <c r="B805" s="120" t="e">
        <v>#N/A</v>
      </c>
      <c r="C805" s="78" t="e">
        <v>#N/A</v>
      </c>
      <c r="D805" s="78" t="e">
        <v>#N/A</v>
      </c>
      <c r="E805" s="120" t="e">
        <v>#N/A</v>
      </c>
      <c r="F805" s="78" t="e">
        <v>#N/A</v>
      </c>
      <c r="G805" s="78" t="e">
        <v>#N/A</v>
      </c>
    </row>
    <row r="806" customFormat="false" ht="15.75" hidden="false" customHeight="false" outlineLevel="0" collapsed="false">
      <c r="A806" s="78" t="e">
        <v>#N/A</v>
      </c>
      <c r="B806" s="120" t="e">
        <v>#N/A</v>
      </c>
      <c r="C806" s="78" t="e">
        <v>#N/A</v>
      </c>
      <c r="D806" s="78" t="e">
        <v>#N/A</v>
      </c>
      <c r="E806" s="120" t="e">
        <v>#N/A</v>
      </c>
      <c r="F806" s="78" t="e">
        <v>#N/A</v>
      </c>
      <c r="G806" s="78" t="e">
        <v>#N/A</v>
      </c>
    </row>
    <row r="807" customFormat="false" ht="15.75" hidden="false" customHeight="false" outlineLevel="0" collapsed="false">
      <c r="A807" s="78" t="e">
        <v>#N/A</v>
      </c>
      <c r="B807" s="120" t="e">
        <v>#N/A</v>
      </c>
      <c r="C807" s="78" t="e">
        <v>#N/A</v>
      </c>
      <c r="D807" s="78" t="e">
        <v>#N/A</v>
      </c>
      <c r="E807" s="120" t="e">
        <v>#N/A</v>
      </c>
      <c r="F807" s="78" t="e">
        <v>#N/A</v>
      </c>
      <c r="G807" s="78" t="e">
        <v>#N/A</v>
      </c>
    </row>
    <row r="808" customFormat="false" ht="15.75" hidden="false" customHeight="false" outlineLevel="0" collapsed="false">
      <c r="A808" s="78" t="e">
        <v>#N/A</v>
      </c>
      <c r="B808" s="120" t="e">
        <v>#N/A</v>
      </c>
      <c r="C808" s="78" t="e">
        <v>#N/A</v>
      </c>
      <c r="D808" s="78" t="e">
        <v>#N/A</v>
      </c>
      <c r="E808" s="120" t="e">
        <v>#N/A</v>
      </c>
      <c r="F808" s="78" t="e">
        <v>#N/A</v>
      </c>
      <c r="G808" s="78" t="e">
        <v>#N/A</v>
      </c>
    </row>
    <row r="809" customFormat="false" ht="15.75" hidden="false" customHeight="false" outlineLevel="0" collapsed="false">
      <c r="A809" s="78" t="e">
        <v>#N/A</v>
      </c>
      <c r="B809" s="120" t="e">
        <v>#N/A</v>
      </c>
      <c r="C809" s="78" t="e">
        <v>#N/A</v>
      </c>
      <c r="D809" s="78" t="e">
        <v>#N/A</v>
      </c>
      <c r="E809" s="120" t="e">
        <v>#N/A</v>
      </c>
      <c r="F809" s="78" t="e">
        <v>#N/A</v>
      </c>
      <c r="G809" s="78" t="e">
        <v>#N/A</v>
      </c>
    </row>
    <row r="810" customFormat="false" ht="15.75" hidden="false" customHeight="false" outlineLevel="0" collapsed="false">
      <c r="A810" s="78" t="e">
        <v>#N/A</v>
      </c>
      <c r="B810" s="120" t="e">
        <v>#N/A</v>
      </c>
      <c r="C810" s="78" t="e">
        <v>#N/A</v>
      </c>
      <c r="D810" s="78" t="e">
        <v>#N/A</v>
      </c>
      <c r="E810" s="120" t="e">
        <v>#N/A</v>
      </c>
      <c r="F810" s="78" t="e">
        <v>#N/A</v>
      </c>
      <c r="G810" s="78" t="e">
        <v>#N/A</v>
      </c>
    </row>
    <row r="811" customFormat="false" ht="15.75" hidden="false" customHeight="false" outlineLevel="0" collapsed="false">
      <c r="A811" s="78" t="e">
        <v>#N/A</v>
      </c>
      <c r="B811" s="120" t="e">
        <v>#N/A</v>
      </c>
      <c r="C811" s="78" t="e">
        <v>#N/A</v>
      </c>
      <c r="D811" s="78" t="e">
        <v>#N/A</v>
      </c>
      <c r="E811" s="120" t="e">
        <v>#N/A</v>
      </c>
      <c r="F811" s="78" t="e">
        <v>#N/A</v>
      </c>
      <c r="G811" s="78" t="e">
        <v>#N/A</v>
      </c>
    </row>
    <row r="812" customFormat="false" ht="15.75" hidden="false" customHeight="false" outlineLevel="0" collapsed="false">
      <c r="A812" s="78" t="e">
        <v>#N/A</v>
      </c>
      <c r="B812" s="120" t="e">
        <v>#N/A</v>
      </c>
      <c r="C812" s="78" t="e">
        <v>#N/A</v>
      </c>
      <c r="D812" s="78" t="e">
        <v>#N/A</v>
      </c>
      <c r="E812" s="120" t="e">
        <v>#N/A</v>
      </c>
      <c r="F812" s="78" t="e">
        <v>#N/A</v>
      </c>
      <c r="G812" s="78" t="e">
        <v>#N/A</v>
      </c>
    </row>
    <row r="813" customFormat="false" ht="15.75" hidden="false" customHeight="false" outlineLevel="0" collapsed="false">
      <c r="A813" s="78" t="e">
        <v>#N/A</v>
      </c>
      <c r="B813" s="120" t="e">
        <v>#N/A</v>
      </c>
      <c r="C813" s="78" t="e">
        <v>#N/A</v>
      </c>
      <c r="D813" s="78" t="e">
        <v>#N/A</v>
      </c>
      <c r="E813" s="120" t="e">
        <v>#N/A</v>
      </c>
      <c r="F813" s="78" t="e">
        <v>#N/A</v>
      </c>
      <c r="G813" s="78" t="e">
        <v>#N/A</v>
      </c>
    </row>
    <row r="814" customFormat="false" ht="15.75" hidden="false" customHeight="false" outlineLevel="0" collapsed="false">
      <c r="A814" s="78" t="e">
        <v>#N/A</v>
      </c>
      <c r="B814" s="120" t="e">
        <v>#N/A</v>
      </c>
      <c r="C814" s="78" t="e">
        <v>#N/A</v>
      </c>
      <c r="D814" s="78" t="e">
        <v>#N/A</v>
      </c>
      <c r="E814" s="120" t="e">
        <v>#N/A</v>
      </c>
      <c r="F814" s="78" t="e">
        <v>#N/A</v>
      </c>
      <c r="G814" s="78" t="e">
        <v>#N/A</v>
      </c>
    </row>
    <row r="815" customFormat="false" ht="15.75" hidden="false" customHeight="false" outlineLevel="0" collapsed="false">
      <c r="A815" s="78" t="e">
        <v>#N/A</v>
      </c>
      <c r="B815" s="120" t="e">
        <v>#N/A</v>
      </c>
      <c r="C815" s="78" t="e">
        <v>#N/A</v>
      </c>
      <c r="D815" s="78" t="e">
        <v>#N/A</v>
      </c>
      <c r="E815" s="120" t="e">
        <v>#N/A</v>
      </c>
      <c r="F815" s="78" t="e">
        <v>#N/A</v>
      </c>
      <c r="G815" s="78" t="e">
        <v>#N/A</v>
      </c>
    </row>
    <row r="816" customFormat="false" ht="15.75" hidden="false" customHeight="false" outlineLevel="0" collapsed="false">
      <c r="A816" s="78" t="e">
        <v>#N/A</v>
      </c>
      <c r="B816" s="120" t="e">
        <v>#N/A</v>
      </c>
      <c r="C816" s="78" t="e">
        <v>#N/A</v>
      </c>
      <c r="D816" s="78" t="e">
        <v>#N/A</v>
      </c>
      <c r="E816" s="120" t="e">
        <v>#N/A</v>
      </c>
      <c r="F816" s="78" t="e">
        <v>#N/A</v>
      </c>
      <c r="G816" s="78" t="e">
        <v>#N/A</v>
      </c>
    </row>
    <row r="817" customFormat="false" ht="15.75" hidden="false" customHeight="false" outlineLevel="0" collapsed="false">
      <c r="A817" s="78" t="e">
        <v>#N/A</v>
      </c>
      <c r="B817" s="120" t="e">
        <v>#N/A</v>
      </c>
      <c r="C817" s="78" t="e">
        <v>#N/A</v>
      </c>
      <c r="D817" s="78" t="e">
        <v>#N/A</v>
      </c>
      <c r="E817" s="120" t="e">
        <v>#N/A</v>
      </c>
      <c r="F817" s="78" t="e">
        <v>#N/A</v>
      </c>
      <c r="G817" s="78" t="e">
        <v>#N/A</v>
      </c>
    </row>
    <row r="818" customFormat="false" ht="15.75" hidden="false" customHeight="false" outlineLevel="0" collapsed="false">
      <c r="A818" s="78" t="e">
        <v>#N/A</v>
      </c>
      <c r="B818" s="120" t="e">
        <v>#N/A</v>
      </c>
      <c r="C818" s="78" t="e">
        <v>#N/A</v>
      </c>
      <c r="D818" s="78" t="e">
        <v>#N/A</v>
      </c>
      <c r="E818" s="120" t="e">
        <v>#N/A</v>
      </c>
      <c r="F818" s="78" t="e">
        <v>#N/A</v>
      </c>
      <c r="G818" s="78" t="e">
        <v>#N/A</v>
      </c>
    </row>
    <row r="819" customFormat="false" ht="15.75" hidden="false" customHeight="false" outlineLevel="0" collapsed="false">
      <c r="A819" s="78" t="e">
        <v>#N/A</v>
      </c>
      <c r="B819" s="120" t="e">
        <v>#N/A</v>
      </c>
      <c r="C819" s="78" t="e">
        <v>#N/A</v>
      </c>
      <c r="D819" s="78" t="e">
        <v>#N/A</v>
      </c>
      <c r="E819" s="120" t="e">
        <v>#N/A</v>
      </c>
      <c r="F819" s="78" t="e">
        <v>#N/A</v>
      </c>
      <c r="G819" s="78" t="e">
        <v>#N/A</v>
      </c>
    </row>
    <row r="820" customFormat="false" ht="15.75" hidden="false" customHeight="false" outlineLevel="0" collapsed="false">
      <c r="A820" s="78" t="e">
        <v>#N/A</v>
      </c>
      <c r="B820" s="120" t="e">
        <v>#N/A</v>
      </c>
      <c r="C820" s="78" t="e">
        <v>#N/A</v>
      </c>
      <c r="D820" s="78" t="e">
        <v>#N/A</v>
      </c>
      <c r="E820" s="120" t="e">
        <v>#N/A</v>
      </c>
      <c r="F820" s="78" t="e">
        <v>#N/A</v>
      </c>
      <c r="G820" s="78" t="e">
        <v>#N/A</v>
      </c>
    </row>
    <row r="821" customFormat="false" ht="15.75" hidden="false" customHeight="false" outlineLevel="0" collapsed="false">
      <c r="A821" s="78" t="e">
        <v>#N/A</v>
      </c>
      <c r="B821" s="120" t="e">
        <v>#N/A</v>
      </c>
      <c r="C821" s="78" t="e">
        <v>#N/A</v>
      </c>
      <c r="D821" s="78" t="e">
        <v>#N/A</v>
      </c>
      <c r="E821" s="120" t="e">
        <v>#N/A</v>
      </c>
      <c r="F821" s="78" t="e">
        <v>#N/A</v>
      </c>
      <c r="G821" s="78" t="e">
        <v>#N/A</v>
      </c>
    </row>
    <row r="822" customFormat="false" ht="15.75" hidden="false" customHeight="false" outlineLevel="0" collapsed="false">
      <c r="A822" s="78" t="e">
        <v>#N/A</v>
      </c>
      <c r="B822" s="120" t="e">
        <v>#N/A</v>
      </c>
      <c r="C822" s="78" t="e">
        <v>#N/A</v>
      </c>
      <c r="D822" s="78" t="e">
        <v>#N/A</v>
      </c>
      <c r="E822" s="120" t="e">
        <v>#N/A</v>
      </c>
      <c r="F822" s="78" t="e">
        <v>#N/A</v>
      </c>
      <c r="G822" s="78" t="e">
        <v>#N/A</v>
      </c>
    </row>
    <row r="823" customFormat="false" ht="15.75" hidden="false" customHeight="false" outlineLevel="0" collapsed="false">
      <c r="A823" s="78" t="e">
        <v>#N/A</v>
      </c>
      <c r="B823" s="120" t="e">
        <v>#N/A</v>
      </c>
      <c r="C823" s="78" t="e">
        <v>#N/A</v>
      </c>
      <c r="D823" s="78" t="e">
        <v>#N/A</v>
      </c>
      <c r="E823" s="120" t="e">
        <v>#N/A</v>
      </c>
      <c r="F823" s="78" t="e">
        <v>#N/A</v>
      </c>
      <c r="G823" s="78" t="e">
        <v>#N/A</v>
      </c>
    </row>
    <row r="824" customFormat="false" ht="15.75" hidden="false" customHeight="false" outlineLevel="0" collapsed="false">
      <c r="A824" s="78" t="e">
        <v>#N/A</v>
      </c>
      <c r="B824" s="120" t="e">
        <v>#N/A</v>
      </c>
      <c r="C824" s="78" t="e">
        <v>#N/A</v>
      </c>
      <c r="D824" s="78" t="e">
        <v>#N/A</v>
      </c>
      <c r="E824" s="120" t="e">
        <v>#N/A</v>
      </c>
      <c r="F824" s="78" t="e">
        <v>#N/A</v>
      </c>
      <c r="G824" s="78" t="e">
        <v>#N/A</v>
      </c>
    </row>
    <row r="825" customFormat="false" ht="15.75" hidden="false" customHeight="false" outlineLevel="0" collapsed="false">
      <c r="A825" s="78" t="e">
        <v>#N/A</v>
      </c>
      <c r="B825" s="120" t="e">
        <v>#N/A</v>
      </c>
      <c r="C825" s="78" t="e">
        <v>#N/A</v>
      </c>
      <c r="D825" s="78" t="e">
        <v>#N/A</v>
      </c>
      <c r="E825" s="120" t="e">
        <v>#N/A</v>
      </c>
      <c r="F825" s="78" t="e">
        <v>#N/A</v>
      </c>
      <c r="G825" s="78" t="e">
        <v>#N/A</v>
      </c>
    </row>
    <row r="826" customFormat="false" ht="15.75" hidden="false" customHeight="false" outlineLevel="0" collapsed="false">
      <c r="A826" s="78" t="e">
        <v>#N/A</v>
      </c>
      <c r="B826" s="120" t="e">
        <v>#N/A</v>
      </c>
      <c r="C826" s="78" t="e">
        <v>#N/A</v>
      </c>
      <c r="D826" s="78" t="e">
        <v>#N/A</v>
      </c>
      <c r="E826" s="120" t="e">
        <v>#N/A</v>
      </c>
      <c r="F826" s="78" t="e">
        <v>#N/A</v>
      </c>
      <c r="G826" s="78" t="e">
        <v>#N/A</v>
      </c>
    </row>
    <row r="827" customFormat="false" ht="15.75" hidden="false" customHeight="false" outlineLevel="0" collapsed="false">
      <c r="A827" s="78" t="e">
        <v>#N/A</v>
      </c>
      <c r="B827" s="120" t="e">
        <v>#N/A</v>
      </c>
      <c r="C827" s="78" t="e">
        <v>#N/A</v>
      </c>
      <c r="D827" s="78" t="e">
        <v>#N/A</v>
      </c>
      <c r="E827" s="120" t="e">
        <v>#N/A</v>
      </c>
      <c r="F827" s="78" t="e">
        <v>#N/A</v>
      </c>
      <c r="G827" s="78" t="e">
        <v>#N/A</v>
      </c>
    </row>
    <row r="828" customFormat="false" ht="15.75" hidden="false" customHeight="false" outlineLevel="0" collapsed="false">
      <c r="A828" s="78" t="e">
        <v>#N/A</v>
      </c>
      <c r="B828" s="120" t="e">
        <v>#N/A</v>
      </c>
      <c r="C828" s="78" t="e">
        <v>#N/A</v>
      </c>
      <c r="D828" s="78" t="e">
        <v>#N/A</v>
      </c>
      <c r="E828" s="120" t="e">
        <v>#N/A</v>
      </c>
      <c r="F828" s="78" t="e">
        <v>#N/A</v>
      </c>
      <c r="G828" s="78" t="e">
        <v>#N/A</v>
      </c>
    </row>
    <row r="829" customFormat="false" ht="15.75" hidden="false" customHeight="false" outlineLevel="0" collapsed="false">
      <c r="A829" s="78" t="e">
        <v>#N/A</v>
      </c>
      <c r="B829" s="120" t="e">
        <v>#N/A</v>
      </c>
      <c r="C829" s="78" t="e">
        <v>#N/A</v>
      </c>
      <c r="D829" s="78" t="e">
        <v>#N/A</v>
      </c>
      <c r="E829" s="120" t="e">
        <v>#N/A</v>
      </c>
      <c r="F829" s="78" t="e">
        <v>#N/A</v>
      </c>
      <c r="G829" s="78" t="e">
        <v>#N/A</v>
      </c>
    </row>
    <row r="830" customFormat="false" ht="15.75" hidden="false" customHeight="false" outlineLevel="0" collapsed="false">
      <c r="A830" s="78" t="e">
        <v>#N/A</v>
      </c>
      <c r="B830" s="120" t="e">
        <v>#N/A</v>
      </c>
      <c r="C830" s="78" t="e">
        <v>#N/A</v>
      </c>
      <c r="D830" s="78" t="e">
        <v>#N/A</v>
      </c>
      <c r="E830" s="120" t="e">
        <v>#N/A</v>
      </c>
      <c r="F830" s="78" t="e">
        <v>#N/A</v>
      </c>
      <c r="G830" s="78" t="e">
        <v>#N/A</v>
      </c>
    </row>
    <row r="831" customFormat="false" ht="15.75" hidden="false" customHeight="false" outlineLevel="0" collapsed="false">
      <c r="A831" s="78" t="e">
        <v>#N/A</v>
      </c>
      <c r="B831" s="120" t="e">
        <v>#N/A</v>
      </c>
      <c r="C831" s="78" t="e">
        <v>#N/A</v>
      </c>
      <c r="D831" s="78" t="e">
        <v>#N/A</v>
      </c>
      <c r="E831" s="120" t="e">
        <v>#N/A</v>
      </c>
      <c r="F831" s="78" t="e">
        <v>#N/A</v>
      </c>
      <c r="G831" s="78" t="e">
        <v>#N/A</v>
      </c>
    </row>
    <row r="832" customFormat="false" ht="15.75" hidden="false" customHeight="false" outlineLevel="0" collapsed="false">
      <c r="A832" s="78" t="e">
        <v>#N/A</v>
      </c>
      <c r="B832" s="120" t="e">
        <v>#N/A</v>
      </c>
      <c r="C832" s="78" t="e">
        <v>#N/A</v>
      </c>
      <c r="D832" s="78" t="e">
        <v>#N/A</v>
      </c>
      <c r="E832" s="120" t="e">
        <v>#N/A</v>
      </c>
      <c r="F832" s="78" t="e">
        <v>#N/A</v>
      </c>
      <c r="G832" s="78" t="e">
        <v>#N/A</v>
      </c>
    </row>
    <row r="833" customFormat="false" ht="15.75" hidden="false" customHeight="false" outlineLevel="0" collapsed="false">
      <c r="A833" s="78" t="e">
        <v>#N/A</v>
      </c>
      <c r="B833" s="120" t="e">
        <v>#N/A</v>
      </c>
      <c r="C833" s="78" t="e">
        <v>#N/A</v>
      </c>
      <c r="D833" s="78" t="e">
        <v>#N/A</v>
      </c>
      <c r="E833" s="120" t="e">
        <v>#N/A</v>
      </c>
      <c r="F833" s="78" t="e">
        <v>#N/A</v>
      </c>
      <c r="G833" s="78" t="e">
        <v>#N/A</v>
      </c>
    </row>
    <row r="834" customFormat="false" ht="15.75" hidden="false" customHeight="false" outlineLevel="0" collapsed="false">
      <c r="A834" s="78" t="e">
        <v>#N/A</v>
      </c>
      <c r="B834" s="120" t="e">
        <v>#N/A</v>
      </c>
      <c r="C834" s="78" t="e">
        <v>#N/A</v>
      </c>
      <c r="D834" s="78" t="e">
        <v>#N/A</v>
      </c>
      <c r="E834" s="120" t="e">
        <v>#N/A</v>
      </c>
      <c r="F834" s="78" t="e">
        <v>#N/A</v>
      </c>
      <c r="G834" s="78" t="e">
        <v>#N/A</v>
      </c>
    </row>
    <row r="835" customFormat="false" ht="15.75" hidden="false" customHeight="false" outlineLevel="0" collapsed="false">
      <c r="A835" s="78" t="e">
        <v>#N/A</v>
      </c>
      <c r="B835" s="120" t="e">
        <v>#N/A</v>
      </c>
      <c r="C835" s="78" t="e">
        <v>#N/A</v>
      </c>
      <c r="D835" s="78" t="e">
        <v>#N/A</v>
      </c>
      <c r="E835" s="120" t="e">
        <v>#N/A</v>
      </c>
      <c r="F835" s="78" t="e">
        <v>#N/A</v>
      </c>
      <c r="G835" s="78" t="e">
        <v>#N/A</v>
      </c>
    </row>
    <row r="836" customFormat="false" ht="15.75" hidden="false" customHeight="false" outlineLevel="0" collapsed="false">
      <c r="A836" s="78" t="e">
        <v>#N/A</v>
      </c>
      <c r="B836" s="120" t="e">
        <v>#N/A</v>
      </c>
      <c r="C836" s="78" t="e">
        <v>#N/A</v>
      </c>
      <c r="D836" s="78" t="e">
        <v>#N/A</v>
      </c>
      <c r="E836" s="120" t="e">
        <v>#N/A</v>
      </c>
      <c r="F836" s="78" t="e">
        <v>#N/A</v>
      </c>
      <c r="G836" s="78" t="e">
        <v>#N/A</v>
      </c>
    </row>
    <row r="837" customFormat="false" ht="15.75" hidden="false" customHeight="false" outlineLevel="0" collapsed="false">
      <c r="A837" s="78" t="e">
        <v>#N/A</v>
      </c>
      <c r="B837" s="120" t="e">
        <v>#N/A</v>
      </c>
      <c r="C837" s="78" t="e">
        <v>#N/A</v>
      </c>
      <c r="D837" s="78" t="e">
        <v>#N/A</v>
      </c>
      <c r="E837" s="120" t="e">
        <v>#N/A</v>
      </c>
      <c r="F837" s="78" t="e">
        <v>#N/A</v>
      </c>
      <c r="G837" s="78" t="e">
        <v>#N/A</v>
      </c>
    </row>
    <row r="838" customFormat="false" ht="15.75" hidden="false" customHeight="false" outlineLevel="0" collapsed="false">
      <c r="A838" s="78" t="e">
        <v>#N/A</v>
      </c>
      <c r="B838" s="120" t="e">
        <v>#N/A</v>
      </c>
      <c r="C838" s="78" t="e">
        <v>#N/A</v>
      </c>
      <c r="D838" s="78" t="e">
        <v>#N/A</v>
      </c>
      <c r="E838" s="120" t="e">
        <v>#N/A</v>
      </c>
      <c r="F838" s="78" t="e">
        <v>#N/A</v>
      </c>
      <c r="G838" s="78" t="e">
        <v>#N/A</v>
      </c>
    </row>
    <row r="839" customFormat="false" ht="15.75" hidden="false" customHeight="false" outlineLevel="0" collapsed="false">
      <c r="A839" s="78" t="e">
        <v>#N/A</v>
      </c>
      <c r="B839" s="120" t="e">
        <v>#N/A</v>
      </c>
      <c r="C839" s="78" t="e">
        <v>#N/A</v>
      </c>
      <c r="D839" s="78" t="e">
        <v>#N/A</v>
      </c>
      <c r="E839" s="120" t="e">
        <v>#N/A</v>
      </c>
      <c r="F839" s="78" t="e">
        <v>#N/A</v>
      </c>
      <c r="G839" s="78" t="e">
        <v>#N/A</v>
      </c>
    </row>
    <row r="840" customFormat="false" ht="15.75" hidden="false" customHeight="false" outlineLevel="0" collapsed="false">
      <c r="A840" s="78" t="e">
        <v>#N/A</v>
      </c>
      <c r="B840" s="120" t="e">
        <v>#N/A</v>
      </c>
      <c r="C840" s="78" t="e">
        <v>#N/A</v>
      </c>
      <c r="D840" s="78" t="e">
        <v>#N/A</v>
      </c>
      <c r="E840" s="120" t="e">
        <v>#N/A</v>
      </c>
      <c r="F840" s="78" t="e">
        <v>#N/A</v>
      </c>
      <c r="G840" s="78" t="e">
        <v>#N/A</v>
      </c>
    </row>
    <row r="841" customFormat="false" ht="15.75" hidden="false" customHeight="false" outlineLevel="0" collapsed="false">
      <c r="A841" s="78" t="e">
        <v>#N/A</v>
      </c>
      <c r="B841" s="120" t="e">
        <v>#N/A</v>
      </c>
      <c r="C841" s="78" t="e">
        <v>#N/A</v>
      </c>
      <c r="D841" s="78" t="e">
        <v>#N/A</v>
      </c>
      <c r="E841" s="120" t="e">
        <v>#N/A</v>
      </c>
      <c r="F841" s="78" t="e">
        <v>#N/A</v>
      </c>
      <c r="G841" s="78" t="e">
        <v>#N/A</v>
      </c>
    </row>
    <row r="842" customFormat="false" ht="15.75" hidden="false" customHeight="false" outlineLevel="0" collapsed="false">
      <c r="A842" s="78" t="e">
        <v>#N/A</v>
      </c>
      <c r="B842" s="120" t="e">
        <v>#N/A</v>
      </c>
      <c r="C842" s="78" t="e">
        <v>#N/A</v>
      </c>
      <c r="D842" s="78" t="e">
        <v>#N/A</v>
      </c>
      <c r="E842" s="120" t="e">
        <v>#N/A</v>
      </c>
      <c r="F842" s="78" t="e">
        <v>#N/A</v>
      </c>
      <c r="G842" s="78" t="e">
        <v>#N/A</v>
      </c>
    </row>
    <row r="843" customFormat="false" ht="15.75" hidden="false" customHeight="false" outlineLevel="0" collapsed="false">
      <c r="A843" s="78" t="e">
        <v>#N/A</v>
      </c>
      <c r="B843" s="120" t="e">
        <v>#N/A</v>
      </c>
      <c r="C843" s="78" t="e">
        <v>#N/A</v>
      </c>
      <c r="D843" s="78" t="e">
        <v>#N/A</v>
      </c>
      <c r="E843" s="120" t="e">
        <v>#N/A</v>
      </c>
      <c r="F843" s="78" t="e">
        <v>#N/A</v>
      </c>
      <c r="G843" s="78" t="e">
        <v>#N/A</v>
      </c>
    </row>
    <row r="844" customFormat="false" ht="15.75" hidden="false" customHeight="false" outlineLevel="0" collapsed="false">
      <c r="A844" s="78" t="e">
        <v>#N/A</v>
      </c>
      <c r="B844" s="120" t="e">
        <v>#N/A</v>
      </c>
      <c r="C844" s="78" t="e">
        <v>#N/A</v>
      </c>
      <c r="D844" s="78" t="e">
        <v>#N/A</v>
      </c>
      <c r="E844" s="120" t="e">
        <v>#N/A</v>
      </c>
      <c r="F844" s="78" t="e">
        <v>#N/A</v>
      </c>
      <c r="G844" s="78" t="e">
        <v>#N/A</v>
      </c>
    </row>
    <row r="845" customFormat="false" ht="15.75" hidden="false" customHeight="false" outlineLevel="0" collapsed="false">
      <c r="A845" s="78" t="e">
        <v>#N/A</v>
      </c>
      <c r="B845" s="120" t="e">
        <v>#N/A</v>
      </c>
      <c r="C845" s="78" t="e">
        <v>#N/A</v>
      </c>
      <c r="D845" s="78" t="e">
        <v>#N/A</v>
      </c>
      <c r="E845" s="120" t="e">
        <v>#N/A</v>
      </c>
      <c r="F845" s="78" t="e">
        <v>#N/A</v>
      </c>
      <c r="G845" s="78" t="e">
        <v>#N/A</v>
      </c>
    </row>
    <row r="846" customFormat="false" ht="15.75" hidden="false" customHeight="false" outlineLevel="0" collapsed="false">
      <c r="A846" s="78" t="e">
        <v>#N/A</v>
      </c>
      <c r="B846" s="120" t="e">
        <v>#N/A</v>
      </c>
      <c r="C846" s="78" t="e">
        <v>#N/A</v>
      </c>
      <c r="D846" s="78" t="e">
        <v>#N/A</v>
      </c>
      <c r="E846" s="120" t="e">
        <v>#N/A</v>
      </c>
      <c r="F846" s="78" t="e">
        <v>#N/A</v>
      </c>
      <c r="G846" s="78" t="e">
        <v>#N/A</v>
      </c>
    </row>
    <row r="847" customFormat="false" ht="15.75" hidden="false" customHeight="false" outlineLevel="0" collapsed="false">
      <c r="A847" s="78" t="e">
        <v>#N/A</v>
      </c>
      <c r="B847" s="120" t="e">
        <v>#N/A</v>
      </c>
      <c r="C847" s="78" t="e">
        <v>#N/A</v>
      </c>
      <c r="D847" s="78" t="e">
        <v>#N/A</v>
      </c>
      <c r="E847" s="120" t="e">
        <v>#N/A</v>
      </c>
      <c r="F847" s="78" t="e">
        <v>#N/A</v>
      </c>
      <c r="G847" s="78" t="e">
        <v>#N/A</v>
      </c>
    </row>
    <row r="848" customFormat="false" ht="15.75" hidden="false" customHeight="false" outlineLevel="0" collapsed="false">
      <c r="A848" s="78" t="e">
        <v>#N/A</v>
      </c>
      <c r="B848" s="120" t="e">
        <v>#N/A</v>
      </c>
      <c r="C848" s="78" t="e">
        <v>#N/A</v>
      </c>
      <c r="D848" s="78" t="e">
        <v>#N/A</v>
      </c>
      <c r="E848" s="120" t="e">
        <v>#N/A</v>
      </c>
      <c r="F848" s="78" t="e">
        <v>#N/A</v>
      </c>
      <c r="G848" s="78" t="e">
        <v>#N/A</v>
      </c>
    </row>
    <row r="849" customFormat="false" ht="15.75" hidden="false" customHeight="false" outlineLevel="0" collapsed="false">
      <c r="A849" s="78" t="e">
        <v>#N/A</v>
      </c>
      <c r="B849" s="120" t="e">
        <v>#N/A</v>
      </c>
      <c r="C849" s="78" t="e">
        <v>#N/A</v>
      </c>
      <c r="D849" s="78" t="e">
        <v>#N/A</v>
      </c>
      <c r="E849" s="120" t="e">
        <v>#N/A</v>
      </c>
      <c r="F849" s="78" t="e">
        <v>#N/A</v>
      </c>
      <c r="G849" s="78" t="e">
        <v>#N/A</v>
      </c>
    </row>
    <row r="850" customFormat="false" ht="15.75" hidden="false" customHeight="false" outlineLevel="0" collapsed="false">
      <c r="A850" s="78" t="e">
        <v>#N/A</v>
      </c>
      <c r="B850" s="120" t="e">
        <v>#N/A</v>
      </c>
      <c r="C850" s="78" t="e">
        <v>#N/A</v>
      </c>
      <c r="D850" s="78" t="e">
        <v>#N/A</v>
      </c>
      <c r="E850" s="120" t="e">
        <v>#N/A</v>
      </c>
      <c r="F850" s="78" t="e">
        <v>#N/A</v>
      </c>
      <c r="G850" s="78" t="e">
        <v>#N/A</v>
      </c>
    </row>
    <row r="851" customFormat="false" ht="15.75" hidden="false" customHeight="false" outlineLevel="0" collapsed="false">
      <c r="A851" s="78" t="e">
        <v>#N/A</v>
      </c>
      <c r="B851" s="120" t="e">
        <v>#N/A</v>
      </c>
      <c r="C851" s="78" t="e">
        <v>#N/A</v>
      </c>
      <c r="D851" s="78" t="e">
        <v>#N/A</v>
      </c>
      <c r="E851" s="120" t="e">
        <v>#N/A</v>
      </c>
      <c r="F851" s="78" t="e">
        <v>#N/A</v>
      </c>
      <c r="G851" s="78" t="e">
        <v>#N/A</v>
      </c>
    </row>
    <row r="852" customFormat="false" ht="15.75" hidden="false" customHeight="false" outlineLevel="0" collapsed="false">
      <c r="A852" s="78" t="e">
        <v>#N/A</v>
      </c>
      <c r="B852" s="120" t="e">
        <v>#N/A</v>
      </c>
      <c r="C852" s="78" t="e">
        <v>#N/A</v>
      </c>
      <c r="D852" s="78" t="e">
        <v>#N/A</v>
      </c>
      <c r="E852" s="120" t="e">
        <v>#N/A</v>
      </c>
      <c r="F852" s="78" t="e">
        <v>#N/A</v>
      </c>
      <c r="G852" s="78" t="e">
        <v>#N/A</v>
      </c>
    </row>
    <row r="853" customFormat="false" ht="15.75" hidden="false" customHeight="false" outlineLevel="0" collapsed="false">
      <c r="A853" s="78" t="e">
        <v>#N/A</v>
      </c>
      <c r="B853" s="120" t="e">
        <v>#N/A</v>
      </c>
      <c r="C853" s="78" t="e">
        <v>#N/A</v>
      </c>
      <c r="D853" s="78" t="e">
        <v>#N/A</v>
      </c>
      <c r="E853" s="120" t="e">
        <v>#N/A</v>
      </c>
      <c r="F853" s="78" t="e">
        <v>#N/A</v>
      </c>
      <c r="G853" s="78" t="e">
        <v>#N/A</v>
      </c>
    </row>
    <row r="854" customFormat="false" ht="15.75" hidden="false" customHeight="false" outlineLevel="0" collapsed="false">
      <c r="A854" s="78" t="e">
        <v>#N/A</v>
      </c>
      <c r="B854" s="120" t="e">
        <v>#N/A</v>
      </c>
      <c r="C854" s="78" t="e">
        <v>#N/A</v>
      </c>
      <c r="D854" s="78" t="e">
        <v>#N/A</v>
      </c>
      <c r="E854" s="120" t="e">
        <v>#N/A</v>
      </c>
      <c r="F854" s="78" t="e">
        <v>#N/A</v>
      </c>
      <c r="G854" s="78" t="e">
        <v>#N/A</v>
      </c>
    </row>
    <row r="855" customFormat="false" ht="15.75" hidden="false" customHeight="false" outlineLevel="0" collapsed="false">
      <c r="A855" s="78" t="e">
        <v>#N/A</v>
      </c>
      <c r="B855" s="120" t="e">
        <v>#N/A</v>
      </c>
      <c r="C855" s="78" t="e">
        <v>#N/A</v>
      </c>
      <c r="D855" s="78" t="e">
        <v>#N/A</v>
      </c>
      <c r="E855" s="120" t="e">
        <v>#N/A</v>
      </c>
      <c r="F855" s="78" t="e">
        <v>#N/A</v>
      </c>
      <c r="G855" s="78" t="e">
        <v>#N/A</v>
      </c>
    </row>
    <row r="856" customFormat="false" ht="15.75" hidden="false" customHeight="false" outlineLevel="0" collapsed="false">
      <c r="A856" s="78" t="e">
        <v>#N/A</v>
      </c>
      <c r="B856" s="120" t="e">
        <v>#N/A</v>
      </c>
      <c r="C856" s="78" t="e">
        <v>#N/A</v>
      </c>
      <c r="D856" s="78" t="e">
        <v>#N/A</v>
      </c>
      <c r="E856" s="120" t="e">
        <v>#N/A</v>
      </c>
      <c r="F856" s="78" t="e">
        <v>#N/A</v>
      </c>
      <c r="G856" s="78" t="e">
        <v>#N/A</v>
      </c>
    </row>
    <row r="857" customFormat="false" ht="15.75" hidden="false" customHeight="false" outlineLevel="0" collapsed="false">
      <c r="A857" s="78" t="e">
        <v>#N/A</v>
      </c>
      <c r="B857" s="120" t="e">
        <v>#N/A</v>
      </c>
      <c r="C857" s="78" t="e">
        <v>#N/A</v>
      </c>
      <c r="D857" s="78" t="e">
        <v>#N/A</v>
      </c>
      <c r="E857" s="120" t="e">
        <v>#N/A</v>
      </c>
      <c r="F857" s="78" t="e">
        <v>#N/A</v>
      </c>
      <c r="G857" s="78" t="e">
        <v>#N/A</v>
      </c>
    </row>
    <row r="858" customFormat="false" ht="15.75" hidden="false" customHeight="false" outlineLevel="0" collapsed="false">
      <c r="A858" s="78" t="e">
        <v>#N/A</v>
      </c>
      <c r="B858" s="120" t="e">
        <v>#N/A</v>
      </c>
      <c r="C858" s="78" t="e">
        <v>#N/A</v>
      </c>
      <c r="D858" s="78" t="e">
        <v>#N/A</v>
      </c>
      <c r="E858" s="120" t="e">
        <v>#N/A</v>
      </c>
      <c r="F858" s="78" t="e">
        <v>#N/A</v>
      </c>
      <c r="G858" s="78" t="e">
        <v>#N/A</v>
      </c>
    </row>
    <row r="859" customFormat="false" ht="15.75" hidden="false" customHeight="false" outlineLevel="0" collapsed="false">
      <c r="A859" s="78" t="e">
        <v>#N/A</v>
      </c>
      <c r="B859" s="120" t="e">
        <v>#N/A</v>
      </c>
      <c r="C859" s="78" t="e">
        <v>#N/A</v>
      </c>
      <c r="D859" s="78" t="e">
        <v>#N/A</v>
      </c>
      <c r="E859" s="120" t="e">
        <v>#N/A</v>
      </c>
      <c r="F859" s="78" t="e">
        <v>#N/A</v>
      </c>
      <c r="G859" s="78" t="e">
        <v>#N/A</v>
      </c>
    </row>
    <row r="860" customFormat="false" ht="15.75" hidden="false" customHeight="false" outlineLevel="0" collapsed="false">
      <c r="A860" s="78" t="e">
        <v>#N/A</v>
      </c>
      <c r="B860" s="120" t="e">
        <v>#N/A</v>
      </c>
      <c r="C860" s="78" t="e">
        <v>#N/A</v>
      </c>
      <c r="D860" s="78" t="e">
        <v>#N/A</v>
      </c>
      <c r="E860" s="120" t="e">
        <v>#N/A</v>
      </c>
      <c r="F860" s="78" t="e">
        <v>#N/A</v>
      </c>
      <c r="G860" s="78" t="e">
        <v>#N/A</v>
      </c>
    </row>
    <row r="861" customFormat="false" ht="15.75" hidden="false" customHeight="false" outlineLevel="0" collapsed="false">
      <c r="A861" s="78" t="e">
        <v>#N/A</v>
      </c>
      <c r="B861" s="120" t="e">
        <v>#N/A</v>
      </c>
      <c r="C861" s="78" t="e">
        <v>#N/A</v>
      </c>
      <c r="D861" s="78" t="e">
        <v>#N/A</v>
      </c>
      <c r="E861" s="120" t="e">
        <v>#N/A</v>
      </c>
      <c r="F861" s="78" t="e">
        <v>#N/A</v>
      </c>
      <c r="G861" s="78" t="e">
        <v>#N/A</v>
      </c>
    </row>
    <row r="862" customFormat="false" ht="15.75" hidden="false" customHeight="false" outlineLevel="0" collapsed="false">
      <c r="A862" s="78" t="e">
        <v>#N/A</v>
      </c>
      <c r="B862" s="120" t="e">
        <v>#N/A</v>
      </c>
      <c r="C862" s="78" t="e">
        <v>#N/A</v>
      </c>
      <c r="D862" s="78" t="e">
        <v>#N/A</v>
      </c>
      <c r="E862" s="120" t="e">
        <v>#N/A</v>
      </c>
      <c r="F862" s="78" t="e">
        <v>#N/A</v>
      </c>
      <c r="G862" s="78" t="e">
        <v>#N/A</v>
      </c>
    </row>
    <row r="863" customFormat="false" ht="15.75" hidden="false" customHeight="false" outlineLevel="0" collapsed="false">
      <c r="A863" s="78" t="e">
        <v>#N/A</v>
      </c>
      <c r="B863" s="120" t="e">
        <v>#N/A</v>
      </c>
      <c r="C863" s="78" t="e">
        <v>#N/A</v>
      </c>
      <c r="D863" s="78" t="e">
        <v>#N/A</v>
      </c>
      <c r="E863" s="120" t="e">
        <v>#N/A</v>
      </c>
      <c r="F863" s="78" t="e">
        <v>#N/A</v>
      </c>
      <c r="G863" s="78" t="e">
        <v>#N/A</v>
      </c>
    </row>
    <row r="864" customFormat="false" ht="15.75" hidden="false" customHeight="false" outlineLevel="0" collapsed="false">
      <c r="A864" s="78" t="e">
        <v>#N/A</v>
      </c>
      <c r="B864" s="120" t="e">
        <v>#N/A</v>
      </c>
      <c r="C864" s="78" t="e">
        <v>#N/A</v>
      </c>
      <c r="D864" s="78" t="e">
        <v>#N/A</v>
      </c>
      <c r="E864" s="120" t="e">
        <v>#N/A</v>
      </c>
      <c r="F864" s="78" t="e">
        <v>#N/A</v>
      </c>
      <c r="G864" s="78" t="e">
        <v>#N/A</v>
      </c>
    </row>
    <row r="865" customFormat="false" ht="15.75" hidden="false" customHeight="false" outlineLevel="0" collapsed="false">
      <c r="A865" s="78" t="e">
        <v>#N/A</v>
      </c>
      <c r="B865" s="120" t="e">
        <v>#N/A</v>
      </c>
      <c r="C865" s="78" t="e">
        <v>#N/A</v>
      </c>
      <c r="D865" s="78" t="e">
        <v>#N/A</v>
      </c>
      <c r="E865" s="120" t="e">
        <v>#N/A</v>
      </c>
      <c r="F865" s="78" t="e">
        <v>#N/A</v>
      </c>
      <c r="G865" s="78" t="e">
        <v>#N/A</v>
      </c>
    </row>
    <row r="866" customFormat="false" ht="15.75" hidden="false" customHeight="false" outlineLevel="0" collapsed="false">
      <c r="A866" s="78" t="e">
        <v>#N/A</v>
      </c>
      <c r="B866" s="120" t="e">
        <v>#N/A</v>
      </c>
      <c r="C866" s="78" t="e">
        <v>#N/A</v>
      </c>
      <c r="D866" s="78" t="e">
        <v>#N/A</v>
      </c>
      <c r="E866" s="120" t="e">
        <v>#N/A</v>
      </c>
      <c r="F866" s="78" t="e">
        <v>#N/A</v>
      </c>
      <c r="G866" s="78" t="e">
        <v>#N/A</v>
      </c>
    </row>
    <row r="867" customFormat="false" ht="15.75" hidden="false" customHeight="false" outlineLevel="0" collapsed="false">
      <c r="A867" s="78" t="e">
        <v>#N/A</v>
      </c>
      <c r="B867" s="120" t="e">
        <v>#N/A</v>
      </c>
      <c r="C867" s="78" t="e">
        <v>#N/A</v>
      </c>
      <c r="D867" s="78" t="e">
        <v>#N/A</v>
      </c>
      <c r="E867" s="120" t="e">
        <v>#N/A</v>
      </c>
      <c r="F867" s="78" t="e">
        <v>#N/A</v>
      </c>
      <c r="G867" s="78" t="e">
        <v>#N/A</v>
      </c>
    </row>
    <row r="868" customFormat="false" ht="15.75" hidden="false" customHeight="false" outlineLevel="0" collapsed="false">
      <c r="A868" s="78" t="e">
        <v>#N/A</v>
      </c>
      <c r="B868" s="120" t="e">
        <v>#N/A</v>
      </c>
      <c r="C868" s="78" t="e">
        <v>#N/A</v>
      </c>
      <c r="D868" s="78" t="e">
        <v>#N/A</v>
      </c>
      <c r="E868" s="120" t="e">
        <v>#N/A</v>
      </c>
      <c r="F868" s="78" t="e">
        <v>#N/A</v>
      </c>
      <c r="G868" s="78" t="e">
        <v>#N/A</v>
      </c>
    </row>
    <row r="869" customFormat="false" ht="15.75" hidden="false" customHeight="false" outlineLevel="0" collapsed="false">
      <c r="A869" s="78" t="e">
        <v>#N/A</v>
      </c>
      <c r="B869" s="120" t="e">
        <v>#N/A</v>
      </c>
      <c r="C869" s="78" t="e">
        <v>#N/A</v>
      </c>
      <c r="D869" s="78" t="e">
        <v>#N/A</v>
      </c>
      <c r="E869" s="120" t="e">
        <v>#N/A</v>
      </c>
      <c r="F869" s="78" t="e">
        <v>#N/A</v>
      </c>
      <c r="G869" s="78" t="e">
        <v>#N/A</v>
      </c>
    </row>
    <row r="870" customFormat="false" ht="15.75" hidden="false" customHeight="false" outlineLevel="0" collapsed="false">
      <c r="A870" s="78" t="e">
        <v>#N/A</v>
      </c>
      <c r="B870" s="120" t="e">
        <v>#N/A</v>
      </c>
      <c r="C870" s="78" t="e">
        <v>#N/A</v>
      </c>
      <c r="D870" s="78" t="e">
        <v>#N/A</v>
      </c>
      <c r="E870" s="120" t="e">
        <v>#N/A</v>
      </c>
      <c r="F870" s="78" t="e">
        <v>#N/A</v>
      </c>
      <c r="G870" s="78" t="e">
        <v>#N/A</v>
      </c>
    </row>
    <row r="871" customFormat="false" ht="15.75" hidden="false" customHeight="false" outlineLevel="0" collapsed="false">
      <c r="A871" s="78" t="e">
        <v>#N/A</v>
      </c>
      <c r="B871" s="120" t="e">
        <v>#N/A</v>
      </c>
      <c r="C871" s="78" t="e">
        <v>#N/A</v>
      </c>
      <c r="D871" s="78" t="e">
        <v>#N/A</v>
      </c>
      <c r="E871" s="120" t="e">
        <v>#N/A</v>
      </c>
      <c r="F871" s="78" t="e">
        <v>#N/A</v>
      </c>
      <c r="G871" s="78" t="e">
        <v>#N/A</v>
      </c>
    </row>
    <row r="872" customFormat="false" ht="15.75" hidden="false" customHeight="false" outlineLevel="0" collapsed="false">
      <c r="A872" s="78" t="e">
        <v>#N/A</v>
      </c>
      <c r="B872" s="120" t="e">
        <v>#N/A</v>
      </c>
      <c r="C872" s="78" t="e">
        <v>#N/A</v>
      </c>
      <c r="D872" s="78" t="e">
        <v>#N/A</v>
      </c>
      <c r="E872" s="120" t="e">
        <v>#N/A</v>
      </c>
      <c r="F872" s="78" t="e">
        <v>#N/A</v>
      </c>
      <c r="G872" s="78" t="e">
        <v>#N/A</v>
      </c>
    </row>
    <row r="873" customFormat="false" ht="15.75" hidden="false" customHeight="false" outlineLevel="0" collapsed="false">
      <c r="A873" s="78" t="e">
        <v>#N/A</v>
      </c>
      <c r="B873" s="120" t="e">
        <v>#N/A</v>
      </c>
      <c r="C873" s="78" t="e">
        <v>#N/A</v>
      </c>
      <c r="D873" s="78" t="e">
        <v>#N/A</v>
      </c>
      <c r="E873" s="120" t="e">
        <v>#N/A</v>
      </c>
      <c r="F873" s="78" t="e">
        <v>#N/A</v>
      </c>
      <c r="G873" s="78" t="e">
        <v>#N/A</v>
      </c>
    </row>
    <row r="874" customFormat="false" ht="15.75" hidden="false" customHeight="false" outlineLevel="0" collapsed="false">
      <c r="A874" s="78" t="e">
        <v>#N/A</v>
      </c>
      <c r="B874" s="120" t="e">
        <v>#N/A</v>
      </c>
      <c r="C874" s="78" t="e">
        <v>#N/A</v>
      </c>
      <c r="D874" s="78" t="e">
        <v>#N/A</v>
      </c>
      <c r="E874" s="120" t="e">
        <v>#N/A</v>
      </c>
      <c r="F874" s="78" t="e">
        <v>#N/A</v>
      </c>
      <c r="G874" s="78" t="e">
        <v>#N/A</v>
      </c>
    </row>
    <row r="875" customFormat="false" ht="15.75" hidden="false" customHeight="false" outlineLevel="0" collapsed="false">
      <c r="A875" s="78" t="e">
        <v>#N/A</v>
      </c>
      <c r="B875" s="120" t="e">
        <v>#N/A</v>
      </c>
      <c r="C875" s="78" t="e">
        <v>#N/A</v>
      </c>
      <c r="D875" s="78" t="e">
        <v>#N/A</v>
      </c>
      <c r="E875" s="120" t="e">
        <v>#N/A</v>
      </c>
      <c r="F875" s="78" t="e">
        <v>#N/A</v>
      </c>
      <c r="G875" s="78" t="e">
        <v>#N/A</v>
      </c>
    </row>
    <row r="876" customFormat="false" ht="15.75" hidden="false" customHeight="false" outlineLevel="0" collapsed="false">
      <c r="A876" s="78" t="e">
        <v>#N/A</v>
      </c>
      <c r="B876" s="120" t="e">
        <v>#N/A</v>
      </c>
      <c r="C876" s="78" t="e">
        <v>#N/A</v>
      </c>
      <c r="D876" s="78" t="e">
        <v>#N/A</v>
      </c>
      <c r="E876" s="120" t="e">
        <v>#N/A</v>
      </c>
      <c r="F876" s="78" t="e">
        <v>#N/A</v>
      </c>
      <c r="G876" s="78" t="e">
        <v>#N/A</v>
      </c>
    </row>
    <row r="877" customFormat="false" ht="15.75" hidden="false" customHeight="false" outlineLevel="0" collapsed="false">
      <c r="A877" s="78" t="e">
        <v>#N/A</v>
      </c>
      <c r="B877" s="120" t="e">
        <v>#N/A</v>
      </c>
      <c r="C877" s="78" t="e">
        <v>#N/A</v>
      </c>
      <c r="D877" s="78" t="e">
        <v>#N/A</v>
      </c>
      <c r="E877" s="120" t="e">
        <v>#N/A</v>
      </c>
      <c r="F877" s="78" t="e">
        <v>#N/A</v>
      </c>
      <c r="G877" s="78" t="e">
        <v>#N/A</v>
      </c>
    </row>
    <row r="878" customFormat="false" ht="15.75" hidden="false" customHeight="false" outlineLevel="0" collapsed="false">
      <c r="A878" s="78" t="e">
        <v>#N/A</v>
      </c>
      <c r="B878" s="120" t="e">
        <v>#N/A</v>
      </c>
      <c r="C878" s="78" t="e">
        <v>#N/A</v>
      </c>
      <c r="D878" s="78" t="e">
        <v>#N/A</v>
      </c>
      <c r="E878" s="120" t="e">
        <v>#N/A</v>
      </c>
      <c r="F878" s="78" t="e">
        <v>#N/A</v>
      </c>
      <c r="G878" s="78" t="e">
        <v>#N/A</v>
      </c>
    </row>
    <row r="879" customFormat="false" ht="15.75" hidden="false" customHeight="false" outlineLevel="0" collapsed="false">
      <c r="A879" s="78" t="e">
        <v>#N/A</v>
      </c>
      <c r="B879" s="120" t="e">
        <v>#N/A</v>
      </c>
      <c r="C879" s="78" t="e">
        <v>#N/A</v>
      </c>
      <c r="D879" s="78" t="e">
        <v>#N/A</v>
      </c>
      <c r="E879" s="120" t="e">
        <v>#N/A</v>
      </c>
      <c r="F879" s="78" t="e">
        <v>#N/A</v>
      </c>
      <c r="G879" s="78" t="e">
        <v>#N/A</v>
      </c>
    </row>
    <row r="880" customFormat="false" ht="15.75" hidden="false" customHeight="false" outlineLevel="0" collapsed="false">
      <c r="A880" s="78" t="e">
        <v>#N/A</v>
      </c>
      <c r="B880" s="120" t="e">
        <v>#N/A</v>
      </c>
      <c r="C880" s="78" t="e">
        <v>#N/A</v>
      </c>
      <c r="D880" s="78" t="e">
        <v>#N/A</v>
      </c>
      <c r="E880" s="120" t="e">
        <v>#N/A</v>
      </c>
      <c r="F880" s="78" t="e">
        <v>#N/A</v>
      </c>
      <c r="G880" s="78" t="e">
        <v>#N/A</v>
      </c>
    </row>
    <row r="881" customFormat="false" ht="15.75" hidden="false" customHeight="false" outlineLevel="0" collapsed="false">
      <c r="A881" s="78" t="e">
        <v>#N/A</v>
      </c>
      <c r="B881" s="120" t="e">
        <v>#N/A</v>
      </c>
      <c r="C881" s="78" t="e">
        <v>#N/A</v>
      </c>
      <c r="D881" s="78" t="e">
        <v>#N/A</v>
      </c>
      <c r="E881" s="120" t="e">
        <v>#N/A</v>
      </c>
      <c r="F881" s="78" t="e">
        <v>#N/A</v>
      </c>
      <c r="G881" s="78" t="e">
        <v>#N/A</v>
      </c>
    </row>
    <row r="882" customFormat="false" ht="15.75" hidden="false" customHeight="false" outlineLevel="0" collapsed="false">
      <c r="A882" s="78" t="e">
        <v>#N/A</v>
      </c>
      <c r="B882" s="120" t="e">
        <v>#N/A</v>
      </c>
      <c r="C882" s="78" t="e">
        <v>#N/A</v>
      </c>
      <c r="D882" s="78" t="e">
        <v>#N/A</v>
      </c>
      <c r="E882" s="120" t="e">
        <v>#N/A</v>
      </c>
      <c r="F882" s="78" t="e">
        <v>#N/A</v>
      </c>
      <c r="G882" s="78" t="e">
        <v>#N/A</v>
      </c>
    </row>
    <row r="883" customFormat="false" ht="15.75" hidden="false" customHeight="false" outlineLevel="0" collapsed="false">
      <c r="A883" s="78" t="e">
        <v>#N/A</v>
      </c>
      <c r="B883" s="120" t="e">
        <v>#N/A</v>
      </c>
      <c r="C883" s="78" t="e">
        <v>#N/A</v>
      </c>
      <c r="D883" s="78" t="e">
        <v>#N/A</v>
      </c>
      <c r="E883" s="120" t="e">
        <v>#N/A</v>
      </c>
      <c r="F883" s="78" t="e">
        <v>#N/A</v>
      </c>
      <c r="G883" s="78" t="e">
        <v>#N/A</v>
      </c>
    </row>
    <row r="884" customFormat="false" ht="15.75" hidden="false" customHeight="false" outlineLevel="0" collapsed="false">
      <c r="A884" s="78" t="e">
        <v>#N/A</v>
      </c>
      <c r="B884" s="120" t="e">
        <v>#N/A</v>
      </c>
      <c r="C884" s="78" t="e">
        <v>#N/A</v>
      </c>
      <c r="D884" s="78" t="e">
        <v>#N/A</v>
      </c>
      <c r="E884" s="120" t="e">
        <v>#N/A</v>
      </c>
      <c r="F884" s="78" t="e">
        <v>#N/A</v>
      </c>
      <c r="G884" s="78" t="e">
        <v>#N/A</v>
      </c>
    </row>
    <row r="885" customFormat="false" ht="15.75" hidden="false" customHeight="false" outlineLevel="0" collapsed="false">
      <c r="A885" s="78" t="e">
        <v>#N/A</v>
      </c>
      <c r="B885" s="120" t="e">
        <v>#N/A</v>
      </c>
      <c r="C885" s="78" t="e">
        <v>#N/A</v>
      </c>
      <c r="D885" s="78" t="e">
        <v>#N/A</v>
      </c>
      <c r="E885" s="120" t="e">
        <v>#N/A</v>
      </c>
      <c r="F885" s="78" t="e">
        <v>#N/A</v>
      </c>
      <c r="G885" s="78" t="e">
        <v>#N/A</v>
      </c>
    </row>
    <row r="886" customFormat="false" ht="15.75" hidden="false" customHeight="false" outlineLevel="0" collapsed="false">
      <c r="A886" s="78" t="e">
        <v>#N/A</v>
      </c>
      <c r="B886" s="120" t="e">
        <v>#N/A</v>
      </c>
      <c r="C886" s="78" t="e">
        <v>#N/A</v>
      </c>
      <c r="D886" s="78" t="e">
        <v>#N/A</v>
      </c>
      <c r="E886" s="120" t="e">
        <v>#N/A</v>
      </c>
      <c r="F886" s="78" t="e">
        <v>#N/A</v>
      </c>
      <c r="G886" s="78" t="e">
        <v>#N/A</v>
      </c>
    </row>
    <row r="887" customFormat="false" ht="15.75" hidden="false" customHeight="false" outlineLevel="0" collapsed="false">
      <c r="A887" s="78" t="e">
        <v>#N/A</v>
      </c>
      <c r="B887" s="120" t="e">
        <v>#N/A</v>
      </c>
      <c r="C887" s="78" t="e">
        <v>#N/A</v>
      </c>
      <c r="D887" s="78" t="e">
        <v>#N/A</v>
      </c>
      <c r="E887" s="120" t="e">
        <v>#N/A</v>
      </c>
      <c r="F887" s="78" t="e">
        <v>#N/A</v>
      </c>
      <c r="G887" s="78" t="e">
        <v>#N/A</v>
      </c>
    </row>
    <row r="888" customFormat="false" ht="15.75" hidden="false" customHeight="false" outlineLevel="0" collapsed="false">
      <c r="A888" s="78" t="e">
        <v>#N/A</v>
      </c>
      <c r="B888" s="120" t="e">
        <v>#N/A</v>
      </c>
      <c r="C888" s="78" t="e">
        <v>#N/A</v>
      </c>
      <c r="D888" s="78" t="e">
        <v>#N/A</v>
      </c>
      <c r="E888" s="120" t="e">
        <v>#N/A</v>
      </c>
      <c r="F888" s="78" t="e">
        <v>#N/A</v>
      </c>
      <c r="G888" s="78" t="e">
        <v>#N/A</v>
      </c>
    </row>
    <row r="889" customFormat="false" ht="15.75" hidden="false" customHeight="false" outlineLevel="0" collapsed="false">
      <c r="A889" s="78" t="e">
        <v>#N/A</v>
      </c>
      <c r="B889" s="120" t="e">
        <v>#N/A</v>
      </c>
      <c r="C889" s="78" t="e">
        <v>#N/A</v>
      </c>
      <c r="D889" s="78" t="e">
        <v>#N/A</v>
      </c>
      <c r="E889" s="120" t="e">
        <v>#N/A</v>
      </c>
      <c r="F889" s="78" t="e">
        <v>#N/A</v>
      </c>
      <c r="G889" s="78" t="e">
        <v>#N/A</v>
      </c>
    </row>
    <row r="890" customFormat="false" ht="15.75" hidden="false" customHeight="false" outlineLevel="0" collapsed="false">
      <c r="A890" s="78" t="e">
        <v>#N/A</v>
      </c>
      <c r="B890" s="120" t="e">
        <v>#N/A</v>
      </c>
      <c r="C890" s="78" t="e">
        <v>#N/A</v>
      </c>
      <c r="D890" s="78" t="e">
        <v>#N/A</v>
      </c>
      <c r="E890" s="120" t="e">
        <v>#N/A</v>
      </c>
      <c r="F890" s="78" t="e">
        <v>#N/A</v>
      </c>
      <c r="G890" s="78" t="e">
        <v>#N/A</v>
      </c>
    </row>
    <row r="891" customFormat="false" ht="15.75" hidden="false" customHeight="false" outlineLevel="0" collapsed="false">
      <c r="A891" s="78" t="e">
        <v>#N/A</v>
      </c>
      <c r="B891" s="120" t="e">
        <v>#N/A</v>
      </c>
      <c r="C891" s="78" t="e">
        <v>#N/A</v>
      </c>
      <c r="D891" s="78" t="e">
        <v>#N/A</v>
      </c>
      <c r="E891" s="120" t="e">
        <v>#N/A</v>
      </c>
      <c r="F891" s="78" t="e">
        <v>#N/A</v>
      </c>
      <c r="G891" s="78" t="e">
        <v>#N/A</v>
      </c>
    </row>
    <row r="892" customFormat="false" ht="15.75" hidden="false" customHeight="false" outlineLevel="0" collapsed="false">
      <c r="A892" s="78" t="e">
        <v>#N/A</v>
      </c>
      <c r="B892" s="120" t="e">
        <v>#N/A</v>
      </c>
      <c r="C892" s="78" t="e">
        <v>#N/A</v>
      </c>
      <c r="D892" s="78" t="e">
        <v>#N/A</v>
      </c>
      <c r="E892" s="120" t="e">
        <v>#N/A</v>
      </c>
      <c r="F892" s="78" t="e">
        <v>#N/A</v>
      </c>
      <c r="G892" s="78" t="e">
        <v>#N/A</v>
      </c>
    </row>
    <row r="893" customFormat="false" ht="15.75" hidden="false" customHeight="false" outlineLevel="0" collapsed="false">
      <c r="A893" s="78" t="e">
        <v>#N/A</v>
      </c>
      <c r="B893" s="120" t="e">
        <v>#N/A</v>
      </c>
      <c r="C893" s="78" t="e">
        <v>#N/A</v>
      </c>
      <c r="D893" s="78" t="e">
        <v>#N/A</v>
      </c>
      <c r="E893" s="120" t="e">
        <v>#N/A</v>
      </c>
      <c r="F893" s="78" t="e">
        <v>#N/A</v>
      </c>
      <c r="G893" s="78" t="e">
        <v>#N/A</v>
      </c>
    </row>
    <row r="894" customFormat="false" ht="15.75" hidden="false" customHeight="false" outlineLevel="0" collapsed="false">
      <c r="A894" s="78" t="e">
        <v>#N/A</v>
      </c>
      <c r="B894" s="120" t="e">
        <v>#N/A</v>
      </c>
      <c r="C894" s="78" t="e">
        <v>#N/A</v>
      </c>
      <c r="D894" s="78" t="e">
        <v>#N/A</v>
      </c>
      <c r="E894" s="120" t="e">
        <v>#N/A</v>
      </c>
      <c r="F894" s="78" t="e">
        <v>#N/A</v>
      </c>
      <c r="G894" s="78" t="e">
        <v>#N/A</v>
      </c>
    </row>
    <row r="895" customFormat="false" ht="15.75" hidden="false" customHeight="false" outlineLevel="0" collapsed="false">
      <c r="A895" s="78" t="e">
        <v>#N/A</v>
      </c>
      <c r="B895" s="120" t="e">
        <v>#N/A</v>
      </c>
      <c r="C895" s="78" t="e">
        <v>#N/A</v>
      </c>
      <c r="D895" s="78" t="e">
        <v>#N/A</v>
      </c>
      <c r="E895" s="120" t="e">
        <v>#N/A</v>
      </c>
      <c r="F895" s="78" t="e">
        <v>#N/A</v>
      </c>
      <c r="G895" s="78" t="e">
        <v>#N/A</v>
      </c>
    </row>
    <row r="896" customFormat="false" ht="15.75" hidden="false" customHeight="false" outlineLevel="0" collapsed="false">
      <c r="A896" s="78" t="e">
        <v>#N/A</v>
      </c>
      <c r="B896" s="120" t="e">
        <v>#N/A</v>
      </c>
      <c r="C896" s="78" t="e">
        <v>#N/A</v>
      </c>
      <c r="D896" s="78" t="e">
        <v>#N/A</v>
      </c>
      <c r="E896" s="120" t="e">
        <v>#N/A</v>
      </c>
      <c r="F896" s="78" t="e">
        <v>#N/A</v>
      </c>
      <c r="G896" s="78" t="e">
        <v>#N/A</v>
      </c>
    </row>
    <row r="897" customFormat="false" ht="15.75" hidden="false" customHeight="false" outlineLevel="0" collapsed="false">
      <c r="A897" s="78" t="e">
        <v>#N/A</v>
      </c>
      <c r="B897" s="120" t="e">
        <v>#N/A</v>
      </c>
      <c r="C897" s="78" t="e">
        <v>#N/A</v>
      </c>
      <c r="D897" s="78" t="e">
        <v>#N/A</v>
      </c>
      <c r="E897" s="120" t="e">
        <v>#N/A</v>
      </c>
      <c r="F897" s="78" t="e">
        <v>#N/A</v>
      </c>
      <c r="G897" s="78" t="e">
        <v>#N/A</v>
      </c>
    </row>
    <row r="898" customFormat="false" ht="15.75" hidden="false" customHeight="false" outlineLevel="0" collapsed="false">
      <c r="A898" s="78" t="e">
        <v>#N/A</v>
      </c>
      <c r="B898" s="120" t="e">
        <v>#N/A</v>
      </c>
      <c r="C898" s="78" t="e">
        <v>#N/A</v>
      </c>
      <c r="D898" s="78" t="e">
        <v>#N/A</v>
      </c>
      <c r="E898" s="120" t="e">
        <v>#N/A</v>
      </c>
      <c r="F898" s="78" t="e">
        <v>#N/A</v>
      </c>
      <c r="G898" s="78" t="e">
        <v>#N/A</v>
      </c>
    </row>
    <row r="899" customFormat="false" ht="15.75" hidden="false" customHeight="false" outlineLevel="0" collapsed="false">
      <c r="A899" s="78" t="e">
        <v>#N/A</v>
      </c>
      <c r="B899" s="120" t="e">
        <v>#N/A</v>
      </c>
      <c r="C899" s="78" t="e">
        <v>#N/A</v>
      </c>
      <c r="D899" s="78" t="e">
        <v>#N/A</v>
      </c>
      <c r="E899" s="120" t="e">
        <v>#N/A</v>
      </c>
      <c r="F899" s="78" t="e">
        <v>#N/A</v>
      </c>
      <c r="G899" s="78" t="e">
        <v>#N/A</v>
      </c>
    </row>
    <row r="900" customFormat="false" ht="15.75" hidden="false" customHeight="false" outlineLevel="0" collapsed="false">
      <c r="A900" s="78" t="e">
        <v>#N/A</v>
      </c>
      <c r="B900" s="120" t="e">
        <v>#N/A</v>
      </c>
      <c r="C900" s="78" t="e">
        <v>#N/A</v>
      </c>
      <c r="D900" s="78" t="e">
        <v>#N/A</v>
      </c>
      <c r="E900" s="120" t="e">
        <v>#N/A</v>
      </c>
      <c r="F900" s="78" t="e">
        <v>#N/A</v>
      </c>
      <c r="G900" s="78" t="e">
        <v>#N/A</v>
      </c>
    </row>
    <row r="901" customFormat="false" ht="15.75" hidden="false" customHeight="false" outlineLevel="0" collapsed="false">
      <c r="A901" s="78" t="e">
        <v>#N/A</v>
      </c>
      <c r="B901" s="120" t="e">
        <v>#N/A</v>
      </c>
      <c r="C901" s="78" t="e">
        <v>#N/A</v>
      </c>
      <c r="D901" s="78" t="e">
        <v>#N/A</v>
      </c>
      <c r="E901" s="120" t="e">
        <v>#N/A</v>
      </c>
      <c r="F901" s="78" t="e">
        <v>#N/A</v>
      </c>
      <c r="G901" s="78" t="e">
        <v>#N/A</v>
      </c>
    </row>
    <row r="902" customFormat="false" ht="15.75" hidden="false" customHeight="false" outlineLevel="0" collapsed="false">
      <c r="A902" s="78" t="e">
        <v>#N/A</v>
      </c>
      <c r="B902" s="120" t="e">
        <v>#N/A</v>
      </c>
      <c r="C902" s="78" t="e">
        <v>#N/A</v>
      </c>
      <c r="D902" s="78" t="e">
        <v>#N/A</v>
      </c>
      <c r="E902" s="120" t="e">
        <v>#N/A</v>
      </c>
      <c r="F902" s="78" t="e">
        <v>#N/A</v>
      </c>
      <c r="G902" s="78" t="e">
        <v>#N/A</v>
      </c>
    </row>
    <row r="903" customFormat="false" ht="15.75" hidden="false" customHeight="false" outlineLevel="0" collapsed="false">
      <c r="A903" s="78" t="e">
        <v>#N/A</v>
      </c>
      <c r="B903" s="120" t="e">
        <v>#N/A</v>
      </c>
      <c r="C903" s="78" t="e">
        <v>#N/A</v>
      </c>
      <c r="D903" s="78" t="e">
        <v>#N/A</v>
      </c>
      <c r="E903" s="120" t="e">
        <v>#N/A</v>
      </c>
      <c r="F903" s="78" t="e">
        <v>#N/A</v>
      </c>
      <c r="G903" s="78" t="e">
        <v>#N/A</v>
      </c>
    </row>
    <row r="904" customFormat="false" ht="15.75" hidden="false" customHeight="false" outlineLevel="0" collapsed="false">
      <c r="A904" s="78" t="e">
        <v>#N/A</v>
      </c>
      <c r="B904" s="120" t="e">
        <v>#N/A</v>
      </c>
      <c r="C904" s="78" t="e">
        <v>#N/A</v>
      </c>
      <c r="D904" s="78" t="e">
        <v>#N/A</v>
      </c>
      <c r="E904" s="120" t="e">
        <v>#N/A</v>
      </c>
      <c r="F904" s="78" t="e">
        <v>#N/A</v>
      </c>
      <c r="G904" s="78" t="e">
        <v>#N/A</v>
      </c>
    </row>
    <row r="905" customFormat="false" ht="15.75" hidden="false" customHeight="false" outlineLevel="0" collapsed="false">
      <c r="A905" s="78" t="e">
        <v>#N/A</v>
      </c>
      <c r="B905" s="120" t="e">
        <v>#N/A</v>
      </c>
      <c r="C905" s="78" t="e">
        <v>#N/A</v>
      </c>
      <c r="D905" s="78" t="e">
        <v>#N/A</v>
      </c>
      <c r="E905" s="120" t="e">
        <v>#N/A</v>
      </c>
      <c r="F905" s="78" t="e">
        <v>#N/A</v>
      </c>
      <c r="G905" s="78" t="e">
        <v>#N/A</v>
      </c>
    </row>
    <row r="906" customFormat="false" ht="15.75" hidden="false" customHeight="false" outlineLevel="0" collapsed="false">
      <c r="A906" s="78" t="e">
        <v>#N/A</v>
      </c>
      <c r="B906" s="120" t="e">
        <v>#N/A</v>
      </c>
      <c r="C906" s="78" t="e">
        <v>#N/A</v>
      </c>
      <c r="D906" s="78" t="e">
        <v>#N/A</v>
      </c>
      <c r="E906" s="120" t="e">
        <v>#N/A</v>
      </c>
      <c r="F906" s="78" t="e">
        <v>#N/A</v>
      </c>
      <c r="G906" s="78" t="e">
        <v>#N/A</v>
      </c>
    </row>
    <row r="907" customFormat="false" ht="15.75" hidden="false" customHeight="false" outlineLevel="0" collapsed="false">
      <c r="A907" s="78" t="e">
        <v>#N/A</v>
      </c>
      <c r="B907" s="120" t="e">
        <v>#N/A</v>
      </c>
      <c r="C907" s="78" t="e">
        <v>#N/A</v>
      </c>
      <c r="D907" s="78" t="e">
        <v>#N/A</v>
      </c>
      <c r="E907" s="120" t="e">
        <v>#N/A</v>
      </c>
      <c r="F907" s="78" t="e">
        <v>#N/A</v>
      </c>
      <c r="G907" s="78" t="e">
        <v>#N/A</v>
      </c>
    </row>
    <row r="908" customFormat="false" ht="15.75" hidden="false" customHeight="false" outlineLevel="0" collapsed="false">
      <c r="A908" s="78" t="e">
        <v>#N/A</v>
      </c>
      <c r="B908" s="120" t="e">
        <v>#N/A</v>
      </c>
      <c r="C908" s="78" t="e">
        <v>#N/A</v>
      </c>
      <c r="D908" s="78" t="e">
        <v>#N/A</v>
      </c>
      <c r="E908" s="120" t="e">
        <v>#N/A</v>
      </c>
      <c r="F908" s="78" t="e">
        <v>#N/A</v>
      </c>
      <c r="G908" s="78" t="e">
        <v>#N/A</v>
      </c>
    </row>
    <row r="909" customFormat="false" ht="15.75" hidden="false" customHeight="false" outlineLevel="0" collapsed="false">
      <c r="A909" s="78" t="e">
        <v>#N/A</v>
      </c>
      <c r="B909" s="120" t="e">
        <v>#N/A</v>
      </c>
      <c r="C909" s="78" t="e">
        <v>#N/A</v>
      </c>
      <c r="D909" s="78" t="e">
        <v>#N/A</v>
      </c>
      <c r="E909" s="120" t="e">
        <v>#N/A</v>
      </c>
      <c r="F909" s="78" t="e">
        <v>#N/A</v>
      </c>
      <c r="G909" s="78" t="e">
        <v>#N/A</v>
      </c>
    </row>
    <row r="910" customFormat="false" ht="15.75" hidden="false" customHeight="false" outlineLevel="0" collapsed="false">
      <c r="A910" s="78" t="e">
        <v>#N/A</v>
      </c>
      <c r="B910" s="120" t="e">
        <v>#N/A</v>
      </c>
      <c r="C910" s="78" t="e">
        <v>#N/A</v>
      </c>
      <c r="D910" s="78" t="e">
        <v>#N/A</v>
      </c>
      <c r="E910" s="120" t="e">
        <v>#N/A</v>
      </c>
      <c r="F910" s="78" t="e">
        <v>#N/A</v>
      </c>
      <c r="G910" s="78" t="e">
        <v>#N/A</v>
      </c>
    </row>
    <row r="911" customFormat="false" ht="15.75" hidden="false" customHeight="false" outlineLevel="0" collapsed="false">
      <c r="A911" s="78" t="e">
        <v>#N/A</v>
      </c>
      <c r="B911" s="120" t="e">
        <v>#N/A</v>
      </c>
      <c r="C911" s="78" t="e">
        <v>#N/A</v>
      </c>
      <c r="D911" s="78" t="e">
        <v>#N/A</v>
      </c>
      <c r="E911" s="120" t="e">
        <v>#N/A</v>
      </c>
      <c r="F911" s="78" t="e">
        <v>#N/A</v>
      </c>
      <c r="G911" s="78" t="e">
        <v>#N/A</v>
      </c>
    </row>
    <row r="912" customFormat="false" ht="15.75" hidden="false" customHeight="false" outlineLevel="0" collapsed="false">
      <c r="A912" s="78" t="e">
        <v>#N/A</v>
      </c>
      <c r="B912" s="120" t="e">
        <v>#N/A</v>
      </c>
      <c r="C912" s="78" t="e">
        <v>#N/A</v>
      </c>
      <c r="D912" s="78" t="e">
        <v>#N/A</v>
      </c>
      <c r="E912" s="120" t="e">
        <v>#N/A</v>
      </c>
      <c r="F912" s="78" t="e">
        <v>#N/A</v>
      </c>
      <c r="G912" s="78" t="e">
        <v>#N/A</v>
      </c>
    </row>
    <row r="913" customFormat="false" ht="15.75" hidden="false" customHeight="false" outlineLevel="0" collapsed="false">
      <c r="A913" s="78" t="e">
        <v>#N/A</v>
      </c>
      <c r="B913" s="120" t="e">
        <v>#N/A</v>
      </c>
      <c r="C913" s="78" t="e">
        <v>#N/A</v>
      </c>
      <c r="D913" s="78" t="e">
        <v>#N/A</v>
      </c>
      <c r="E913" s="120" t="e">
        <v>#N/A</v>
      </c>
      <c r="F913" s="78" t="e">
        <v>#N/A</v>
      </c>
      <c r="G913" s="78" t="e">
        <v>#N/A</v>
      </c>
    </row>
    <row r="914" customFormat="false" ht="15.75" hidden="false" customHeight="false" outlineLevel="0" collapsed="false">
      <c r="A914" s="78" t="e">
        <v>#N/A</v>
      </c>
      <c r="B914" s="120" t="e">
        <v>#N/A</v>
      </c>
      <c r="C914" s="78" t="e">
        <v>#N/A</v>
      </c>
      <c r="D914" s="78" t="e">
        <v>#N/A</v>
      </c>
      <c r="E914" s="120" t="e">
        <v>#N/A</v>
      </c>
      <c r="F914" s="78" t="e">
        <v>#N/A</v>
      </c>
      <c r="G914" s="78" t="e">
        <v>#N/A</v>
      </c>
    </row>
    <row r="915" customFormat="false" ht="15.75" hidden="false" customHeight="false" outlineLevel="0" collapsed="false">
      <c r="A915" s="78" t="e">
        <v>#N/A</v>
      </c>
      <c r="B915" s="120" t="e">
        <v>#N/A</v>
      </c>
      <c r="C915" s="78" t="e">
        <v>#N/A</v>
      </c>
      <c r="D915" s="78" t="e">
        <v>#N/A</v>
      </c>
      <c r="E915" s="120" t="e">
        <v>#N/A</v>
      </c>
      <c r="F915" s="78" t="e">
        <v>#N/A</v>
      </c>
      <c r="G915" s="78" t="e">
        <v>#N/A</v>
      </c>
    </row>
    <row r="916" customFormat="false" ht="15.75" hidden="false" customHeight="false" outlineLevel="0" collapsed="false">
      <c r="A916" s="78" t="e">
        <v>#N/A</v>
      </c>
      <c r="B916" s="120" t="e">
        <v>#N/A</v>
      </c>
      <c r="C916" s="78" t="e">
        <v>#N/A</v>
      </c>
      <c r="D916" s="78" t="e">
        <v>#N/A</v>
      </c>
      <c r="E916" s="120" t="e">
        <v>#N/A</v>
      </c>
      <c r="F916" s="78" t="e">
        <v>#N/A</v>
      </c>
      <c r="G916" s="78" t="e">
        <v>#N/A</v>
      </c>
    </row>
    <row r="917" customFormat="false" ht="15.75" hidden="false" customHeight="false" outlineLevel="0" collapsed="false">
      <c r="A917" s="78" t="e">
        <v>#N/A</v>
      </c>
      <c r="B917" s="120" t="e">
        <v>#N/A</v>
      </c>
      <c r="C917" s="78" t="e">
        <v>#N/A</v>
      </c>
      <c r="D917" s="78" t="e">
        <v>#N/A</v>
      </c>
      <c r="E917" s="120" t="e">
        <v>#N/A</v>
      </c>
      <c r="F917" s="78" t="e">
        <v>#N/A</v>
      </c>
      <c r="G917" s="78" t="e">
        <v>#N/A</v>
      </c>
    </row>
    <row r="918" customFormat="false" ht="15.75" hidden="false" customHeight="false" outlineLevel="0" collapsed="false">
      <c r="A918" s="78" t="e">
        <v>#N/A</v>
      </c>
      <c r="B918" s="120" t="e">
        <v>#N/A</v>
      </c>
      <c r="C918" s="78" t="e">
        <v>#N/A</v>
      </c>
      <c r="D918" s="78" t="e">
        <v>#N/A</v>
      </c>
      <c r="E918" s="120" t="e">
        <v>#N/A</v>
      </c>
      <c r="F918" s="78" t="e">
        <v>#N/A</v>
      </c>
      <c r="G918" s="78" t="e">
        <v>#N/A</v>
      </c>
    </row>
    <row r="919" customFormat="false" ht="15.75" hidden="false" customHeight="false" outlineLevel="0" collapsed="false">
      <c r="A919" s="78" t="e">
        <v>#N/A</v>
      </c>
      <c r="B919" s="120" t="e">
        <v>#N/A</v>
      </c>
      <c r="C919" s="78" t="e">
        <v>#N/A</v>
      </c>
      <c r="D919" s="78" t="e">
        <v>#N/A</v>
      </c>
      <c r="E919" s="120" t="e">
        <v>#N/A</v>
      </c>
      <c r="F919" s="78" t="e">
        <v>#N/A</v>
      </c>
      <c r="G919" s="78" t="e">
        <v>#N/A</v>
      </c>
    </row>
    <row r="920" customFormat="false" ht="15.75" hidden="false" customHeight="false" outlineLevel="0" collapsed="false">
      <c r="A920" s="78" t="e">
        <v>#N/A</v>
      </c>
      <c r="B920" s="120" t="e">
        <v>#N/A</v>
      </c>
      <c r="C920" s="78" t="e">
        <v>#N/A</v>
      </c>
      <c r="D920" s="78" t="e">
        <v>#N/A</v>
      </c>
      <c r="E920" s="120" t="e">
        <v>#N/A</v>
      </c>
      <c r="F920" s="78" t="e">
        <v>#N/A</v>
      </c>
      <c r="G920" s="78" t="e">
        <v>#N/A</v>
      </c>
    </row>
    <row r="921" customFormat="false" ht="15.75" hidden="false" customHeight="false" outlineLevel="0" collapsed="false">
      <c r="A921" s="78" t="e">
        <v>#N/A</v>
      </c>
      <c r="B921" s="120" t="e">
        <v>#N/A</v>
      </c>
      <c r="C921" s="78" t="e">
        <v>#N/A</v>
      </c>
      <c r="D921" s="78" t="e">
        <v>#N/A</v>
      </c>
      <c r="E921" s="120" t="e">
        <v>#N/A</v>
      </c>
      <c r="F921" s="78" t="e">
        <v>#N/A</v>
      </c>
      <c r="G921" s="78" t="e">
        <v>#N/A</v>
      </c>
    </row>
    <row r="922" customFormat="false" ht="15.75" hidden="false" customHeight="false" outlineLevel="0" collapsed="false">
      <c r="A922" s="78" t="e">
        <v>#N/A</v>
      </c>
      <c r="B922" s="120" t="e">
        <v>#N/A</v>
      </c>
      <c r="C922" s="78" t="e">
        <v>#N/A</v>
      </c>
      <c r="D922" s="78" t="e">
        <v>#N/A</v>
      </c>
      <c r="E922" s="120" t="e">
        <v>#N/A</v>
      </c>
      <c r="F922" s="78" t="e">
        <v>#N/A</v>
      </c>
      <c r="G922" s="78" t="e">
        <v>#N/A</v>
      </c>
    </row>
    <row r="923" customFormat="false" ht="15.75" hidden="false" customHeight="false" outlineLevel="0" collapsed="false">
      <c r="A923" s="78" t="e">
        <v>#N/A</v>
      </c>
      <c r="B923" s="120" t="e">
        <v>#N/A</v>
      </c>
      <c r="C923" s="78" t="e">
        <v>#N/A</v>
      </c>
      <c r="D923" s="78" t="e">
        <v>#N/A</v>
      </c>
      <c r="E923" s="120" t="e">
        <v>#N/A</v>
      </c>
      <c r="F923" s="78" t="e">
        <v>#N/A</v>
      </c>
      <c r="G923" s="78" t="e">
        <v>#N/A</v>
      </c>
    </row>
    <row r="924" customFormat="false" ht="15.75" hidden="false" customHeight="false" outlineLevel="0" collapsed="false">
      <c r="A924" s="78" t="e">
        <v>#N/A</v>
      </c>
      <c r="B924" s="120" t="e">
        <v>#N/A</v>
      </c>
      <c r="C924" s="78" t="e">
        <v>#N/A</v>
      </c>
      <c r="D924" s="78" t="e">
        <v>#N/A</v>
      </c>
      <c r="E924" s="120" t="e">
        <v>#N/A</v>
      </c>
      <c r="F924" s="78" t="e">
        <v>#N/A</v>
      </c>
      <c r="G924" s="78" t="e">
        <v>#N/A</v>
      </c>
    </row>
    <row r="925" customFormat="false" ht="15.75" hidden="false" customHeight="false" outlineLevel="0" collapsed="false">
      <c r="A925" s="78" t="e">
        <v>#N/A</v>
      </c>
      <c r="B925" s="120" t="e">
        <v>#N/A</v>
      </c>
      <c r="C925" s="78" t="e">
        <v>#N/A</v>
      </c>
      <c r="D925" s="78" t="e">
        <v>#N/A</v>
      </c>
      <c r="E925" s="120" t="e">
        <v>#N/A</v>
      </c>
      <c r="F925" s="78" t="e">
        <v>#N/A</v>
      </c>
      <c r="G925" s="78" t="e">
        <v>#N/A</v>
      </c>
    </row>
    <row r="926" customFormat="false" ht="15.75" hidden="false" customHeight="false" outlineLevel="0" collapsed="false">
      <c r="A926" s="78" t="e">
        <v>#N/A</v>
      </c>
      <c r="B926" s="120" t="e">
        <v>#N/A</v>
      </c>
      <c r="C926" s="78" t="e">
        <v>#N/A</v>
      </c>
      <c r="D926" s="78" t="e">
        <v>#N/A</v>
      </c>
      <c r="E926" s="120" t="e">
        <v>#N/A</v>
      </c>
      <c r="F926" s="78" t="e">
        <v>#N/A</v>
      </c>
      <c r="G926" s="78" t="e">
        <v>#N/A</v>
      </c>
    </row>
    <row r="927" customFormat="false" ht="15.75" hidden="false" customHeight="false" outlineLevel="0" collapsed="false">
      <c r="A927" s="78" t="e">
        <v>#N/A</v>
      </c>
      <c r="B927" s="120" t="e">
        <v>#N/A</v>
      </c>
      <c r="C927" s="78" t="e">
        <v>#N/A</v>
      </c>
      <c r="D927" s="78" t="e">
        <v>#N/A</v>
      </c>
      <c r="E927" s="120" t="e">
        <v>#N/A</v>
      </c>
      <c r="F927" s="78" t="e">
        <v>#N/A</v>
      </c>
      <c r="G927" s="78" t="e">
        <v>#N/A</v>
      </c>
    </row>
    <row r="928" customFormat="false" ht="15.75" hidden="false" customHeight="false" outlineLevel="0" collapsed="false">
      <c r="A928" s="78" t="e">
        <v>#N/A</v>
      </c>
      <c r="B928" s="120" t="e">
        <v>#N/A</v>
      </c>
      <c r="C928" s="78" t="e">
        <v>#N/A</v>
      </c>
      <c r="D928" s="78" t="e">
        <v>#N/A</v>
      </c>
      <c r="E928" s="120" t="e">
        <v>#N/A</v>
      </c>
      <c r="F928" s="78" t="e">
        <v>#N/A</v>
      </c>
      <c r="G928" s="78" t="e">
        <v>#N/A</v>
      </c>
    </row>
    <row r="929" customFormat="false" ht="15.75" hidden="false" customHeight="false" outlineLevel="0" collapsed="false">
      <c r="A929" s="78" t="e">
        <v>#N/A</v>
      </c>
      <c r="B929" s="120" t="e">
        <v>#N/A</v>
      </c>
      <c r="C929" s="78" t="e">
        <v>#N/A</v>
      </c>
      <c r="D929" s="78" t="e">
        <v>#N/A</v>
      </c>
      <c r="E929" s="120" t="e">
        <v>#N/A</v>
      </c>
      <c r="F929" s="78" t="e">
        <v>#N/A</v>
      </c>
      <c r="G929" s="78" t="e">
        <v>#N/A</v>
      </c>
    </row>
    <row r="930" customFormat="false" ht="15.75" hidden="false" customHeight="false" outlineLevel="0" collapsed="false">
      <c r="A930" s="78" t="e">
        <v>#N/A</v>
      </c>
      <c r="B930" s="120" t="e">
        <v>#N/A</v>
      </c>
      <c r="C930" s="78" t="e">
        <v>#N/A</v>
      </c>
      <c r="D930" s="78" t="e">
        <v>#N/A</v>
      </c>
      <c r="E930" s="120" t="e">
        <v>#N/A</v>
      </c>
      <c r="F930" s="78" t="e">
        <v>#N/A</v>
      </c>
      <c r="G930" s="78" t="e">
        <v>#N/A</v>
      </c>
    </row>
    <row r="931" customFormat="false" ht="15.75" hidden="false" customHeight="false" outlineLevel="0" collapsed="false">
      <c r="A931" s="78" t="e">
        <v>#N/A</v>
      </c>
      <c r="B931" s="120" t="e">
        <v>#N/A</v>
      </c>
      <c r="C931" s="78" t="e">
        <v>#N/A</v>
      </c>
      <c r="D931" s="78" t="e">
        <v>#N/A</v>
      </c>
      <c r="E931" s="120" t="e">
        <v>#N/A</v>
      </c>
      <c r="F931" s="78" t="e">
        <v>#N/A</v>
      </c>
      <c r="G931" s="78" t="e">
        <v>#N/A</v>
      </c>
    </row>
    <row r="932" customFormat="false" ht="15.75" hidden="false" customHeight="false" outlineLevel="0" collapsed="false">
      <c r="A932" s="78" t="e">
        <v>#N/A</v>
      </c>
      <c r="B932" s="120" t="e">
        <v>#N/A</v>
      </c>
      <c r="C932" s="78" t="e">
        <v>#N/A</v>
      </c>
      <c r="D932" s="78" t="e">
        <v>#N/A</v>
      </c>
      <c r="E932" s="120" t="e">
        <v>#N/A</v>
      </c>
      <c r="F932" s="78" t="e">
        <v>#N/A</v>
      </c>
      <c r="G932" s="78" t="e">
        <v>#N/A</v>
      </c>
    </row>
    <row r="933" customFormat="false" ht="15.75" hidden="false" customHeight="false" outlineLevel="0" collapsed="false">
      <c r="A933" s="78" t="e">
        <v>#N/A</v>
      </c>
      <c r="B933" s="120" t="e">
        <v>#N/A</v>
      </c>
      <c r="C933" s="78" t="e">
        <v>#N/A</v>
      </c>
      <c r="D933" s="78" t="e">
        <v>#N/A</v>
      </c>
      <c r="E933" s="120" t="e">
        <v>#N/A</v>
      </c>
      <c r="F933" s="78" t="e">
        <v>#N/A</v>
      </c>
      <c r="G933" s="78" t="e">
        <v>#N/A</v>
      </c>
    </row>
    <row r="934" customFormat="false" ht="15.75" hidden="false" customHeight="false" outlineLevel="0" collapsed="false">
      <c r="A934" s="78" t="e">
        <v>#N/A</v>
      </c>
      <c r="B934" s="120" t="e">
        <v>#N/A</v>
      </c>
      <c r="C934" s="78" t="e">
        <v>#N/A</v>
      </c>
      <c r="D934" s="78" t="e">
        <v>#N/A</v>
      </c>
      <c r="E934" s="120" t="e">
        <v>#N/A</v>
      </c>
      <c r="F934" s="78" t="e">
        <v>#N/A</v>
      </c>
      <c r="G934" s="78" t="e">
        <v>#N/A</v>
      </c>
    </row>
    <row r="935" customFormat="false" ht="15.75" hidden="false" customHeight="false" outlineLevel="0" collapsed="false">
      <c r="A935" s="78" t="e">
        <v>#N/A</v>
      </c>
      <c r="B935" s="120" t="e">
        <v>#N/A</v>
      </c>
      <c r="C935" s="78" t="e">
        <v>#N/A</v>
      </c>
      <c r="D935" s="78" t="e">
        <v>#N/A</v>
      </c>
      <c r="E935" s="120" t="e">
        <v>#N/A</v>
      </c>
      <c r="F935" s="78" t="e">
        <v>#N/A</v>
      </c>
      <c r="G935" s="78" t="e">
        <v>#N/A</v>
      </c>
    </row>
    <row r="936" customFormat="false" ht="15.75" hidden="false" customHeight="false" outlineLevel="0" collapsed="false">
      <c r="A936" s="78" t="e">
        <v>#N/A</v>
      </c>
      <c r="B936" s="120" t="e">
        <v>#N/A</v>
      </c>
      <c r="C936" s="78" t="e">
        <v>#N/A</v>
      </c>
      <c r="D936" s="78" t="e">
        <v>#N/A</v>
      </c>
      <c r="E936" s="120" t="e">
        <v>#N/A</v>
      </c>
      <c r="F936" s="78" t="e">
        <v>#N/A</v>
      </c>
      <c r="G936" s="78" t="e">
        <v>#N/A</v>
      </c>
    </row>
    <row r="937" customFormat="false" ht="15.75" hidden="false" customHeight="false" outlineLevel="0" collapsed="false">
      <c r="A937" s="78" t="e">
        <v>#N/A</v>
      </c>
      <c r="B937" s="120" t="e">
        <v>#N/A</v>
      </c>
      <c r="C937" s="78" t="e">
        <v>#N/A</v>
      </c>
      <c r="D937" s="78" t="e">
        <v>#N/A</v>
      </c>
      <c r="E937" s="120" t="e">
        <v>#N/A</v>
      </c>
      <c r="F937" s="78" t="e">
        <v>#N/A</v>
      </c>
      <c r="G937" s="78" t="e">
        <v>#N/A</v>
      </c>
    </row>
    <row r="938" customFormat="false" ht="15.75" hidden="false" customHeight="false" outlineLevel="0" collapsed="false">
      <c r="A938" s="78" t="e">
        <v>#N/A</v>
      </c>
      <c r="B938" s="120" t="e">
        <v>#N/A</v>
      </c>
      <c r="C938" s="78" t="e">
        <v>#N/A</v>
      </c>
      <c r="D938" s="78" t="e">
        <v>#N/A</v>
      </c>
      <c r="E938" s="120" t="e">
        <v>#N/A</v>
      </c>
      <c r="F938" s="78" t="e">
        <v>#N/A</v>
      </c>
      <c r="G938" s="78" t="e">
        <v>#N/A</v>
      </c>
    </row>
    <row r="939" customFormat="false" ht="15.75" hidden="false" customHeight="false" outlineLevel="0" collapsed="false">
      <c r="A939" s="78" t="e">
        <v>#N/A</v>
      </c>
      <c r="B939" s="120" t="e">
        <v>#N/A</v>
      </c>
      <c r="C939" s="78" t="e">
        <v>#N/A</v>
      </c>
      <c r="D939" s="78" t="e">
        <v>#N/A</v>
      </c>
      <c r="E939" s="120" t="e">
        <v>#N/A</v>
      </c>
      <c r="F939" s="78" t="e">
        <v>#N/A</v>
      </c>
      <c r="G939" s="78" t="e">
        <v>#N/A</v>
      </c>
    </row>
    <row r="940" customFormat="false" ht="15.75" hidden="false" customHeight="false" outlineLevel="0" collapsed="false">
      <c r="A940" s="78" t="e">
        <v>#N/A</v>
      </c>
      <c r="B940" s="120" t="e">
        <v>#N/A</v>
      </c>
      <c r="C940" s="78" t="e">
        <v>#N/A</v>
      </c>
      <c r="D940" s="78" t="e">
        <v>#N/A</v>
      </c>
      <c r="E940" s="120" t="e">
        <v>#N/A</v>
      </c>
      <c r="F940" s="78" t="e">
        <v>#N/A</v>
      </c>
      <c r="G940" s="78" t="e">
        <v>#N/A</v>
      </c>
    </row>
    <row r="941" customFormat="false" ht="15.75" hidden="false" customHeight="false" outlineLevel="0" collapsed="false">
      <c r="A941" s="78" t="e">
        <v>#N/A</v>
      </c>
      <c r="B941" s="120" t="e">
        <v>#N/A</v>
      </c>
      <c r="C941" s="78" t="e">
        <v>#N/A</v>
      </c>
      <c r="D941" s="78" t="e">
        <v>#N/A</v>
      </c>
      <c r="E941" s="120" t="e">
        <v>#N/A</v>
      </c>
      <c r="F941" s="78" t="e">
        <v>#N/A</v>
      </c>
      <c r="G941" s="78" t="e">
        <v>#N/A</v>
      </c>
    </row>
    <row r="942" customFormat="false" ht="15.75" hidden="false" customHeight="false" outlineLevel="0" collapsed="false">
      <c r="A942" s="78" t="e">
        <v>#N/A</v>
      </c>
      <c r="B942" s="120" t="e">
        <v>#N/A</v>
      </c>
      <c r="C942" s="78" t="e">
        <v>#N/A</v>
      </c>
      <c r="D942" s="78" t="e">
        <v>#N/A</v>
      </c>
      <c r="E942" s="120" t="e">
        <v>#N/A</v>
      </c>
      <c r="F942" s="78" t="e">
        <v>#N/A</v>
      </c>
      <c r="G942" s="78" t="e">
        <v>#N/A</v>
      </c>
    </row>
    <row r="943" customFormat="false" ht="15.75" hidden="false" customHeight="false" outlineLevel="0" collapsed="false">
      <c r="A943" s="78" t="e">
        <v>#N/A</v>
      </c>
      <c r="B943" s="120" t="e">
        <v>#N/A</v>
      </c>
      <c r="C943" s="78" t="e">
        <v>#N/A</v>
      </c>
      <c r="D943" s="78" t="e">
        <v>#N/A</v>
      </c>
      <c r="E943" s="120" t="e">
        <v>#N/A</v>
      </c>
      <c r="F943" s="78" t="e">
        <v>#N/A</v>
      </c>
      <c r="G943" s="78" t="e">
        <v>#N/A</v>
      </c>
    </row>
    <row r="944" customFormat="false" ht="15.75" hidden="false" customHeight="false" outlineLevel="0" collapsed="false">
      <c r="A944" s="78" t="e">
        <v>#N/A</v>
      </c>
      <c r="B944" s="120" t="e">
        <v>#N/A</v>
      </c>
      <c r="C944" s="78" t="e">
        <v>#N/A</v>
      </c>
      <c r="D944" s="78" t="e">
        <v>#N/A</v>
      </c>
      <c r="E944" s="120" t="e">
        <v>#N/A</v>
      </c>
      <c r="F944" s="78" t="e">
        <v>#N/A</v>
      </c>
      <c r="G944" s="78" t="e">
        <v>#N/A</v>
      </c>
    </row>
    <row r="945" customFormat="false" ht="15.75" hidden="false" customHeight="false" outlineLevel="0" collapsed="false">
      <c r="A945" s="78" t="e">
        <v>#N/A</v>
      </c>
      <c r="B945" s="120" t="e">
        <v>#N/A</v>
      </c>
      <c r="C945" s="78" t="e">
        <v>#N/A</v>
      </c>
      <c r="D945" s="78" t="e">
        <v>#N/A</v>
      </c>
      <c r="E945" s="120" t="e">
        <v>#N/A</v>
      </c>
      <c r="F945" s="78" t="e">
        <v>#N/A</v>
      </c>
      <c r="G945" s="78" t="e">
        <v>#N/A</v>
      </c>
    </row>
    <row r="946" customFormat="false" ht="15.75" hidden="false" customHeight="false" outlineLevel="0" collapsed="false">
      <c r="A946" s="78" t="e">
        <v>#N/A</v>
      </c>
      <c r="B946" s="120" t="e">
        <v>#N/A</v>
      </c>
      <c r="C946" s="78" t="e">
        <v>#N/A</v>
      </c>
      <c r="D946" s="78" t="e">
        <v>#N/A</v>
      </c>
      <c r="E946" s="120" t="e">
        <v>#N/A</v>
      </c>
      <c r="F946" s="78" t="e">
        <v>#N/A</v>
      </c>
      <c r="G946" s="78" t="e">
        <v>#N/A</v>
      </c>
    </row>
    <row r="947" customFormat="false" ht="15.75" hidden="false" customHeight="false" outlineLevel="0" collapsed="false">
      <c r="A947" s="78" t="e">
        <v>#N/A</v>
      </c>
      <c r="B947" s="120" t="e">
        <v>#N/A</v>
      </c>
      <c r="C947" s="78" t="e">
        <v>#N/A</v>
      </c>
      <c r="D947" s="78" t="e">
        <v>#N/A</v>
      </c>
      <c r="E947" s="120" t="e">
        <v>#N/A</v>
      </c>
      <c r="F947" s="78" t="e">
        <v>#N/A</v>
      </c>
      <c r="G947" s="78" t="e">
        <v>#N/A</v>
      </c>
    </row>
    <row r="948" customFormat="false" ht="15.75" hidden="false" customHeight="false" outlineLevel="0" collapsed="false">
      <c r="A948" s="78" t="e">
        <v>#N/A</v>
      </c>
      <c r="B948" s="120" t="e">
        <v>#N/A</v>
      </c>
      <c r="C948" s="78" t="e">
        <v>#N/A</v>
      </c>
      <c r="D948" s="78" t="e">
        <v>#N/A</v>
      </c>
      <c r="E948" s="120" t="e">
        <v>#N/A</v>
      </c>
      <c r="F948" s="78" t="e">
        <v>#N/A</v>
      </c>
      <c r="G948" s="78" t="e">
        <v>#N/A</v>
      </c>
    </row>
    <row r="949" customFormat="false" ht="15.75" hidden="false" customHeight="false" outlineLevel="0" collapsed="false">
      <c r="A949" s="78" t="e">
        <v>#N/A</v>
      </c>
      <c r="B949" s="120" t="e">
        <v>#N/A</v>
      </c>
      <c r="C949" s="78" t="e">
        <v>#N/A</v>
      </c>
      <c r="D949" s="78" t="e">
        <v>#N/A</v>
      </c>
      <c r="E949" s="120" t="e">
        <v>#N/A</v>
      </c>
      <c r="F949" s="78" t="e">
        <v>#N/A</v>
      </c>
      <c r="G949" s="78" t="e">
        <v>#N/A</v>
      </c>
    </row>
    <row r="950" customFormat="false" ht="15.75" hidden="false" customHeight="false" outlineLevel="0" collapsed="false">
      <c r="A950" s="78" t="e">
        <v>#N/A</v>
      </c>
      <c r="B950" s="120" t="e">
        <v>#N/A</v>
      </c>
      <c r="C950" s="78" t="e">
        <v>#N/A</v>
      </c>
      <c r="D950" s="78" t="e">
        <v>#N/A</v>
      </c>
      <c r="E950" s="120" t="e">
        <v>#N/A</v>
      </c>
      <c r="F950" s="78" t="e">
        <v>#N/A</v>
      </c>
      <c r="G950" s="78" t="e">
        <v>#N/A</v>
      </c>
    </row>
    <row r="951" customFormat="false" ht="15.75" hidden="false" customHeight="false" outlineLevel="0" collapsed="false">
      <c r="A951" s="78" t="e">
        <v>#N/A</v>
      </c>
      <c r="B951" s="120" t="e">
        <v>#N/A</v>
      </c>
      <c r="C951" s="78" t="e">
        <v>#N/A</v>
      </c>
      <c r="D951" s="78" t="e">
        <v>#N/A</v>
      </c>
      <c r="E951" s="120" t="e">
        <v>#N/A</v>
      </c>
      <c r="F951" s="78" t="e">
        <v>#N/A</v>
      </c>
      <c r="G951" s="78" t="e">
        <v>#N/A</v>
      </c>
    </row>
    <row r="952" customFormat="false" ht="15.75" hidden="false" customHeight="false" outlineLevel="0" collapsed="false">
      <c r="A952" s="78" t="e">
        <v>#N/A</v>
      </c>
      <c r="B952" s="120" t="e">
        <v>#N/A</v>
      </c>
      <c r="C952" s="78" t="e">
        <v>#N/A</v>
      </c>
      <c r="D952" s="78" t="e">
        <v>#N/A</v>
      </c>
      <c r="E952" s="120" t="e">
        <v>#N/A</v>
      </c>
      <c r="F952" s="78" t="e">
        <v>#N/A</v>
      </c>
      <c r="G952" s="78" t="e">
        <v>#N/A</v>
      </c>
    </row>
    <row r="953" customFormat="false" ht="15.75" hidden="false" customHeight="false" outlineLevel="0" collapsed="false">
      <c r="A953" s="78" t="e">
        <v>#N/A</v>
      </c>
      <c r="B953" s="120" t="e">
        <v>#N/A</v>
      </c>
      <c r="C953" s="78" t="e">
        <v>#N/A</v>
      </c>
      <c r="D953" s="78" t="e">
        <v>#N/A</v>
      </c>
      <c r="E953" s="120" t="e">
        <v>#N/A</v>
      </c>
      <c r="F953" s="78" t="e">
        <v>#N/A</v>
      </c>
      <c r="G953" s="78" t="e">
        <v>#N/A</v>
      </c>
    </row>
    <row r="954" customFormat="false" ht="15.75" hidden="false" customHeight="false" outlineLevel="0" collapsed="false">
      <c r="A954" s="78" t="e">
        <v>#N/A</v>
      </c>
      <c r="B954" s="120" t="e">
        <v>#N/A</v>
      </c>
      <c r="C954" s="78" t="e">
        <v>#N/A</v>
      </c>
      <c r="D954" s="78" t="e">
        <v>#N/A</v>
      </c>
      <c r="E954" s="120" t="e">
        <v>#N/A</v>
      </c>
      <c r="F954" s="78" t="e">
        <v>#N/A</v>
      </c>
      <c r="G954" s="78" t="e">
        <v>#N/A</v>
      </c>
    </row>
    <row r="955" customFormat="false" ht="15.75" hidden="false" customHeight="false" outlineLevel="0" collapsed="false">
      <c r="A955" s="78" t="e">
        <v>#N/A</v>
      </c>
      <c r="B955" s="120" t="e">
        <v>#N/A</v>
      </c>
      <c r="C955" s="78" t="e">
        <v>#N/A</v>
      </c>
      <c r="D955" s="78" t="e">
        <v>#N/A</v>
      </c>
      <c r="E955" s="120" t="e">
        <v>#N/A</v>
      </c>
      <c r="F955" s="78" t="e">
        <v>#N/A</v>
      </c>
      <c r="G955" s="78" t="e">
        <v>#N/A</v>
      </c>
    </row>
    <row r="956" customFormat="false" ht="15.75" hidden="false" customHeight="false" outlineLevel="0" collapsed="false">
      <c r="A956" s="78" t="e">
        <v>#N/A</v>
      </c>
      <c r="B956" s="120" t="e">
        <v>#N/A</v>
      </c>
      <c r="C956" s="78" t="e">
        <v>#N/A</v>
      </c>
      <c r="D956" s="78" t="e">
        <v>#N/A</v>
      </c>
      <c r="E956" s="120" t="e">
        <v>#N/A</v>
      </c>
      <c r="F956" s="78" t="e">
        <v>#N/A</v>
      </c>
      <c r="G956" s="78" t="e">
        <v>#N/A</v>
      </c>
    </row>
    <row r="957" customFormat="false" ht="15.75" hidden="false" customHeight="false" outlineLevel="0" collapsed="false">
      <c r="A957" s="78" t="e">
        <v>#N/A</v>
      </c>
      <c r="B957" s="120" t="e">
        <v>#N/A</v>
      </c>
      <c r="C957" s="78" t="e">
        <v>#N/A</v>
      </c>
      <c r="D957" s="78" t="e">
        <v>#N/A</v>
      </c>
      <c r="E957" s="120" t="e">
        <v>#N/A</v>
      </c>
      <c r="F957" s="78" t="e">
        <v>#N/A</v>
      </c>
      <c r="G957" s="78" t="e">
        <v>#N/A</v>
      </c>
    </row>
    <row r="958" customFormat="false" ht="15.75" hidden="false" customHeight="false" outlineLevel="0" collapsed="false">
      <c r="A958" s="78" t="e">
        <v>#N/A</v>
      </c>
      <c r="B958" s="120" t="e">
        <v>#N/A</v>
      </c>
      <c r="C958" s="78" t="e">
        <v>#N/A</v>
      </c>
      <c r="D958" s="78" t="e">
        <v>#N/A</v>
      </c>
      <c r="E958" s="120" t="e">
        <v>#N/A</v>
      </c>
      <c r="F958" s="78" t="e">
        <v>#N/A</v>
      </c>
      <c r="G958" s="78" t="e">
        <v>#N/A</v>
      </c>
    </row>
    <row r="959" customFormat="false" ht="15.75" hidden="false" customHeight="false" outlineLevel="0" collapsed="false">
      <c r="A959" s="78" t="e">
        <v>#N/A</v>
      </c>
      <c r="B959" s="120" t="e">
        <v>#N/A</v>
      </c>
      <c r="C959" s="78" t="e">
        <v>#N/A</v>
      </c>
      <c r="D959" s="78" t="e">
        <v>#N/A</v>
      </c>
      <c r="E959" s="120" t="e">
        <v>#N/A</v>
      </c>
      <c r="F959" s="78" t="e">
        <v>#N/A</v>
      </c>
      <c r="G959" s="78" t="e">
        <v>#N/A</v>
      </c>
    </row>
    <row r="960" customFormat="false" ht="15.75" hidden="false" customHeight="false" outlineLevel="0" collapsed="false">
      <c r="A960" s="78" t="e">
        <v>#N/A</v>
      </c>
      <c r="B960" s="120" t="e">
        <v>#N/A</v>
      </c>
      <c r="C960" s="78" t="e">
        <v>#N/A</v>
      </c>
      <c r="D960" s="78" t="e">
        <v>#N/A</v>
      </c>
      <c r="E960" s="120" t="e">
        <v>#N/A</v>
      </c>
      <c r="F960" s="78" t="e">
        <v>#N/A</v>
      </c>
      <c r="G960" s="78" t="e">
        <v>#N/A</v>
      </c>
    </row>
    <row r="961" customFormat="false" ht="15.75" hidden="false" customHeight="false" outlineLevel="0" collapsed="false">
      <c r="A961" s="78" t="e">
        <v>#N/A</v>
      </c>
      <c r="B961" s="120" t="e">
        <v>#N/A</v>
      </c>
      <c r="C961" s="78" t="e">
        <v>#N/A</v>
      </c>
      <c r="D961" s="78" t="e">
        <v>#N/A</v>
      </c>
      <c r="E961" s="120" t="e">
        <v>#N/A</v>
      </c>
      <c r="F961" s="78" t="e">
        <v>#N/A</v>
      </c>
      <c r="G961" s="78" t="e">
        <v>#N/A</v>
      </c>
    </row>
    <row r="962" customFormat="false" ht="15.75" hidden="false" customHeight="false" outlineLevel="0" collapsed="false">
      <c r="A962" s="78" t="e">
        <v>#N/A</v>
      </c>
      <c r="B962" s="120" t="e">
        <v>#N/A</v>
      </c>
      <c r="C962" s="78" t="e">
        <v>#N/A</v>
      </c>
      <c r="D962" s="78" t="e">
        <v>#N/A</v>
      </c>
      <c r="E962" s="120" t="e">
        <v>#N/A</v>
      </c>
      <c r="F962" s="78" t="e">
        <v>#N/A</v>
      </c>
      <c r="G962" s="78" t="e">
        <v>#N/A</v>
      </c>
    </row>
    <row r="963" customFormat="false" ht="15.75" hidden="false" customHeight="false" outlineLevel="0" collapsed="false">
      <c r="A963" s="78" t="e">
        <v>#N/A</v>
      </c>
      <c r="B963" s="120" t="e">
        <v>#N/A</v>
      </c>
      <c r="C963" s="78" t="e">
        <v>#N/A</v>
      </c>
      <c r="D963" s="78" t="e">
        <v>#N/A</v>
      </c>
      <c r="E963" s="120" t="e">
        <v>#N/A</v>
      </c>
      <c r="F963" s="78" t="e">
        <v>#N/A</v>
      </c>
      <c r="G963" s="78" t="e">
        <v>#N/A</v>
      </c>
    </row>
    <row r="964" customFormat="false" ht="15.75" hidden="false" customHeight="false" outlineLevel="0" collapsed="false">
      <c r="A964" s="78" t="e">
        <v>#N/A</v>
      </c>
      <c r="B964" s="120" t="e">
        <v>#N/A</v>
      </c>
      <c r="C964" s="78" t="e">
        <v>#N/A</v>
      </c>
      <c r="D964" s="78" t="e">
        <v>#N/A</v>
      </c>
      <c r="E964" s="120" t="e">
        <v>#N/A</v>
      </c>
      <c r="F964" s="78" t="e">
        <v>#N/A</v>
      </c>
      <c r="G964" s="78" t="e">
        <v>#N/A</v>
      </c>
    </row>
    <row r="965" customFormat="false" ht="15.75" hidden="false" customHeight="false" outlineLevel="0" collapsed="false">
      <c r="A965" s="78" t="e">
        <v>#N/A</v>
      </c>
      <c r="B965" s="120" t="e">
        <v>#N/A</v>
      </c>
      <c r="C965" s="78" t="e">
        <v>#N/A</v>
      </c>
      <c r="D965" s="78" t="e">
        <v>#N/A</v>
      </c>
      <c r="E965" s="120" t="e">
        <v>#N/A</v>
      </c>
      <c r="F965" s="78" t="e">
        <v>#N/A</v>
      </c>
      <c r="G965" s="78" t="e">
        <v>#N/A</v>
      </c>
    </row>
    <row r="966" customFormat="false" ht="15.75" hidden="false" customHeight="false" outlineLevel="0" collapsed="false">
      <c r="A966" s="78" t="e">
        <v>#N/A</v>
      </c>
      <c r="B966" s="120" t="e">
        <v>#N/A</v>
      </c>
      <c r="C966" s="78" t="e">
        <v>#N/A</v>
      </c>
      <c r="D966" s="78" t="e">
        <v>#N/A</v>
      </c>
      <c r="E966" s="120" t="e">
        <v>#N/A</v>
      </c>
      <c r="F966" s="78" t="e">
        <v>#N/A</v>
      </c>
      <c r="G966" s="78" t="e">
        <v>#N/A</v>
      </c>
    </row>
    <row r="967" customFormat="false" ht="15.75" hidden="false" customHeight="false" outlineLevel="0" collapsed="false">
      <c r="A967" s="78" t="e">
        <v>#N/A</v>
      </c>
      <c r="B967" s="120" t="e">
        <v>#N/A</v>
      </c>
      <c r="C967" s="78" t="e">
        <v>#N/A</v>
      </c>
      <c r="D967" s="78" t="e">
        <v>#N/A</v>
      </c>
      <c r="E967" s="120" t="e">
        <v>#N/A</v>
      </c>
      <c r="F967" s="78" t="e">
        <v>#N/A</v>
      </c>
      <c r="G967" s="78" t="e">
        <v>#N/A</v>
      </c>
    </row>
    <row r="968" customFormat="false" ht="15.75" hidden="false" customHeight="false" outlineLevel="0" collapsed="false">
      <c r="A968" s="78" t="e">
        <v>#N/A</v>
      </c>
      <c r="B968" s="120" t="e">
        <v>#N/A</v>
      </c>
      <c r="C968" s="78" t="e">
        <v>#N/A</v>
      </c>
      <c r="D968" s="78" t="e">
        <v>#N/A</v>
      </c>
      <c r="E968" s="120" t="e">
        <v>#N/A</v>
      </c>
      <c r="F968" s="78" t="e">
        <v>#N/A</v>
      </c>
      <c r="G968" s="78" t="e">
        <v>#N/A</v>
      </c>
    </row>
    <row r="969" customFormat="false" ht="15.75" hidden="false" customHeight="false" outlineLevel="0" collapsed="false">
      <c r="A969" s="78" t="e">
        <v>#N/A</v>
      </c>
      <c r="B969" s="120" t="e">
        <v>#N/A</v>
      </c>
      <c r="C969" s="78" t="e">
        <v>#N/A</v>
      </c>
      <c r="D969" s="78" t="e">
        <v>#N/A</v>
      </c>
      <c r="E969" s="120" t="e">
        <v>#N/A</v>
      </c>
      <c r="F969" s="78" t="e">
        <v>#N/A</v>
      </c>
      <c r="G969" s="78" t="e">
        <v>#N/A</v>
      </c>
    </row>
    <row r="970" customFormat="false" ht="15.75" hidden="false" customHeight="false" outlineLevel="0" collapsed="false">
      <c r="A970" s="78" t="e">
        <v>#N/A</v>
      </c>
      <c r="B970" s="120" t="e">
        <v>#N/A</v>
      </c>
      <c r="C970" s="78" t="e">
        <v>#N/A</v>
      </c>
      <c r="D970" s="78" t="e">
        <v>#N/A</v>
      </c>
      <c r="E970" s="120" t="e">
        <v>#N/A</v>
      </c>
      <c r="F970" s="78" t="e">
        <v>#N/A</v>
      </c>
      <c r="G970" s="78" t="e">
        <v>#N/A</v>
      </c>
    </row>
    <row r="971" customFormat="false" ht="15.75" hidden="false" customHeight="false" outlineLevel="0" collapsed="false">
      <c r="A971" s="78" t="e">
        <v>#N/A</v>
      </c>
      <c r="B971" s="120" t="e">
        <v>#N/A</v>
      </c>
      <c r="C971" s="78" t="e">
        <v>#N/A</v>
      </c>
      <c r="D971" s="78" t="e">
        <v>#N/A</v>
      </c>
      <c r="E971" s="120" t="e">
        <v>#N/A</v>
      </c>
      <c r="F971" s="78" t="e">
        <v>#N/A</v>
      </c>
      <c r="G971" s="78" t="e">
        <v>#N/A</v>
      </c>
    </row>
    <row r="972" customFormat="false" ht="15.75" hidden="false" customHeight="false" outlineLevel="0" collapsed="false">
      <c r="A972" s="78" t="e">
        <v>#N/A</v>
      </c>
      <c r="B972" s="120" t="e">
        <v>#N/A</v>
      </c>
      <c r="C972" s="78" t="e">
        <v>#N/A</v>
      </c>
      <c r="D972" s="78" t="e">
        <v>#N/A</v>
      </c>
      <c r="E972" s="120" t="e">
        <v>#N/A</v>
      </c>
      <c r="F972" s="78" t="e">
        <v>#N/A</v>
      </c>
      <c r="G972" s="78" t="e">
        <v>#N/A</v>
      </c>
    </row>
    <row r="973" customFormat="false" ht="15.75" hidden="false" customHeight="false" outlineLevel="0" collapsed="false">
      <c r="A973" s="78" t="e">
        <v>#N/A</v>
      </c>
      <c r="B973" s="120" t="e">
        <v>#N/A</v>
      </c>
      <c r="C973" s="78" t="e">
        <v>#N/A</v>
      </c>
      <c r="D973" s="78" t="e">
        <v>#N/A</v>
      </c>
      <c r="E973" s="120" t="e">
        <v>#N/A</v>
      </c>
      <c r="F973" s="78" t="e">
        <v>#N/A</v>
      </c>
      <c r="G973" s="78" t="e">
        <v>#N/A</v>
      </c>
    </row>
    <row r="974" customFormat="false" ht="15.75" hidden="false" customHeight="false" outlineLevel="0" collapsed="false">
      <c r="A974" s="78" t="e">
        <v>#N/A</v>
      </c>
      <c r="B974" s="120" t="e">
        <v>#N/A</v>
      </c>
      <c r="C974" s="78" t="e">
        <v>#N/A</v>
      </c>
      <c r="D974" s="78" t="e">
        <v>#N/A</v>
      </c>
      <c r="E974" s="120" t="e">
        <v>#N/A</v>
      </c>
      <c r="F974" s="78" t="e">
        <v>#N/A</v>
      </c>
      <c r="G974" s="78" t="e">
        <v>#N/A</v>
      </c>
    </row>
    <row r="975" customFormat="false" ht="15.75" hidden="false" customHeight="false" outlineLevel="0" collapsed="false">
      <c r="A975" s="78" t="e">
        <v>#N/A</v>
      </c>
      <c r="B975" s="120" t="e">
        <v>#N/A</v>
      </c>
      <c r="C975" s="78" t="e">
        <v>#N/A</v>
      </c>
      <c r="D975" s="78" t="e">
        <v>#N/A</v>
      </c>
      <c r="E975" s="120" t="e">
        <v>#N/A</v>
      </c>
      <c r="F975" s="78" t="e">
        <v>#N/A</v>
      </c>
      <c r="G975" s="78" t="e">
        <v>#N/A</v>
      </c>
    </row>
    <row r="976" customFormat="false" ht="15.75" hidden="false" customHeight="false" outlineLevel="0" collapsed="false">
      <c r="A976" s="78" t="e">
        <v>#N/A</v>
      </c>
      <c r="B976" s="120" t="e">
        <v>#N/A</v>
      </c>
      <c r="C976" s="78" t="e">
        <v>#N/A</v>
      </c>
      <c r="D976" s="78" t="e">
        <v>#N/A</v>
      </c>
      <c r="E976" s="120" t="e">
        <v>#N/A</v>
      </c>
      <c r="F976" s="78" t="e">
        <v>#N/A</v>
      </c>
      <c r="G976" s="78" t="e">
        <v>#N/A</v>
      </c>
    </row>
    <row r="977" customFormat="false" ht="15.75" hidden="false" customHeight="false" outlineLevel="0" collapsed="false">
      <c r="A977" s="78" t="e">
        <v>#N/A</v>
      </c>
      <c r="B977" s="120" t="e">
        <v>#N/A</v>
      </c>
      <c r="C977" s="78" t="e">
        <v>#N/A</v>
      </c>
      <c r="D977" s="78" t="e">
        <v>#N/A</v>
      </c>
      <c r="E977" s="120" t="e">
        <v>#N/A</v>
      </c>
      <c r="F977" s="78" t="e">
        <v>#N/A</v>
      </c>
      <c r="G977" s="78" t="e">
        <v>#N/A</v>
      </c>
    </row>
    <row r="978" customFormat="false" ht="15.75" hidden="false" customHeight="false" outlineLevel="0" collapsed="false">
      <c r="A978" s="78" t="e">
        <v>#N/A</v>
      </c>
      <c r="B978" s="120" t="e">
        <v>#N/A</v>
      </c>
      <c r="C978" s="78" t="e">
        <v>#N/A</v>
      </c>
      <c r="D978" s="78" t="e">
        <v>#N/A</v>
      </c>
      <c r="E978" s="120" t="e">
        <v>#N/A</v>
      </c>
      <c r="F978" s="78" t="e">
        <v>#N/A</v>
      </c>
      <c r="G978" s="78" t="e">
        <v>#N/A</v>
      </c>
    </row>
    <row r="979" customFormat="false" ht="15.75" hidden="false" customHeight="false" outlineLevel="0" collapsed="false">
      <c r="A979" s="78" t="e">
        <v>#N/A</v>
      </c>
      <c r="B979" s="120" t="e">
        <v>#N/A</v>
      </c>
      <c r="C979" s="78" t="e">
        <v>#N/A</v>
      </c>
      <c r="D979" s="78" t="e">
        <v>#N/A</v>
      </c>
      <c r="E979" s="120" t="e">
        <v>#N/A</v>
      </c>
      <c r="F979" s="78" t="e">
        <v>#N/A</v>
      </c>
      <c r="G979" s="78" t="e">
        <v>#N/A</v>
      </c>
    </row>
    <row r="980" customFormat="false" ht="15.75" hidden="false" customHeight="false" outlineLevel="0" collapsed="false">
      <c r="A980" s="78" t="e">
        <v>#N/A</v>
      </c>
      <c r="B980" s="120" t="e">
        <v>#N/A</v>
      </c>
      <c r="C980" s="78" t="e">
        <v>#N/A</v>
      </c>
      <c r="D980" s="78" t="e">
        <v>#N/A</v>
      </c>
      <c r="E980" s="120" t="e">
        <v>#N/A</v>
      </c>
      <c r="F980" s="78" t="e">
        <v>#N/A</v>
      </c>
      <c r="G980" s="78" t="e">
        <v>#N/A</v>
      </c>
    </row>
    <row r="981" customFormat="false" ht="15.75" hidden="false" customHeight="false" outlineLevel="0" collapsed="false">
      <c r="A981" s="78" t="e">
        <v>#N/A</v>
      </c>
      <c r="B981" s="120" t="e">
        <v>#N/A</v>
      </c>
      <c r="C981" s="78" t="e">
        <v>#N/A</v>
      </c>
      <c r="D981" s="78" t="e">
        <v>#N/A</v>
      </c>
      <c r="E981" s="120" t="e">
        <v>#N/A</v>
      </c>
      <c r="F981" s="78" t="e">
        <v>#N/A</v>
      </c>
      <c r="G981" s="78" t="e">
        <v>#N/A</v>
      </c>
    </row>
    <row r="982" customFormat="false" ht="15.75" hidden="false" customHeight="false" outlineLevel="0" collapsed="false">
      <c r="A982" s="78" t="e">
        <v>#N/A</v>
      </c>
      <c r="B982" s="120" t="e">
        <v>#N/A</v>
      </c>
      <c r="C982" s="78" t="e">
        <v>#N/A</v>
      </c>
      <c r="D982" s="78" t="e">
        <v>#N/A</v>
      </c>
      <c r="E982" s="120" t="e">
        <v>#N/A</v>
      </c>
      <c r="F982" s="78" t="e">
        <v>#N/A</v>
      </c>
      <c r="G982" s="78" t="e">
        <v>#N/A</v>
      </c>
    </row>
    <row r="983" customFormat="false" ht="15.75" hidden="false" customHeight="false" outlineLevel="0" collapsed="false">
      <c r="A983" s="78" t="e">
        <v>#N/A</v>
      </c>
      <c r="B983" s="120" t="e">
        <v>#N/A</v>
      </c>
      <c r="C983" s="78" t="e">
        <v>#N/A</v>
      </c>
      <c r="D983" s="78" t="e">
        <v>#N/A</v>
      </c>
      <c r="E983" s="120" t="e">
        <v>#N/A</v>
      </c>
      <c r="F983" s="78" t="e">
        <v>#N/A</v>
      </c>
      <c r="G983" s="78" t="e">
        <v>#N/A</v>
      </c>
    </row>
    <row r="984" customFormat="false" ht="15.75" hidden="false" customHeight="false" outlineLevel="0" collapsed="false">
      <c r="A984" s="78" t="e">
        <v>#N/A</v>
      </c>
      <c r="B984" s="120" t="e">
        <v>#N/A</v>
      </c>
      <c r="C984" s="78" t="e">
        <v>#N/A</v>
      </c>
      <c r="D984" s="78" t="e">
        <v>#N/A</v>
      </c>
      <c r="E984" s="120" t="e">
        <v>#N/A</v>
      </c>
      <c r="F984" s="78" t="e">
        <v>#N/A</v>
      </c>
      <c r="G984" s="78" t="e">
        <v>#N/A</v>
      </c>
    </row>
    <row r="985" customFormat="false" ht="15.75" hidden="false" customHeight="false" outlineLevel="0" collapsed="false">
      <c r="A985" s="78" t="e">
        <v>#N/A</v>
      </c>
      <c r="B985" s="120" t="e">
        <v>#N/A</v>
      </c>
      <c r="C985" s="78" t="e">
        <v>#N/A</v>
      </c>
      <c r="D985" s="78" t="e">
        <v>#N/A</v>
      </c>
      <c r="E985" s="120" t="e">
        <v>#N/A</v>
      </c>
      <c r="F985" s="78" t="e">
        <v>#N/A</v>
      </c>
      <c r="G985" s="78" t="e">
        <v>#N/A</v>
      </c>
    </row>
    <row r="986" customFormat="false" ht="15.75" hidden="false" customHeight="false" outlineLevel="0" collapsed="false">
      <c r="A986" s="78" t="e">
        <v>#N/A</v>
      </c>
      <c r="B986" s="120" t="e">
        <v>#N/A</v>
      </c>
      <c r="C986" s="78" t="e">
        <v>#N/A</v>
      </c>
      <c r="D986" s="78" t="e">
        <v>#N/A</v>
      </c>
      <c r="E986" s="120" t="e">
        <v>#N/A</v>
      </c>
      <c r="F986" s="78" t="e">
        <v>#N/A</v>
      </c>
      <c r="G986" s="78" t="e">
        <v>#N/A</v>
      </c>
    </row>
    <row r="987" customFormat="false" ht="15.75" hidden="false" customHeight="false" outlineLevel="0" collapsed="false">
      <c r="A987" s="78" t="e">
        <v>#N/A</v>
      </c>
      <c r="B987" s="120" t="e">
        <v>#N/A</v>
      </c>
      <c r="C987" s="78" t="e">
        <v>#N/A</v>
      </c>
      <c r="D987" s="78" t="e">
        <v>#N/A</v>
      </c>
      <c r="E987" s="120" t="e">
        <v>#N/A</v>
      </c>
      <c r="F987" s="78" t="e">
        <v>#N/A</v>
      </c>
      <c r="G987" s="78" t="e">
        <v>#N/A</v>
      </c>
    </row>
    <row r="988" customFormat="false" ht="15.75" hidden="false" customHeight="false" outlineLevel="0" collapsed="false">
      <c r="A988" s="78" t="e">
        <v>#N/A</v>
      </c>
      <c r="B988" s="120" t="e">
        <v>#N/A</v>
      </c>
      <c r="C988" s="78" t="e">
        <v>#N/A</v>
      </c>
      <c r="D988" s="78" t="e">
        <v>#N/A</v>
      </c>
      <c r="E988" s="120" t="e">
        <v>#N/A</v>
      </c>
      <c r="F988" s="78" t="e">
        <v>#N/A</v>
      </c>
      <c r="G988" s="78" t="e">
        <v>#N/A</v>
      </c>
    </row>
    <row r="989" customFormat="false" ht="15.75" hidden="false" customHeight="false" outlineLevel="0" collapsed="false">
      <c r="A989" s="78" t="e">
        <v>#N/A</v>
      </c>
      <c r="B989" s="120" t="e">
        <v>#N/A</v>
      </c>
      <c r="C989" s="78" t="e">
        <v>#N/A</v>
      </c>
      <c r="D989" s="78" t="e">
        <v>#N/A</v>
      </c>
      <c r="E989" s="120" t="e">
        <v>#N/A</v>
      </c>
      <c r="F989" s="78" t="e">
        <v>#N/A</v>
      </c>
      <c r="G989" s="78" t="e">
        <v>#N/A</v>
      </c>
    </row>
    <row r="990" customFormat="false" ht="15.75" hidden="false" customHeight="false" outlineLevel="0" collapsed="false">
      <c r="A990" s="78" t="e">
        <v>#N/A</v>
      </c>
      <c r="B990" s="120" t="e">
        <v>#N/A</v>
      </c>
      <c r="C990" s="78" t="e">
        <v>#N/A</v>
      </c>
      <c r="D990" s="78" t="e">
        <v>#N/A</v>
      </c>
      <c r="E990" s="120" t="e">
        <v>#N/A</v>
      </c>
      <c r="F990" s="78" t="e">
        <v>#N/A</v>
      </c>
      <c r="G990" s="78" t="e">
        <v>#N/A</v>
      </c>
    </row>
    <row r="991" customFormat="false" ht="15.75" hidden="false" customHeight="false" outlineLevel="0" collapsed="false">
      <c r="A991" s="78" t="e">
        <v>#N/A</v>
      </c>
      <c r="B991" s="120" t="e">
        <v>#N/A</v>
      </c>
      <c r="C991" s="78" t="e">
        <v>#N/A</v>
      </c>
      <c r="D991" s="78" t="e">
        <v>#N/A</v>
      </c>
      <c r="E991" s="120" t="e">
        <v>#N/A</v>
      </c>
      <c r="F991" s="78" t="e">
        <v>#N/A</v>
      </c>
      <c r="G991" s="78" t="e">
        <v>#N/A</v>
      </c>
    </row>
    <row r="992" customFormat="false" ht="15.75" hidden="false" customHeight="false" outlineLevel="0" collapsed="false">
      <c r="A992" s="78" t="e">
        <v>#N/A</v>
      </c>
      <c r="B992" s="120" t="e">
        <v>#N/A</v>
      </c>
      <c r="C992" s="78" t="e">
        <v>#N/A</v>
      </c>
      <c r="D992" s="78" t="e">
        <v>#N/A</v>
      </c>
      <c r="E992" s="120" t="e">
        <v>#N/A</v>
      </c>
      <c r="F992" s="78" t="e">
        <v>#N/A</v>
      </c>
      <c r="G992" s="78" t="e">
        <v>#N/A</v>
      </c>
    </row>
    <row r="993" customFormat="false" ht="15.75" hidden="false" customHeight="false" outlineLevel="0" collapsed="false">
      <c r="A993" s="78" t="e">
        <v>#N/A</v>
      </c>
      <c r="B993" s="120" t="e">
        <v>#N/A</v>
      </c>
      <c r="C993" s="78" t="e">
        <v>#N/A</v>
      </c>
      <c r="D993" s="78" t="e">
        <v>#N/A</v>
      </c>
      <c r="E993" s="120" t="e">
        <v>#N/A</v>
      </c>
      <c r="F993" s="78" t="e">
        <v>#N/A</v>
      </c>
      <c r="G993" s="78" t="e">
        <v>#N/A</v>
      </c>
    </row>
    <row r="994" customFormat="false" ht="15.75" hidden="false" customHeight="false" outlineLevel="0" collapsed="false">
      <c r="A994" s="78" t="e">
        <v>#N/A</v>
      </c>
      <c r="B994" s="120" t="e">
        <v>#N/A</v>
      </c>
      <c r="C994" s="78" t="e">
        <v>#N/A</v>
      </c>
      <c r="D994" s="78" t="e">
        <v>#N/A</v>
      </c>
      <c r="E994" s="120" t="e">
        <v>#N/A</v>
      </c>
      <c r="F994" s="78" t="e">
        <v>#N/A</v>
      </c>
      <c r="G994" s="78" t="e">
        <v>#N/A</v>
      </c>
    </row>
    <row r="995" customFormat="false" ht="15.75" hidden="false" customHeight="false" outlineLevel="0" collapsed="false">
      <c r="A995" s="78" t="e">
        <v>#N/A</v>
      </c>
      <c r="B995" s="120" t="e">
        <v>#N/A</v>
      </c>
      <c r="C995" s="78" t="e">
        <v>#N/A</v>
      </c>
      <c r="D995" s="78" t="e">
        <v>#N/A</v>
      </c>
      <c r="E995" s="120" t="e">
        <v>#N/A</v>
      </c>
      <c r="F995" s="78" t="e">
        <v>#N/A</v>
      </c>
      <c r="G995" s="78" t="e">
        <v>#N/A</v>
      </c>
    </row>
    <row r="996" customFormat="false" ht="15.75" hidden="false" customHeight="false" outlineLevel="0" collapsed="false">
      <c r="A996" s="78" t="e">
        <v>#N/A</v>
      </c>
      <c r="B996" s="120" t="e">
        <v>#N/A</v>
      </c>
      <c r="C996" s="78" t="e">
        <v>#N/A</v>
      </c>
      <c r="D996" s="78" t="e">
        <v>#N/A</v>
      </c>
      <c r="E996" s="120" t="e">
        <v>#N/A</v>
      </c>
      <c r="F996" s="78" t="e">
        <v>#N/A</v>
      </c>
      <c r="G996" s="78" t="e">
        <v>#N/A</v>
      </c>
    </row>
    <row r="997" customFormat="false" ht="15.75" hidden="false" customHeight="false" outlineLevel="0" collapsed="false">
      <c r="A997" s="78" t="e">
        <v>#N/A</v>
      </c>
      <c r="B997" s="120" t="e">
        <v>#N/A</v>
      </c>
      <c r="C997" s="78" t="e">
        <v>#N/A</v>
      </c>
      <c r="D997" s="78" t="e">
        <v>#N/A</v>
      </c>
      <c r="E997" s="120" t="e">
        <v>#N/A</v>
      </c>
      <c r="F997" s="78" t="e">
        <v>#N/A</v>
      </c>
      <c r="G997" s="78" t="e">
        <v>#N/A</v>
      </c>
    </row>
    <row r="998" customFormat="false" ht="15.75" hidden="false" customHeight="false" outlineLevel="0" collapsed="false">
      <c r="A998" s="78" t="e">
        <v>#N/A</v>
      </c>
      <c r="B998" s="120" t="e">
        <v>#N/A</v>
      </c>
      <c r="C998" s="78" t="e">
        <v>#N/A</v>
      </c>
      <c r="D998" s="78" t="e">
        <v>#N/A</v>
      </c>
      <c r="E998" s="120" t="e">
        <v>#N/A</v>
      </c>
      <c r="F998" s="78" t="e">
        <v>#N/A</v>
      </c>
      <c r="G998" s="78" t="e">
        <v>#N/A</v>
      </c>
    </row>
    <row r="999" customFormat="false" ht="15.75" hidden="false" customHeight="false" outlineLevel="0" collapsed="false">
      <c r="A999" s="78" t="e">
        <v>#N/A</v>
      </c>
      <c r="B999" s="120" t="e">
        <v>#N/A</v>
      </c>
      <c r="C999" s="78" t="e">
        <v>#N/A</v>
      </c>
      <c r="D999" s="78" t="e">
        <v>#N/A</v>
      </c>
      <c r="E999" s="120" t="e">
        <v>#N/A</v>
      </c>
      <c r="F999" s="78" t="e">
        <v>#N/A</v>
      </c>
      <c r="G999" s="78" t="e">
        <v>#N/A</v>
      </c>
    </row>
    <row r="1000" customFormat="false" ht="15.75" hidden="false" customHeight="false" outlineLevel="0" collapsed="false">
      <c r="A1000" s="78" t="e">
        <v>#N/A</v>
      </c>
      <c r="B1000" s="120" t="e">
        <v>#N/A</v>
      </c>
      <c r="C1000" s="78" t="e">
        <v>#N/A</v>
      </c>
      <c r="D1000" s="78" t="e">
        <v>#N/A</v>
      </c>
      <c r="E1000" s="120" t="e">
        <v>#N/A</v>
      </c>
      <c r="F1000" s="78" t="e">
        <v>#N/A</v>
      </c>
      <c r="G1000" s="78" t="e">
        <v>#N/A</v>
      </c>
    </row>
    <row r="1001" customFormat="false" ht="15.75" hidden="false" customHeight="false" outlineLevel="0" collapsed="false">
      <c r="A1001" s="78" t="e">
        <v>#N/A</v>
      </c>
      <c r="B1001" s="120" t="e">
        <v>#N/A</v>
      </c>
      <c r="C1001" s="78" t="e">
        <v>#N/A</v>
      </c>
      <c r="D1001" s="78" t="e">
        <v>#N/A</v>
      </c>
      <c r="E1001" s="120" t="e">
        <v>#N/A</v>
      </c>
      <c r="F1001" s="78" t="e">
        <v>#N/A</v>
      </c>
      <c r="G1001" s="78" t="e">
        <v>#N/A</v>
      </c>
    </row>
    <row r="1002" customFormat="false" ht="15.75" hidden="false" customHeight="false" outlineLevel="0" collapsed="false">
      <c r="A1002" s="78" t="e">
        <v>#N/A</v>
      </c>
      <c r="B1002" s="120" t="e">
        <v>#N/A</v>
      </c>
      <c r="C1002" s="78" t="e">
        <v>#N/A</v>
      </c>
      <c r="D1002" s="78" t="e">
        <v>#N/A</v>
      </c>
      <c r="E1002" s="120" t="e">
        <v>#N/A</v>
      </c>
      <c r="F1002" s="78" t="e">
        <v>#N/A</v>
      </c>
      <c r="G1002" s="78" t="e">
        <v>#N/A</v>
      </c>
    </row>
    <row r="1003" customFormat="false" ht="15.75" hidden="false" customHeight="false" outlineLevel="0" collapsed="false">
      <c r="A1003" s="78" t="e">
        <v>#N/A</v>
      </c>
      <c r="B1003" s="120" t="e">
        <v>#N/A</v>
      </c>
      <c r="C1003" s="78" t="e">
        <v>#N/A</v>
      </c>
      <c r="D1003" s="78" t="e">
        <v>#N/A</v>
      </c>
      <c r="E1003" s="120" t="e">
        <v>#N/A</v>
      </c>
      <c r="F1003" s="78" t="e">
        <v>#N/A</v>
      </c>
      <c r="G1003" s="78" t="e">
        <v>#N/A</v>
      </c>
    </row>
    <row r="1004" customFormat="false" ht="15.75" hidden="false" customHeight="false" outlineLevel="0" collapsed="false">
      <c r="A1004" s="78" t="e">
        <v>#N/A</v>
      </c>
      <c r="B1004" s="120" t="e">
        <v>#N/A</v>
      </c>
      <c r="C1004" s="78" t="e">
        <v>#N/A</v>
      </c>
      <c r="D1004" s="78" t="e">
        <v>#N/A</v>
      </c>
      <c r="E1004" s="120" t="e">
        <v>#N/A</v>
      </c>
      <c r="F1004" s="78" t="e">
        <v>#N/A</v>
      </c>
      <c r="G1004" s="78" t="e">
        <v>#N/A</v>
      </c>
    </row>
    <row r="1005" customFormat="false" ht="15.75" hidden="false" customHeight="false" outlineLevel="0" collapsed="false">
      <c r="A1005" s="78" t="e">
        <v>#N/A</v>
      </c>
      <c r="B1005" s="120" t="e">
        <v>#N/A</v>
      </c>
      <c r="C1005" s="78" t="e">
        <v>#N/A</v>
      </c>
      <c r="D1005" s="78" t="e">
        <v>#N/A</v>
      </c>
      <c r="E1005" s="120" t="e">
        <v>#N/A</v>
      </c>
      <c r="F1005" s="78" t="e">
        <v>#N/A</v>
      </c>
      <c r="G1005" s="78" t="e">
        <v>#N/A</v>
      </c>
    </row>
    <row r="1006" customFormat="false" ht="15.75" hidden="false" customHeight="false" outlineLevel="0" collapsed="false">
      <c r="A1006" s="78" t="e">
        <v>#N/A</v>
      </c>
      <c r="B1006" s="120" t="e">
        <v>#N/A</v>
      </c>
      <c r="C1006" s="78" t="e">
        <v>#N/A</v>
      </c>
      <c r="D1006" s="78" t="e">
        <v>#N/A</v>
      </c>
      <c r="E1006" s="120" t="e">
        <v>#N/A</v>
      </c>
      <c r="F1006" s="78" t="e">
        <v>#N/A</v>
      </c>
      <c r="G1006" s="78" t="e">
        <v>#N/A</v>
      </c>
    </row>
    <row r="1007" customFormat="false" ht="15.75" hidden="false" customHeight="false" outlineLevel="0" collapsed="false">
      <c r="A1007" s="78" t="e">
        <v>#N/A</v>
      </c>
      <c r="B1007" s="120" t="e">
        <v>#N/A</v>
      </c>
      <c r="C1007" s="78" t="e">
        <v>#N/A</v>
      </c>
      <c r="D1007" s="78" t="e">
        <v>#N/A</v>
      </c>
      <c r="E1007" s="120" t="e">
        <v>#N/A</v>
      </c>
      <c r="F1007" s="78" t="e">
        <v>#N/A</v>
      </c>
      <c r="G1007" s="78" t="e">
        <v>#N/A</v>
      </c>
    </row>
    <row r="1008" customFormat="false" ht="15.75" hidden="false" customHeight="false" outlineLevel="0" collapsed="false">
      <c r="A1008" s="78" t="e">
        <v>#N/A</v>
      </c>
      <c r="B1008" s="120" t="e">
        <v>#N/A</v>
      </c>
      <c r="C1008" s="78" t="e">
        <v>#N/A</v>
      </c>
      <c r="D1008" s="78" t="e">
        <v>#N/A</v>
      </c>
      <c r="E1008" s="120" t="e">
        <v>#N/A</v>
      </c>
      <c r="F1008" s="78" t="e">
        <v>#N/A</v>
      </c>
      <c r="G1008" s="78" t="e">
        <v>#N/A</v>
      </c>
    </row>
    <row r="1009" customFormat="false" ht="15.75" hidden="false" customHeight="false" outlineLevel="0" collapsed="false">
      <c r="A1009" s="78" t="e">
        <v>#N/A</v>
      </c>
      <c r="B1009" s="120" t="e">
        <v>#N/A</v>
      </c>
      <c r="C1009" s="78" t="e">
        <v>#N/A</v>
      </c>
      <c r="D1009" s="78" t="e">
        <v>#N/A</v>
      </c>
      <c r="E1009" s="120" t="e">
        <v>#N/A</v>
      </c>
      <c r="F1009" s="78" t="e">
        <v>#N/A</v>
      </c>
      <c r="G1009" s="78" t="e">
        <v>#N/A</v>
      </c>
    </row>
    <row r="1010" customFormat="false" ht="15.75" hidden="false" customHeight="false" outlineLevel="0" collapsed="false">
      <c r="A1010" s="78" t="e">
        <v>#N/A</v>
      </c>
      <c r="B1010" s="120" t="e">
        <v>#N/A</v>
      </c>
      <c r="C1010" s="78" t="e">
        <v>#N/A</v>
      </c>
      <c r="D1010" s="78" t="e">
        <v>#N/A</v>
      </c>
      <c r="E1010" s="120" t="e">
        <v>#N/A</v>
      </c>
      <c r="F1010" s="78" t="e">
        <v>#N/A</v>
      </c>
      <c r="G1010" s="78" t="e">
        <v>#N/A</v>
      </c>
    </row>
    <row r="1011" customFormat="false" ht="15.75" hidden="false" customHeight="false" outlineLevel="0" collapsed="false">
      <c r="A1011" s="78" t="e">
        <v>#N/A</v>
      </c>
      <c r="B1011" s="120" t="e">
        <v>#N/A</v>
      </c>
      <c r="C1011" s="78" t="e">
        <v>#N/A</v>
      </c>
      <c r="D1011" s="78" t="e">
        <v>#N/A</v>
      </c>
      <c r="E1011" s="120" t="e">
        <v>#N/A</v>
      </c>
      <c r="F1011" s="78" t="e">
        <v>#N/A</v>
      </c>
      <c r="G1011" s="78" t="e">
        <v>#N/A</v>
      </c>
    </row>
    <row r="1012" customFormat="false" ht="15.75" hidden="false" customHeight="false" outlineLevel="0" collapsed="false">
      <c r="A1012" s="78" t="e">
        <v>#N/A</v>
      </c>
      <c r="B1012" s="120" t="e">
        <v>#N/A</v>
      </c>
      <c r="C1012" s="78" t="e">
        <v>#N/A</v>
      </c>
      <c r="D1012" s="78" t="e">
        <v>#N/A</v>
      </c>
      <c r="E1012" s="120" t="e">
        <v>#N/A</v>
      </c>
      <c r="F1012" s="78" t="e">
        <v>#N/A</v>
      </c>
      <c r="G1012" s="78" t="e">
        <v>#N/A</v>
      </c>
    </row>
    <row r="1013" customFormat="false" ht="15.75" hidden="false" customHeight="false" outlineLevel="0" collapsed="false">
      <c r="A1013" s="78" t="e">
        <v>#N/A</v>
      </c>
      <c r="B1013" s="120" t="e">
        <v>#N/A</v>
      </c>
      <c r="C1013" s="78" t="e">
        <v>#N/A</v>
      </c>
      <c r="D1013" s="78" t="e">
        <v>#N/A</v>
      </c>
      <c r="E1013" s="120" t="e">
        <v>#N/A</v>
      </c>
      <c r="F1013" s="78" t="e">
        <v>#N/A</v>
      </c>
      <c r="G1013" s="78" t="e">
        <v>#N/A</v>
      </c>
    </row>
    <row r="1014" customFormat="false" ht="15.75" hidden="false" customHeight="false" outlineLevel="0" collapsed="false">
      <c r="A1014" s="78" t="e">
        <v>#N/A</v>
      </c>
      <c r="B1014" s="120" t="e">
        <v>#N/A</v>
      </c>
      <c r="C1014" s="78" t="e">
        <v>#N/A</v>
      </c>
      <c r="D1014" s="78" t="e">
        <v>#N/A</v>
      </c>
      <c r="E1014" s="120" t="e">
        <v>#N/A</v>
      </c>
      <c r="F1014" s="78" t="e">
        <v>#N/A</v>
      </c>
      <c r="G1014" s="78" t="e">
        <v>#N/A</v>
      </c>
    </row>
    <row r="1015" customFormat="false" ht="15.75" hidden="false" customHeight="false" outlineLevel="0" collapsed="false">
      <c r="A1015" s="78" t="e">
        <v>#N/A</v>
      </c>
      <c r="B1015" s="120" t="e">
        <v>#N/A</v>
      </c>
      <c r="C1015" s="78" t="e">
        <v>#N/A</v>
      </c>
      <c r="D1015" s="78" t="e">
        <v>#N/A</v>
      </c>
      <c r="E1015" s="120" t="e">
        <v>#N/A</v>
      </c>
      <c r="F1015" s="78" t="e">
        <v>#N/A</v>
      </c>
      <c r="G1015" s="78" t="e">
        <v>#N/A</v>
      </c>
    </row>
    <row r="1016" customFormat="false" ht="15.75" hidden="false" customHeight="false" outlineLevel="0" collapsed="false">
      <c r="A1016" s="78" t="e">
        <v>#N/A</v>
      </c>
      <c r="B1016" s="120" t="e">
        <v>#N/A</v>
      </c>
      <c r="C1016" s="78" t="e">
        <v>#N/A</v>
      </c>
      <c r="D1016" s="78" t="e">
        <v>#N/A</v>
      </c>
      <c r="E1016" s="120" t="e">
        <v>#N/A</v>
      </c>
      <c r="F1016" s="78" t="e">
        <v>#N/A</v>
      </c>
      <c r="G1016" s="78" t="e">
        <v>#N/A</v>
      </c>
    </row>
    <row r="1017" customFormat="false" ht="15.75" hidden="false" customHeight="false" outlineLevel="0" collapsed="false">
      <c r="A1017" s="78" t="e">
        <v>#N/A</v>
      </c>
      <c r="B1017" s="120" t="e">
        <v>#N/A</v>
      </c>
      <c r="C1017" s="78" t="e">
        <v>#N/A</v>
      </c>
      <c r="D1017" s="78" t="e">
        <v>#N/A</v>
      </c>
      <c r="E1017" s="120" t="e">
        <v>#N/A</v>
      </c>
      <c r="F1017" s="78" t="e">
        <v>#N/A</v>
      </c>
      <c r="G1017" s="78" t="e">
        <v>#N/A</v>
      </c>
    </row>
    <row r="1018" customFormat="false" ht="15.75" hidden="false" customHeight="false" outlineLevel="0" collapsed="false">
      <c r="A1018" s="78" t="e">
        <v>#N/A</v>
      </c>
      <c r="B1018" s="120" t="e">
        <v>#N/A</v>
      </c>
      <c r="C1018" s="78" t="e">
        <v>#N/A</v>
      </c>
      <c r="D1018" s="78" t="e">
        <v>#N/A</v>
      </c>
      <c r="E1018" s="120" t="e">
        <v>#N/A</v>
      </c>
      <c r="F1018" s="78" t="e">
        <v>#N/A</v>
      </c>
      <c r="G1018" s="78" t="e">
        <v>#N/A</v>
      </c>
    </row>
    <row r="1019" customFormat="false" ht="15.75" hidden="false" customHeight="false" outlineLevel="0" collapsed="false">
      <c r="A1019" s="78" t="e">
        <v>#N/A</v>
      </c>
      <c r="B1019" s="120" t="e">
        <v>#N/A</v>
      </c>
      <c r="C1019" s="78" t="e">
        <v>#N/A</v>
      </c>
      <c r="D1019" s="78" t="e">
        <v>#N/A</v>
      </c>
      <c r="E1019" s="120" t="e">
        <v>#N/A</v>
      </c>
      <c r="F1019" s="78" t="e">
        <v>#N/A</v>
      </c>
      <c r="G1019" s="78" t="e">
        <v>#N/A</v>
      </c>
    </row>
    <row r="1020" customFormat="false" ht="15.75" hidden="false" customHeight="false" outlineLevel="0" collapsed="false">
      <c r="A1020" s="78" t="e">
        <v>#N/A</v>
      </c>
      <c r="B1020" s="120" t="e">
        <v>#N/A</v>
      </c>
      <c r="C1020" s="78" t="e">
        <v>#N/A</v>
      </c>
      <c r="D1020" s="78" t="e">
        <v>#N/A</v>
      </c>
      <c r="E1020" s="120" t="e">
        <v>#N/A</v>
      </c>
      <c r="F1020" s="78" t="e">
        <v>#N/A</v>
      </c>
      <c r="G1020" s="78" t="e">
        <v>#N/A</v>
      </c>
    </row>
    <row r="1021" customFormat="false" ht="15.75" hidden="false" customHeight="false" outlineLevel="0" collapsed="false">
      <c r="A1021" s="78" t="e">
        <v>#N/A</v>
      </c>
      <c r="B1021" s="120" t="e">
        <v>#N/A</v>
      </c>
      <c r="C1021" s="78" t="e">
        <v>#N/A</v>
      </c>
      <c r="D1021" s="78" t="e">
        <v>#N/A</v>
      </c>
      <c r="E1021" s="120" t="e">
        <v>#N/A</v>
      </c>
      <c r="F1021" s="78" t="e">
        <v>#N/A</v>
      </c>
      <c r="G1021" s="78" t="e">
        <v>#N/A</v>
      </c>
    </row>
    <row r="1022" customFormat="false" ht="15.75" hidden="false" customHeight="false" outlineLevel="0" collapsed="false">
      <c r="A1022" s="78" t="e">
        <v>#N/A</v>
      </c>
      <c r="B1022" s="120" t="e">
        <v>#N/A</v>
      </c>
      <c r="C1022" s="78" t="e">
        <v>#N/A</v>
      </c>
      <c r="D1022" s="78" t="e">
        <v>#N/A</v>
      </c>
      <c r="E1022" s="120" t="e">
        <v>#N/A</v>
      </c>
      <c r="F1022" s="78" t="e">
        <v>#N/A</v>
      </c>
      <c r="G1022" s="78" t="e">
        <v>#N/A</v>
      </c>
    </row>
    <row r="1023" customFormat="false" ht="15.75" hidden="false" customHeight="false" outlineLevel="0" collapsed="false">
      <c r="A1023" s="78" t="e">
        <v>#N/A</v>
      </c>
      <c r="B1023" s="120" t="e">
        <v>#N/A</v>
      </c>
      <c r="C1023" s="78" t="e">
        <v>#N/A</v>
      </c>
      <c r="D1023" s="78" t="e">
        <v>#N/A</v>
      </c>
      <c r="E1023" s="120" t="e">
        <v>#N/A</v>
      </c>
      <c r="F1023" s="78" t="e">
        <v>#N/A</v>
      </c>
      <c r="G1023" s="78" t="e">
        <v>#N/A</v>
      </c>
    </row>
    <row r="1024" customFormat="false" ht="15.75" hidden="false" customHeight="false" outlineLevel="0" collapsed="false">
      <c r="A1024" s="78" t="e">
        <v>#N/A</v>
      </c>
      <c r="B1024" s="120" t="e">
        <v>#N/A</v>
      </c>
      <c r="C1024" s="78" t="e">
        <v>#N/A</v>
      </c>
      <c r="D1024" s="78" t="e">
        <v>#N/A</v>
      </c>
      <c r="E1024" s="120" t="e">
        <v>#N/A</v>
      </c>
      <c r="F1024" s="78" t="e">
        <v>#N/A</v>
      </c>
      <c r="G1024" s="78" t="e">
        <v>#N/A</v>
      </c>
    </row>
    <row r="1025" customFormat="false" ht="15.75" hidden="false" customHeight="false" outlineLevel="0" collapsed="false">
      <c r="A1025" s="78" t="e">
        <v>#N/A</v>
      </c>
      <c r="B1025" s="120" t="e">
        <v>#N/A</v>
      </c>
      <c r="C1025" s="78" t="e">
        <v>#N/A</v>
      </c>
      <c r="D1025" s="78" t="e">
        <v>#N/A</v>
      </c>
      <c r="E1025" s="120" t="e">
        <v>#N/A</v>
      </c>
      <c r="F1025" s="78" t="e">
        <v>#N/A</v>
      </c>
      <c r="G1025" s="78" t="e">
        <v>#N/A</v>
      </c>
    </row>
    <row r="1026" customFormat="false" ht="15.75" hidden="false" customHeight="false" outlineLevel="0" collapsed="false">
      <c r="A1026" s="78" t="e">
        <v>#N/A</v>
      </c>
      <c r="B1026" s="120" t="e">
        <v>#N/A</v>
      </c>
      <c r="C1026" s="78" t="e">
        <v>#N/A</v>
      </c>
      <c r="D1026" s="78" t="e">
        <v>#N/A</v>
      </c>
      <c r="E1026" s="120" t="e">
        <v>#N/A</v>
      </c>
      <c r="F1026" s="78" t="e">
        <v>#N/A</v>
      </c>
      <c r="G1026" s="78" t="e">
        <v>#N/A</v>
      </c>
    </row>
    <row r="1027" customFormat="false" ht="15.75" hidden="false" customHeight="false" outlineLevel="0" collapsed="false">
      <c r="A1027" s="78" t="e">
        <v>#N/A</v>
      </c>
      <c r="B1027" s="120" t="e">
        <v>#N/A</v>
      </c>
      <c r="C1027" s="78" t="e">
        <v>#N/A</v>
      </c>
      <c r="D1027" s="78" t="e">
        <v>#N/A</v>
      </c>
      <c r="E1027" s="120" t="e">
        <v>#N/A</v>
      </c>
      <c r="F1027" s="78" t="e">
        <v>#N/A</v>
      </c>
      <c r="G1027" s="78" t="e">
        <v>#N/A</v>
      </c>
    </row>
    <row r="1028" customFormat="false" ht="15.75" hidden="false" customHeight="false" outlineLevel="0" collapsed="false">
      <c r="A1028" s="78" t="e">
        <v>#N/A</v>
      </c>
      <c r="B1028" s="120" t="e">
        <v>#N/A</v>
      </c>
      <c r="C1028" s="78" t="e">
        <v>#N/A</v>
      </c>
      <c r="D1028" s="78" t="e">
        <v>#N/A</v>
      </c>
      <c r="E1028" s="120" t="e">
        <v>#N/A</v>
      </c>
      <c r="F1028" s="78" t="e">
        <v>#N/A</v>
      </c>
      <c r="G1028" s="78" t="e">
        <v>#N/A</v>
      </c>
    </row>
    <row r="1029" customFormat="false" ht="15.75" hidden="false" customHeight="false" outlineLevel="0" collapsed="false">
      <c r="A1029" s="78" t="e">
        <v>#N/A</v>
      </c>
      <c r="B1029" s="120" t="e">
        <v>#N/A</v>
      </c>
      <c r="C1029" s="78" t="e">
        <v>#N/A</v>
      </c>
      <c r="D1029" s="78" t="e">
        <v>#N/A</v>
      </c>
      <c r="E1029" s="120" t="e">
        <v>#N/A</v>
      </c>
      <c r="F1029" s="78" t="e">
        <v>#N/A</v>
      </c>
      <c r="G1029" s="78" t="e">
        <v>#N/A</v>
      </c>
    </row>
    <row r="1030" customFormat="false" ht="15.75" hidden="false" customHeight="false" outlineLevel="0" collapsed="false">
      <c r="A1030" s="78" t="e">
        <v>#N/A</v>
      </c>
      <c r="B1030" s="120" t="e">
        <v>#N/A</v>
      </c>
      <c r="C1030" s="78" t="e">
        <v>#N/A</v>
      </c>
      <c r="D1030" s="78" t="e">
        <v>#N/A</v>
      </c>
      <c r="E1030" s="120" t="e">
        <v>#N/A</v>
      </c>
      <c r="F1030" s="78" t="e">
        <v>#N/A</v>
      </c>
      <c r="G1030" s="78" t="e">
        <v>#N/A</v>
      </c>
    </row>
    <row r="1031" customFormat="false" ht="15.75" hidden="false" customHeight="false" outlineLevel="0" collapsed="false">
      <c r="A1031" s="78" t="e">
        <v>#N/A</v>
      </c>
      <c r="B1031" s="120" t="e">
        <v>#N/A</v>
      </c>
      <c r="C1031" s="78" t="e">
        <v>#N/A</v>
      </c>
      <c r="D1031" s="78" t="e">
        <v>#N/A</v>
      </c>
      <c r="E1031" s="120" t="e">
        <v>#N/A</v>
      </c>
      <c r="F1031" s="78" t="e">
        <v>#N/A</v>
      </c>
      <c r="G1031" s="78" t="e">
        <v>#N/A</v>
      </c>
    </row>
    <row r="1032" customFormat="false" ht="15.75" hidden="false" customHeight="false" outlineLevel="0" collapsed="false">
      <c r="A1032" s="78" t="e">
        <v>#N/A</v>
      </c>
      <c r="B1032" s="120" t="e">
        <v>#N/A</v>
      </c>
      <c r="C1032" s="78" t="e">
        <v>#N/A</v>
      </c>
      <c r="D1032" s="78" t="e">
        <v>#N/A</v>
      </c>
      <c r="E1032" s="120" t="e">
        <v>#N/A</v>
      </c>
      <c r="F1032" s="78" t="e">
        <v>#N/A</v>
      </c>
      <c r="G1032" s="78" t="e">
        <v>#N/A</v>
      </c>
    </row>
    <row r="1033" customFormat="false" ht="15.75" hidden="false" customHeight="false" outlineLevel="0" collapsed="false">
      <c r="A1033" s="78" t="e">
        <v>#N/A</v>
      </c>
      <c r="B1033" s="120" t="e">
        <v>#N/A</v>
      </c>
      <c r="C1033" s="78" t="e">
        <v>#N/A</v>
      </c>
      <c r="D1033" s="78" t="e">
        <v>#N/A</v>
      </c>
      <c r="E1033" s="120" t="e">
        <v>#N/A</v>
      </c>
      <c r="F1033" s="78" t="e">
        <v>#N/A</v>
      </c>
      <c r="G1033" s="78" t="e">
        <v>#N/A</v>
      </c>
    </row>
    <row r="1034" customFormat="false" ht="15.75" hidden="false" customHeight="false" outlineLevel="0" collapsed="false">
      <c r="A1034" s="78" t="e">
        <v>#N/A</v>
      </c>
      <c r="B1034" s="120" t="e">
        <v>#N/A</v>
      </c>
      <c r="C1034" s="78" t="e">
        <v>#N/A</v>
      </c>
      <c r="D1034" s="78" t="e">
        <v>#N/A</v>
      </c>
      <c r="E1034" s="120" t="e">
        <v>#N/A</v>
      </c>
      <c r="F1034" s="78" t="e">
        <v>#N/A</v>
      </c>
      <c r="G1034" s="78" t="e">
        <v>#N/A</v>
      </c>
    </row>
    <row r="1035" customFormat="false" ht="15.75" hidden="false" customHeight="false" outlineLevel="0" collapsed="false">
      <c r="A1035" s="78" t="e">
        <v>#N/A</v>
      </c>
      <c r="B1035" s="120" t="e">
        <v>#N/A</v>
      </c>
      <c r="C1035" s="78" t="e">
        <v>#N/A</v>
      </c>
      <c r="D1035" s="78" t="e">
        <v>#N/A</v>
      </c>
      <c r="E1035" s="120" t="e">
        <v>#N/A</v>
      </c>
      <c r="F1035" s="78" t="e">
        <v>#N/A</v>
      </c>
      <c r="G1035" s="78" t="e">
        <v>#N/A</v>
      </c>
    </row>
    <row r="1036" customFormat="false" ht="15.75" hidden="false" customHeight="false" outlineLevel="0" collapsed="false">
      <c r="A1036" s="78" t="e">
        <v>#N/A</v>
      </c>
      <c r="B1036" s="120" t="e">
        <v>#N/A</v>
      </c>
      <c r="C1036" s="78" t="e">
        <v>#N/A</v>
      </c>
      <c r="D1036" s="78" t="e">
        <v>#N/A</v>
      </c>
      <c r="E1036" s="120" t="e">
        <v>#N/A</v>
      </c>
      <c r="F1036" s="78" t="e">
        <v>#N/A</v>
      </c>
      <c r="G1036" s="78" t="e">
        <v>#N/A</v>
      </c>
    </row>
    <row r="1037" customFormat="false" ht="15.75" hidden="false" customHeight="false" outlineLevel="0" collapsed="false">
      <c r="A1037" s="78" t="e">
        <v>#N/A</v>
      </c>
      <c r="B1037" s="120" t="e">
        <v>#N/A</v>
      </c>
      <c r="C1037" s="78" t="e">
        <v>#N/A</v>
      </c>
      <c r="D1037" s="78" t="e">
        <v>#N/A</v>
      </c>
      <c r="E1037" s="120" t="e">
        <v>#N/A</v>
      </c>
      <c r="F1037" s="78" t="e">
        <v>#N/A</v>
      </c>
      <c r="G1037" s="78" t="e">
        <v>#N/A</v>
      </c>
    </row>
    <row r="1038" customFormat="false" ht="15.75" hidden="false" customHeight="false" outlineLevel="0" collapsed="false">
      <c r="A1038" s="78" t="e">
        <v>#N/A</v>
      </c>
      <c r="B1038" s="120" t="e">
        <v>#N/A</v>
      </c>
      <c r="C1038" s="78" t="e">
        <v>#N/A</v>
      </c>
      <c r="D1038" s="78" t="e">
        <v>#N/A</v>
      </c>
      <c r="E1038" s="120" t="e">
        <v>#N/A</v>
      </c>
      <c r="F1038" s="78" t="e">
        <v>#N/A</v>
      </c>
      <c r="G1038" s="78" t="e">
        <v>#N/A</v>
      </c>
    </row>
    <row r="1039" customFormat="false" ht="15.75" hidden="false" customHeight="false" outlineLevel="0" collapsed="false">
      <c r="A1039" s="78" t="e">
        <v>#N/A</v>
      </c>
      <c r="B1039" s="120" t="e">
        <v>#N/A</v>
      </c>
      <c r="C1039" s="78" t="e">
        <v>#N/A</v>
      </c>
      <c r="D1039" s="78" t="e">
        <v>#N/A</v>
      </c>
      <c r="E1039" s="120" t="e">
        <v>#N/A</v>
      </c>
      <c r="F1039" s="78" t="e">
        <v>#N/A</v>
      </c>
      <c r="G1039" s="78" t="e">
        <v>#N/A</v>
      </c>
    </row>
    <row r="1040" customFormat="false" ht="15.75" hidden="false" customHeight="false" outlineLevel="0" collapsed="false">
      <c r="A1040" s="78" t="e">
        <v>#N/A</v>
      </c>
      <c r="B1040" s="120" t="e">
        <v>#N/A</v>
      </c>
      <c r="C1040" s="78" t="e">
        <v>#N/A</v>
      </c>
      <c r="D1040" s="78" t="e">
        <v>#N/A</v>
      </c>
      <c r="E1040" s="120" t="e">
        <v>#N/A</v>
      </c>
      <c r="F1040" s="78" t="e">
        <v>#N/A</v>
      </c>
      <c r="G1040" s="78" t="e">
        <v>#N/A</v>
      </c>
    </row>
    <row r="1041" customFormat="false" ht="15.75" hidden="false" customHeight="false" outlineLevel="0" collapsed="false">
      <c r="A1041" s="78" t="e">
        <v>#N/A</v>
      </c>
      <c r="B1041" s="120" t="e">
        <v>#N/A</v>
      </c>
      <c r="C1041" s="78" t="e">
        <v>#N/A</v>
      </c>
      <c r="D1041" s="78" t="e">
        <v>#N/A</v>
      </c>
      <c r="E1041" s="120" t="e">
        <v>#N/A</v>
      </c>
      <c r="F1041" s="78" t="e">
        <v>#N/A</v>
      </c>
      <c r="G1041" s="78" t="e">
        <v>#N/A</v>
      </c>
    </row>
    <row r="1042" customFormat="false" ht="15.75" hidden="false" customHeight="false" outlineLevel="0" collapsed="false">
      <c r="A1042" s="78" t="e">
        <v>#N/A</v>
      </c>
      <c r="B1042" s="120" t="e">
        <v>#N/A</v>
      </c>
      <c r="C1042" s="78" t="e">
        <v>#N/A</v>
      </c>
      <c r="D1042" s="78" t="e">
        <v>#N/A</v>
      </c>
      <c r="E1042" s="120" t="e">
        <v>#N/A</v>
      </c>
      <c r="F1042" s="78" t="e">
        <v>#N/A</v>
      </c>
      <c r="G1042" s="78" t="e">
        <v>#N/A</v>
      </c>
    </row>
    <row r="1043" customFormat="false" ht="15.75" hidden="false" customHeight="false" outlineLevel="0" collapsed="false">
      <c r="A1043" s="78" t="e">
        <v>#N/A</v>
      </c>
      <c r="B1043" s="120" t="e">
        <v>#N/A</v>
      </c>
      <c r="C1043" s="78" t="e">
        <v>#N/A</v>
      </c>
      <c r="D1043" s="78" t="e">
        <v>#N/A</v>
      </c>
      <c r="E1043" s="120" t="e">
        <v>#N/A</v>
      </c>
      <c r="F1043" s="78" t="e">
        <v>#N/A</v>
      </c>
      <c r="G1043" s="78" t="e">
        <v>#N/A</v>
      </c>
    </row>
    <row r="1044" customFormat="false" ht="15.75" hidden="false" customHeight="false" outlineLevel="0" collapsed="false">
      <c r="A1044" s="78" t="e">
        <v>#N/A</v>
      </c>
      <c r="B1044" s="120" t="e">
        <v>#N/A</v>
      </c>
      <c r="C1044" s="78" t="e">
        <v>#N/A</v>
      </c>
      <c r="D1044" s="78" t="e">
        <v>#N/A</v>
      </c>
      <c r="E1044" s="120" t="e">
        <v>#N/A</v>
      </c>
      <c r="F1044" s="78" t="e">
        <v>#N/A</v>
      </c>
      <c r="G1044" s="78" t="e">
        <v>#N/A</v>
      </c>
    </row>
    <row r="1045" customFormat="false" ht="15.75" hidden="false" customHeight="false" outlineLevel="0" collapsed="false">
      <c r="A1045" s="78" t="e">
        <v>#N/A</v>
      </c>
      <c r="B1045" s="120" t="e">
        <v>#N/A</v>
      </c>
      <c r="C1045" s="78" t="e">
        <v>#N/A</v>
      </c>
      <c r="D1045" s="78" t="e">
        <v>#N/A</v>
      </c>
      <c r="E1045" s="120" t="e">
        <v>#N/A</v>
      </c>
      <c r="F1045" s="78" t="e">
        <v>#N/A</v>
      </c>
      <c r="G1045" s="78" t="e">
        <v>#N/A</v>
      </c>
    </row>
    <row r="1046" customFormat="false" ht="15.75" hidden="false" customHeight="false" outlineLevel="0" collapsed="false">
      <c r="A1046" s="78" t="e">
        <v>#N/A</v>
      </c>
      <c r="B1046" s="120" t="e">
        <v>#N/A</v>
      </c>
      <c r="C1046" s="78" t="e">
        <v>#N/A</v>
      </c>
      <c r="D1046" s="78" t="e">
        <v>#N/A</v>
      </c>
      <c r="E1046" s="120" t="e">
        <v>#N/A</v>
      </c>
      <c r="F1046" s="78" t="e">
        <v>#N/A</v>
      </c>
      <c r="G1046" s="78" t="e">
        <v>#N/A</v>
      </c>
    </row>
    <row r="1047" customFormat="false" ht="15.75" hidden="false" customHeight="false" outlineLevel="0" collapsed="false">
      <c r="A1047" s="78" t="e">
        <v>#N/A</v>
      </c>
      <c r="B1047" s="120" t="e">
        <v>#N/A</v>
      </c>
      <c r="C1047" s="78" t="e">
        <v>#N/A</v>
      </c>
      <c r="D1047" s="78" t="e">
        <v>#N/A</v>
      </c>
      <c r="E1047" s="120" t="e">
        <v>#N/A</v>
      </c>
      <c r="F1047" s="78" t="e">
        <v>#N/A</v>
      </c>
      <c r="G1047" s="78" t="e">
        <v>#N/A</v>
      </c>
    </row>
    <row r="1048" customFormat="false" ht="15.75" hidden="false" customHeight="false" outlineLevel="0" collapsed="false">
      <c r="A1048" s="78" t="e">
        <v>#N/A</v>
      </c>
      <c r="B1048" s="120" t="e">
        <v>#N/A</v>
      </c>
      <c r="C1048" s="78" t="e">
        <v>#N/A</v>
      </c>
      <c r="D1048" s="78" t="e">
        <v>#N/A</v>
      </c>
      <c r="E1048" s="120" t="e">
        <v>#N/A</v>
      </c>
      <c r="F1048" s="78" t="e">
        <v>#N/A</v>
      </c>
      <c r="G1048" s="78" t="e">
        <v>#N/A</v>
      </c>
    </row>
    <row r="1049" customFormat="false" ht="15.75" hidden="false" customHeight="false" outlineLevel="0" collapsed="false">
      <c r="A1049" s="78" t="e">
        <v>#N/A</v>
      </c>
      <c r="B1049" s="120" t="e">
        <v>#N/A</v>
      </c>
      <c r="C1049" s="78" t="e">
        <v>#N/A</v>
      </c>
      <c r="D1049" s="78" t="e">
        <v>#N/A</v>
      </c>
      <c r="E1049" s="120" t="e">
        <v>#N/A</v>
      </c>
      <c r="F1049" s="78" t="e">
        <v>#N/A</v>
      </c>
      <c r="G1049" s="78" t="e">
        <v>#N/A</v>
      </c>
    </row>
    <row r="1050" customFormat="false" ht="15.75" hidden="false" customHeight="false" outlineLevel="0" collapsed="false">
      <c r="A1050" s="78" t="e">
        <v>#N/A</v>
      </c>
      <c r="B1050" s="120" t="e">
        <v>#N/A</v>
      </c>
      <c r="C1050" s="78" t="e">
        <v>#N/A</v>
      </c>
      <c r="D1050" s="78" t="e">
        <v>#N/A</v>
      </c>
      <c r="E1050" s="120" t="e">
        <v>#N/A</v>
      </c>
      <c r="F1050" s="78" t="e">
        <v>#N/A</v>
      </c>
      <c r="G1050" s="78" t="e">
        <v>#N/A</v>
      </c>
    </row>
    <row r="1051" customFormat="false" ht="15.75" hidden="false" customHeight="false" outlineLevel="0" collapsed="false">
      <c r="A1051" s="78" t="e">
        <v>#N/A</v>
      </c>
      <c r="B1051" s="120" t="e">
        <v>#N/A</v>
      </c>
      <c r="C1051" s="78" t="e">
        <v>#N/A</v>
      </c>
      <c r="D1051" s="78" t="e">
        <v>#N/A</v>
      </c>
      <c r="E1051" s="120" t="e">
        <v>#N/A</v>
      </c>
      <c r="F1051" s="78" t="e">
        <v>#N/A</v>
      </c>
      <c r="G1051" s="78" t="e">
        <v>#N/A</v>
      </c>
    </row>
    <row r="1052" customFormat="false" ht="15.75" hidden="false" customHeight="false" outlineLevel="0" collapsed="false">
      <c r="A1052" s="78" t="e">
        <v>#N/A</v>
      </c>
      <c r="B1052" s="120" t="e">
        <v>#N/A</v>
      </c>
      <c r="C1052" s="78" t="e">
        <v>#N/A</v>
      </c>
      <c r="D1052" s="78" t="e">
        <v>#N/A</v>
      </c>
      <c r="E1052" s="120" t="e">
        <v>#N/A</v>
      </c>
      <c r="F1052" s="78" t="e">
        <v>#N/A</v>
      </c>
      <c r="G1052" s="78" t="e">
        <v>#N/A</v>
      </c>
    </row>
    <row r="1053" customFormat="false" ht="15.75" hidden="false" customHeight="false" outlineLevel="0" collapsed="false">
      <c r="A1053" s="78" t="e">
        <v>#N/A</v>
      </c>
      <c r="B1053" s="120" t="e">
        <v>#N/A</v>
      </c>
      <c r="C1053" s="78" t="e">
        <v>#N/A</v>
      </c>
      <c r="D1053" s="78" t="e">
        <v>#N/A</v>
      </c>
      <c r="E1053" s="120" t="e">
        <v>#N/A</v>
      </c>
      <c r="F1053" s="78" t="e">
        <v>#N/A</v>
      </c>
      <c r="G1053" s="78" t="e">
        <v>#N/A</v>
      </c>
    </row>
    <row r="1054" customFormat="false" ht="15.75" hidden="false" customHeight="false" outlineLevel="0" collapsed="false">
      <c r="A1054" s="78" t="e">
        <v>#N/A</v>
      </c>
      <c r="B1054" s="120" t="e">
        <v>#N/A</v>
      </c>
      <c r="C1054" s="78" t="e">
        <v>#N/A</v>
      </c>
      <c r="D1054" s="78" t="e">
        <v>#N/A</v>
      </c>
      <c r="E1054" s="120" t="e">
        <v>#N/A</v>
      </c>
      <c r="F1054" s="78" t="e">
        <v>#N/A</v>
      </c>
      <c r="G1054" s="78" t="e">
        <v>#N/A</v>
      </c>
    </row>
    <row r="1055" customFormat="false" ht="15.75" hidden="false" customHeight="false" outlineLevel="0" collapsed="false">
      <c r="A1055" s="78" t="e">
        <v>#N/A</v>
      </c>
      <c r="B1055" s="120" t="e">
        <v>#N/A</v>
      </c>
      <c r="C1055" s="78" t="e">
        <v>#N/A</v>
      </c>
      <c r="D1055" s="78" t="e">
        <v>#N/A</v>
      </c>
      <c r="E1055" s="120" t="e">
        <v>#N/A</v>
      </c>
      <c r="F1055" s="78" t="e">
        <v>#N/A</v>
      </c>
      <c r="G1055" s="78" t="e">
        <v>#N/A</v>
      </c>
    </row>
    <row r="1056" customFormat="false" ht="15.75" hidden="false" customHeight="false" outlineLevel="0" collapsed="false">
      <c r="A1056" s="78" t="e">
        <v>#N/A</v>
      </c>
      <c r="B1056" s="120" t="e">
        <v>#N/A</v>
      </c>
      <c r="C1056" s="78" t="e">
        <v>#N/A</v>
      </c>
      <c r="D1056" s="78" t="e">
        <v>#N/A</v>
      </c>
      <c r="E1056" s="120" t="e">
        <v>#N/A</v>
      </c>
      <c r="F1056" s="78" t="e">
        <v>#N/A</v>
      </c>
      <c r="G1056" s="78" t="e">
        <v>#N/A</v>
      </c>
    </row>
    <row r="1057" customFormat="false" ht="15.75" hidden="false" customHeight="false" outlineLevel="0" collapsed="false">
      <c r="A1057" s="78" t="e">
        <v>#N/A</v>
      </c>
      <c r="B1057" s="120" t="e">
        <v>#N/A</v>
      </c>
      <c r="C1057" s="78" t="e">
        <v>#N/A</v>
      </c>
      <c r="D1057" s="78" t="e">
        <v>#N/A</v>
      </c>
      <c r="E1057" s="120" t="e">
        <v>#N/A</v>
      </c>
      <c r="F1057" s="78" t="e">
        <v>#N/A</v>
      </c>
      <c r="G1057" s="78" t="e">
        <v>#N/A</v>
      </c>
    </row>
    <row r="1058" customFormat="false" ht="15.75" hidden="false" customHeight="false" outlineLevel="0" collapsed="false">
      <c r="A1058" s="78" t="e">
        <v>#N/A</v>
      </c>
      <c r="B1058" s="120" t="e">
        <v>#N/A</v>
      </c>
      <c r="C1058" s="78" t="e">
        <v>#N/A</v>
      </c>
      <c r="D1058" s="78" t="e">
        <v>#N/A</v>
      </c>
      <c r="E1058" s="120" t="e">
        <v>#N/A</v>
      </c>
      <c r="F1058" s="78" t="e">
        <v>#N/A</v>
      </c>
      <c r="G1058" s="78" t="e">
        <v>#N/A</v>
      </c>
    </row>
    <row r="1059" customFormat="false" ht="15.75" hidden="false" customHeight="false" outlineLevel="0" collapsed="false">
      <c r="A1059" s="78" t="e">
        <v>#N/A</v>
      </c>
      <c r="B1059" s="120" t="e">
        <v>#N/A</v>
      </c>
      <c r="C1059" s="78" t="e">
        <v>#N/A</v>
      </c>
      <c r="D1059" s="78" t="e">
        <v>#N/A</v>
      </c>
      <c r="E1059" s="120" t="e">
        <v>#N/A</v>
      </c>
      <c r="F1059" s="78" t="e">
        <v>#N/A</v>
      </c>
      <c r="G1059" s="78" t="e">
        <v>#N/A</v>
      </c>
    </row>
    <row r="1060" customFormat="false" ht="15.75" hidden="false" customHeight="false" outlineLevel="0" collapsed="false">
      <c r="A1060" s="78" t="e">
        <v>#N/A</v>
      </c>
      <c r="B1060" s="120" t="e">
        <v>#N/A</v>
      </c>
      <c r="C1060" s="78" t="e">
        <v>#N/A</v>
      </c>
      <c r="D1060" s="78" t="e">
        <v>#N/A</v>
      </c>
      <c r="E1060" s="120" t="e">
        <v>#N/A</v>
      </c>
      <c r="F1060" s="78" t="e">
        <v>#N/A</v>
      </c>
      <c r="G1060" s="78" t="e">
        <v>#N/A</v>
      </c>
    </row>
    <row r="1061" customFormat="false" ht="15.75" hidden="false" customHeight="false" outlineLevel="0" collapsed="false">
      <c r="A1061" s="78" t="e">
        <v>#N/A</v>
      </c>
      <c r="B1061" s="120" t="e">
        <v>#N/A</v>
      </c>
      <c r="C1061" s="78" t="e">
        <v>#N/A</v>
      </c>
      <c r="D1061" s="78" t="e">
        <v>#N/A</v>
      </c>
      <c r="E1061" s="120" t="e">
        <v>#N/A</v>
      </c>
      <c r="F1061" s="78" t="e">
        <v>#N/A</v>
      </c>
      <c r="G1061" s="78" t="e">
        <v>#N/A</v>
      </c>
    </row>
    <row r="1062" customFormat="false" ht="15.75" hidden="false" customHeight="false" outlineLevel="0" collapsed="false">
      <c r="A1062" s="78" t="e">
        <v>#N/A</v>
      </c>
      <c r="B1062" s="120" t="e">
        <v>#N/A</v>
      </c>
      <c r="C1062" s="78" t="e">
        <v>#N/A</v>
      </c>
      <c r="D1062" s="78" t="e">
        <v>#N/A</v>
      </c>
      <c r="E1062" s="120" t="e">
        <v>#N/A</v>
      </c>
      <c r="F1062" s="78" t="e">
        <v>#N/A</v>
      </c>
      <c r="G1062" s="78" t="e">
        <v>#N/A</v>
      </c>
    </row>
    <row r="1063" customFormat="false" ht="15.75" hidden="false" customHeight="false" outlineLevel="0" collapsed="false">
      <c r="A1063" s="78" t="e">
        <v>#N/A</v>
      </c>
      <c r="B1063" s="120" t="e">
        <v>#N/A</v>
      </c>
      <c r="C1063" s="78" t="e">
        <v>#N/A</v>
      </c>
      <c r="D1063" s="78" t="e">
        <v>#N/A</v>
      </c>
      <c r="E1063" s="120" t="e">
        <v>#N/A</v>
      </c>
      <c r="F1063" s="78" t="e">
        <v>#N/A</v>
      </c>
      <c r="G1063" s="78" t="e">
        <v>#N/A</v>
      </c>
    </row>
    <row r="1064" customFormat="false" ht="15.75" hidden="false" customHeight="false" outlineLevel="0" collapsed="false">
      <c r="A1064" s="78" t="e">
        <v>#N/A</v>
      </c>
      <c r="B1064" s="120" t="e">
        <v>#N/A</v>
      </c>
      <c r="C1064" s="78" t="e">
        <v>#N/A</v>
      </c>
      <c r="D1064" s="78" t="e">
        <v>#N/A</v>
      </c>
      <c r="E1064" s="120" t="e">
        <v>#N/A</v>
      </c>
      <c r="F1064" s="78" t="e">
        <v>#N/A</v>
      </c>
      <c r="G1064" s="78" t="e">
        <v>#N/A</v>
      </c>
    </row>
    <row r="1065" customFormat="false" ht="15.75" hidden="false" customHeight="false" outlineLevel="0" collapsed="false">
      <c r="A1065" s="78" t="e">
        <v>#N/A</v>
      </c>
      <c r="B1065" s="120" t="e">
        <v>#N/A</v>
      </c>
      <c r="C1065" s="78" t="e">
        <v>#N/A</v>
      </c>
      <c r="D1065" s="78" t="e">
        <v>#N/A</v>
      </c>
      <c r="E1065" s="120" t="e">
        <v>#N/A</v>
      </c>
      <c r="F1065" s="78" t="e">
        <v>#N/A</v>
      </c>
      <c r="G1065" s="78" t="e">
        <v>#N/A</v>
      </c>
    </row>
    <row r="1066" customFormat="false" ht="15.75" hidden="false" customHeight="false" outlineLevel="0" collapsed="false">
      <c r="A1066" s="78" t="e">
        <v>#N/A</v>
      </c>
      <c r="B1066" s="120" t="e">
        <v>#N/A</v>
      </c>
      <c r="C1066" s="78" t="e">
        <v>#N/A</v>
      </c>
      <c r="D1066" s="78" t="e">
        <v>#N/A</v>
      </c>
      <c r="E1066" s="120" t="e">
        <v>#N/A</v>
      </c>
      <c r="F1066" s="78" t="e">
        <v>#N/A</v>
      </c>
      <c r="G1066" s="78" t="e">
        <v>#N/A</v>
      </c>
    </row>
    <row r="1067" customFormat="false" ht="15.75" hidden="false" customHeight="false" outlineLevel="0" collapsed="false">
      <c r="A1067" s="78" t="e">
        <v>#N/A</v>
      </c>
      <c r="B1067" s="120" t="e">
        <v>#N/A</v>
      </c>
      <c r="C1067" s="78" t="e">
        <v>#N/A</v>
      </c>
      <c r="D1067" s="78" t="e">
        <v>#N/A</v>
      </c>
      <c r="E1067" s="120" t="e">
        <v>#N/A</v>
      </c>
      <c r="F1067" s="78" t="e">
        <v>#N/A</v>
      </c>
      <c r="G1067" s="78" t="e">
        <v>#N/A</v>
      </c>
    </row>
    <row r="1068" customFormat="false" ht="15.75" hidden="false" customHeight="false" outlineLevel="0" collapsed="false">
      <c r="A1068" s="78" t="e">
        <v>#N/A</v>
      </c>
      <c r="B1068" s="120" t="e">
        <v>#N/A</v>
      </c>
      <c r="C1068" s="78" t="e">
        <v>#N/A</v>
      </c>
      <c r="D1068" s="78" t="e">
        <v>#N/A</v>
      </c>
      <c r="E1068" s="120" t="e">
        <v>#N/A</v>
      </c>
      <c r="F1068" s="78" t="e">
        <v>#N/A</v>
      </c>
      <c r="G1068" s="78" t="e">
        <v>#N/A</v>
      </c>
    </row>
    <row r="1069" customFormat="false" ht="15.75" hidden="false" customHeight="false" outlineLevel="0" collapsed="false">
      <c r="A1069" s="78" t="e">
        <v>#N/A</v>
      </c>
      <c r="B1069" s="120" t="e">
        <v>#N/A</v>
      </c>
      <c r="C1069" s="78" t="e">
        <v>#N/A</v>
      </c>
      <c r="D1069" s="78" t="e">
        <v>#N/A</v>
      </c>
      <c r="E1069" s="120" t="e">
        <v>#N/A</v>
      </c>
      <c r="F1069" s="78" t="e">
        <v>#N/A</v>
      </c>
      <c r="G1069" s="78" t="e">
        <v>#N/A</v>
      </c>
    </row>
    <row r="1070" customFormat="false" ht="15.75" hidden="false" customHeight="false" outlineLevel="0" collapsed="false">
      <c r="A1070" s="78" t="e">
        <v>#N/A</v>
      </c>
      <c r="B1070" s="120" t="e">
        <v>#N/A</v>
      </c>
      <c r="C1070" s="78" t="e">
        <v>#N/A</v>
      </c>
      <c r="D1070" s="78" t="e">
        <v>#N/A</v>
      </c>
      <c r="E1070" s="120" t="e">
        <v>#N/A</v>
      </c>
      <c r="F1070" s="78" t="e">
        <v>#N/A</v>
      </c>
      <c r="G1070" s="78" t="e">
        <v>#N/A</v>
      </c>
    </row>
    <row r="1071" customFormat="false" ht="15.75" hidden="false" customHeight="false" outlineLevel="0" collapsed="false">
      <c r="A1071" s="78" t="e">
        <v>#N/A</v>
      </c>
      <c r="B1071" s="120" t="e">
        <v>#N/A</v>
      </c>
      <c r="C1071" s="78" t="e">
        <v>#N/A</v>
      </c>
      <c r="D1071" s="78" t="e">
        <v>#N/A</v>
      </c>
      <c r="E1071" s="120" t="e">
        <v>#N/A</v>
      </c>
      <c r="F1071" s="78" t="e">
        <v>#N/A</v>
      </c>
      <c r="G1071" s="78" t="e">
        <v>#N/A</v>
      </c>
    </row>
    <row r="1072" customFormat="false" ht="15.75" hidden="false" customHeight="false" outlineLevel="0" collapsed="false">
      <c r="A1072" s="78" t="e">
        <v>#N/A</v>
      </c>
      <c r="B1072" s="120" t="e">
        <v>#N/A</v>
      </c>
      <c r="C1072" s="78" t="e">
        <v>#N/A</v>
      </c>
      <c r="D1072" s="78" t="e">
        <v>#N/A</v>
      </c>
      <c r="E1072" s="120" t="e">
        <v>#N/A</v>
      </c>
      <c r="F1072" s="78" t="e">
        <v>#N/A</v>
      </c>
      <c r="G1072" s="78" t="e">
        <v>#N/A</v>
      </c>
    </row>
    <row r="1073" customFormat="false" ht="15.75" hidden="false" customHeight="false" outlineLevel="0" collapsed="false">
      <c r="A1073" s="78" t="e">
        <v>#N/A</v>
      </c>
      <c r="B1073" s="120" t="e">
        <v>#N/A</v>
      </c>
      <c r="C1073" s="78" t="e">
        <v>#N/A</v>
      </c>
      <c r="D1073" s="78" t="e">
        <v>#N/A</v>
      </c>
      <c r="E1073" s="120" t="e">
        <v>#N/A</v>
      </c>
      <c r="F1073" s="78" t="e">
        <v>#N/A</v>
      </c>
      <c r="G1073" s="78" t="e">
        <v>#N/A</v>
      </c>
    </row>
    <row r="1074" customFormat="false" ht="15.75" hidden="false" customHeight="false" outlineLevel="0" collapsed="false">
      <c r="A1074" s="78" t="e">
        <v>#N/A</v>
      </c>
      <c r="B1074" s="120" t="e">
        <v>#N/A</v>
      </c>
      <c r="C1074" s="78" t="e">
        <v>#N/A</v>
      </c>
      <c r="D1074" s="78" t="e">
        <v>#N/A</v>
      </c>
      <c r="E1074" s="120" t="e">
        <v>#N/A</v>
      </c>
      <c r="F1074" s="78" t="e">
        <v>#N/A</v>
      </c>
      <c r="G1074" s="78" t="e">
        <v>#N/A</v>
      </c>
    </row>
    <row r="1075" customFormat="false" ht="15.75" hidden="false" customHeight="false" outlineLevel="0" collapsed="false">
      <c r="A1075" s="78" t="e">
        <v>#N/A</v>
      </c>
      <c r="B1075" s="120" t="e">
        <v>#N/A</v>
      </c>
      <c r="C1075" s="78" t="e">
        <v>#N/A</v>
      </c>
      <c r="D1075" s="78" t="e">
        <v>#N/A</v>
      </c>
      <c r="E1075" s="120" t="e">
        <v>#N/A</v>
      </c>
      <c r="F1075" s="78" t="e">
        <v>#N/A</v>
      </c>
      <c r="G1075" s="78" t="e">
        <v>#N/A</v>
      </c>
    </row>
    <row r="1076" customFormat="false" ht="15.75" hidden="false" customHeight="false" outlineLevel="0" collapsed="false">
      <c r="A1076" s="78" t="e">
        <v>#N/A</v>
      </c>
      <c r="B1076" s="120" t="e">
        <v>#N/A</v>
      </c>
      <c r="C1076" s="78" t="e">
        <v>#N/A</v>
      </c>
      <c r="D1076" s="78" t="e">
        <v>#N/A</v>
      </c>
      <c r="E1076" s="120" t="e">
        <v>#N/A</v>
      </c>
      <c r="F1076" s="78" t="e">
        <v>#N/A</v>
      </c>
      <c r="G1076" s="78" t="e">
        <v>#N/A</v>
      </c>
    </row>
    <row r="1077" customFormat="false" ht="15.75" hidden="false" customHeight="false" outlineLevel="0" collapsed="false">
      <c r="A1077" s="78" t="e">
        <v>#N/A</v>
      </c>
      <c r="B1077" s="120" t="e">
        <v>#N/A</v>
      </c>
      <c r="C1077" s="78" t="e">
        <v>#N/A</v>
      </c>
      <c r="D1077" s="78" t="e">
        <v>#N/A</v>
      </c>
      <c r="E1077" s="120" t="e">
        <v>#N/A</v>
      </c>
      <c r="F1077" s="78" t="e">
        <v>#N/A</v>
      </c>
      <c r="G1077" s="78" t="e">
        <v>#N/A</v>
      </c>
    </row>
    <row r="1078" customFormat="false" ht="15.75" hidden="false" customHeight="false" outlineLevel="0" collapsed="false">
      <c r="A1078" s="78" t="e">
        <v>#N/A</v>
      </c>
      <c r="B1078" s="120" t="e">
        <v>#N/A</v>
      </c>
      <c r="C1078" s="78" t="e">
        <v>#N/A</v>
      </c>
      <c r="D1078" s="78" t="e">
        <v>#N/A</v>
      </c>
      <c r="E1078" s="120" t="e">
        <v>#N/A</v>
      </c>
      <c r="F1078" s="78" t="e">
        <v>#N/A</v>
      </c>
      <c r="G1078" s="78" t="e">
        <v>#N/A</v>
      </c>
    </row>
    <row r="1079" customFormat="false" ht="15.75" hidden="false" customHeight="false" outlineLevel="0" collapsed="false">
      <c r="A1079" s="78" t="e">
        <v>#N/A</v>
      </c>
      <c r="B1079" s="120" t="e">
        <v>#N/A</v>
      </c>
      <c r="C1079" s="78" t="e">
        <v>#N/A</v>
      </c>
      <c r="D1079" s="78" t="e">
        <v>#N/A</v>
      </c>
      <c r="E1079" s="120" t="e">
        <v>#N/A</v>
      </c>
      <c r="F1079" s="78" t="e">
        <v>#N/A</v>
      </c>
      <c r="G1079" s="78" t="e">
        <v>#N/A</v>
      </c>
    </row>
    <row r="1080" customFormat="false" ht="15.75" hidden="false" customHeight="false" outlineLevel="0" collapsed="false">
      <c r="A1080" s="78" t="e">
        <v>#N/A</v>
      </c>
      <c r="B1080" s="120" t="e">
        <v>#N/A</v>
      </c>
      <c r="C1080" s="78" t="e">
        <v>#N/A</v>
      </c>
      <c r="D1080" s="78" t="e">
        <v>#N/A</v>
      </c>
      <c r="E1080" s="120" t="e">
        <v>#N/A</v>
      </c>
      <c r="F1080" s="78" t="e">
        <v>#N/A</v>
      </c>
      <c r="G1080" s="78" t="e">
        <v>#N/A</v>
      </c>
    </row>
    <row r="1081" customFormat="false" ht="15.75" hidden="false" customHeight="false" outlineLevel="0" collapsed="false">
      <c r="A1081" s="78" t="e">
        <v>#N/A</v>
      </c>
      <c r="B1081" s="120" t="e">
        <v>#N/A</v>
      </c>
      <c r="C1081" s="78" t="e">
        <v>#N/A</v>
      </c>
      <c r="D1081" s="78" t="e">
        <v>#N/A</v>
      </c>
      <c r="E1081" s="120" t="e">
        <v>#N/A</v>
      </c>
      <c r="F1081" s="78" t="e">
        <v>#N/A</v>
      </c>
      <c r="G1081" s="78" t="e">
        <v>#N/A</v>
      </c>
    </row>
    <row r="1082" customFormat="false" ht="15.75" hidden="false" customHeight="false" outlineLevel="0" collapsed="false">
      <c r="A1082" s="78" t="e">
        <v>#N/A</v>
      </c>
      <c r="B1082" s="120" t="e">
        <v>#N/A</v>
      </c>
      <c r="C1082" s="78" t="e">
        <v>#N/A</v>
      </c>
      <c r="D1082" s="78" t="e">
        <v>#N/A</v>
      </c>
      <c r="E1082" s="120" t="e">
        <v>#N/A</v>
      </c>
      <c r="F1082" s="78" t="e">
        <v>#N/A</v>
      </c>
      <c r="G1082" s="78" t="e">
        <v>#N/A</v>
      </c>
    </row>
    <row r="1083" customFormat="false" ht="15.75" hidden="false" customHeight="false" outlineLevel="0" collapsed="false">
      <c r="A1083" s="78" t="e">
        <v>#N/A</v>
      </c>
      <c r="B1083" s="120" t="e">
        <v>#N/A</v>
      </c>
      <c r="C1083" s="78" t="e">
        <v>#N/A</v>
      </c>
      <c r="D1083" s="78" t="e">
        <v>#N/A</v>
      </c>
      <c r="E1083" s="120" t="e">
        <v>#N/A</v>
      </c>
      <c r="F1083" s="78" t="e">
        <v>#N/A</v>
      </c>
      <c r="G1083" s="78" t="e">
        <v>#N/A</v>
      </c>
    </row>
    <row r="1084" customFormat="false" ht="15.75" hidden="false" customHeight="false" outlineLevel="0" collapsed="false">
      <c r="A1084" s="78" t="e">
        <v>#N/A</v>
      </c>
      <c r="B1084" s="120" t="e">
        <v>#N/A</v>
      </c>
      <c r="C1084" s="78" t="e">
        <v>#N/A</v>
      </c>
      <c r="D1084" s="78" t="e">
        <v>#N/A</v>
      </c>
      <c r="E1084" s="120" t="e">
        <v>#N/A</v>
      </c>
      <c r="F1084" s="78" t="e">
        <v>#N/A</v>
      </c>
      <c r="G1084" s="78" t="e">
        <v>#N/A</v>
      </c>
    </row>
    <row r="1085" customFormat="false" ht="15.75" hidden="false" customHeight="false" outlineLevel="0" collapsed="false">
      <c r="A1085" s="78" t="e">
        <v>#N/A</v>
      </c>
      <c r="B1085" s="120" t="e">
        <v>#N/A</v>
      </c>
      <c r="C1085" s="78" t="e">
        <v>#N/A</v>
      </c>
      <c r="D1085" s="78" t="e">
        <v>#N/A</v>
      </c>
      <c r="E1085" s="120" t="e">
        <v>#N/A</v>
      </c>
      <c r="F1085" s="78" t="e">
        <v>#N/A</v>
      </c>
      <c r="G1085" s="78" t="e">
        <v>#N/A</v>
      </c>
    </row>
    <row r="1086" customFormat="false" ht="15.75" hidden="false" customHeight="false" outlineLevel="0" collapsed="false">
      <c r="A1086" s="78" t="e">
        <v>#N/A</v>
      </c>
      <c r="B1086" s="120" t="e">
        <v>#N/A</v>
      </c>
      <c r="C1086" s="78" t="e">
        <v>#N/A</v>
      </c>
      <c r="D1086" s="78" t="e">
        <v>#N/A</v>
      </c>
      <c r="E1086" s="120" t="e">
        <v>#N/A</v>
      </c>
      <c r="F1086" s="78" t="e">
        <v>#N/A</v>
      </c>
      <c r="G1086" s="78" t="e">
        <v>#N/A</v>
      </c>
    </row>
    <row r="1087" customFormat="false" ht="15.75" hidden="false" customHeight="false" outlineLevel="0" collapsed="false">
      <c r="A1087" s="78" t="e">
        <v>#N/A</v>
      </c>
      <c r="B1087" s="120" t="e">
        <v>#N/A</v>
      </c>
      <c r="C1087" s="78" t="e">
        <v>#N/A</v>
      </c>
      <c r="D1087" s="78" t="e">
        <v>#N/A</v>
      </c>
      <c r="E1087" s="120" t="e">
        <v>#N/A</v>
      </c>
      <c r="F1087" s="78" t="e">
        <v>#N/A</v>
      </c>
      <c r="G1087" s="78" t="e">
        <v>#N/A</v>
      </c>
    </row>
    <row r="1088" customFormat="false" ht="15.75" hidden="false" customHeight="false" outlineLevel="0" collapsed="false">
      <c r="A1088" s="78" t="e">
        <v>#N/A</v>
      </c>
      <c r="B1088" s="120" t="e">
        <v>#N/A</v>
      </c>
      <c r="C1088" s="78" t="e">
        <v>#N/A</v>
      </c>
      <c r="D1088" s="78" t="e">
        <v>#N/A</v>
      </c>
      <c r="E1088" s="120" t="e">
        <v>#N/A</v>
      </c>
      <c r="F1088" s="78" t="e">
        <v>#N/A</v>
      </c>
      <c r="G1088" s="78" t="e">
        <v>#N/A</v>
      </c>
    </row>
    <row r="1089" customFormat="false" ht="15.75" hidden="false" customHeight="false" outlineLevel="0" collapsed="false">
      <c r="A1089" s="78" t="e">
        <v>#N/A</v>
      </c>
      <c r="B1089" s="120" t="e">
        <v>#N/A</v>
      </c>
      <c r="C1089" s="78" t="e">
        <v>#N/A</v>
      </c>
      <c r="D1089" s="78" t="e">
        <v>#N/A</v>
      </c>
      <c r="E1089" s="120" t="e">
        <v>#N/A</v>
      </c>
      <c r="F1089" s="78" t="e">
        <v>#N/A</v>
      </c>
      <c r="G1089" s="78" t="e">
        <v>#N/A</v>
      </c>
    </row>
    <row r="1090" customFormat="false" ht="15.75" hidden="false" customHeight="false" outlineLevel="0" collapsed="false">
      <c r="A1090" s="78" t="e">
        <v>#N/A</v>
      </c>
      <c r="B1090" s="120" t="e">
        <v>#N/A</v>
      </c>
      <c r="C1090" s="78" t="e">
        <v>#N/A</v>
      </c>
      <c r="D1090" s="78" t="e">
        <v>#N/A</v>
      </c>
      <c r="E1090" s="120" t="e">
        <v>#N/A</v>
      </c>
      <c r="F1090" s="78" t="e">
        <v>#N/A</v>
      </c>
      <c r="G1090" s="78" t="e">
        <v>#N/A</v>
      </c>
    </row>
    <row r="1091" customFormat="false" ht="15.75" hidden="false" customHeight="false" outlineLevel="0" collapsed="false">
      <c r="A1091" s="78" t="e">
        <v>#N/A</v>
      </c>
      <c r="B1091" s="120" t="e">
        <v>#N/A</v>
      </c>
      <c r="C1091" s="78" t="e">
        <v>#N/A</v>
      </c>
      <c r="D1091" s="78" t="e">
        <v>#N/A</v>
      </c>
      <c r="E1091" s="120" t="e">
        <v>#N/A</v>
      </c>
      <c r="F1091" s="78" t="e">
        <v>#N/A</v>
      </c>
      <c r="G1091" s="78" t="e">
        <v>#N/A</v>
      </c>
    </row>
    <row r="1092" customFormat="false" ht="15.75" hidden="false" customHeight="false" outlineLevel="0" collapsed="false">
      <c r="A1092" s="78" t="e">
        <v>#N/A</v>
      </c>
      <c r="B1092" s="120" t="e">
        <v>#N/A</v>
      </c>
      <c r="C1092" s="78" t="e">
        <v>#N/A</v>
      </c>
      <c r="D1092" s="78" t="e">
        <v>#N/A</v>
      </c>
      <c r="E1092" s="120" t="e">
        <v>#N/A</v>
      </c>
      <c r="F1092" s="78" t="e">
        <v>#N/A</v>
      </c>
      <c r="G1092" s="78" t="e">
        <v>#N/A</v>
      </c>
    </row>
    <row r="1093" customFormat="false" ht="15.75" hidden="false" customHeight="false" outlineLevel="0" collapsed="false">
      <c r="A1093" s="78" t="e">
        <v>#N/A</v>
      </c>
      <c r="B1093" s="120" t="e">
        <v>#N/A</v>
      </c>
      <c r="C1093" s="78" t="e">
        <v>#N/A</v>
      </c>
      <c r="D1093" s="78" t="e">
        <v>#N/A</v>
      </c>
      <c r="E1093" s="120" t="e">
        <v>#N/A</v>
      </c>
      <c r="F1093" s="78" t="e">
        <v>#N/A</v>
      </c>
      <c r="G1093" s="78" t="e">
        <v>#N/A</v>
      </c>
    </row>
    <row r="1094" customFormat="false" ht="15.75" hidden="false" customHeight="false" outlineLevel="0" collapsed="false">
      <c r="A1094" s="78" t="e">
        <v>#N/A</v>
      </c>
      <c r="B1094" s="120" t="e">
        <v>#N/A</v>
      </c>
      <c r="C1094" s="78" t="e">
        <v>#N/A</v>
      </c>
      <c r="D1094" s="78" t="e">
        <v>#N/A</v>
      </c>
      <c r="E1094" s="120" t="e">
        <v>#N/A</v>
      </c>
      <c r="F1094" s="78" t="e">
        <v>#N/A</v>
      </c>
      <c r="G1094" s="78" t="e">
        <v>#N/A</v>
      </c>
    </row>
    <row r="1095" customFormat="false" ht="15.75" hidden="false" customHeight="false" outlineLevel="0" collapsed="false">
      <c r="A1095" s="78" t="e">
        <v>#N/A</v>
      </c>
      <c r="B1095" s="120" t="e">
        <v>#N/A</v>
      </c>
      <c r="C1095" s="78" t="e">
        <v>#N/A</v>
      </c>
      <c r="D1095" s="78" t="e">
        <v>#N/A</v>
      </c>
      <c r="E1095" s="120" t="e">
        <v>#N/A</v>
      </c>
      <c r="F1095" s="78" t="e">
        <v>#N/A</v>
      </c>
      <c r="G1095" s="78" t="e">
        <v>#N/A</v>
      </c>
    </row>
    <row r="1096" customFormat="false" ht="15.75" hidden="false" customHeight="false" outlineLevel="0" collapsed="false">
      <c r="A1096" s="78" t="e">
        <v>#N/A</v>
      </c>
      <c r="B1096" s="120" t="e">
        <v>#N/A</v>
      </c>
      <c r="C1096" s="78" t="e">
        <v>#N/A</v>
      </c>
      <c r="D1096" s="78" t="e">
        <v>#N/A</v>
      </c>
      <c r="E1096" s="120" t="e">
        <v>#N/A</v>
      </c>
      <c r="F1096" s="78" t="e">
        <v>#N/A</v>
      </c>
      <c r="G1096" s="78" t="e">
        <v>#N/A</v>
      </c>
    </row>
    <row r="1097" customFormat="false" ht="15.75" hidden="false" customHeight="false" outlineLevel="0" collapsed="false">
      <c r="A1097" s="78" t="e">
        <v>#N/A</v>
      </c>
      <c r="B1097" s="120" t="e">
        <v>#N/A</v>
      </c>
      <c r="C1097" s="78" t="e">
        <v>#N/A</v>
      </c>
      <c r="D1097" s="78" t="e">
        <v>#N/A</v>
      </c>
      <c r="E1097" s="120" t="e">
        <v>#N/A</v>
      </c>
      <c r="F1097" s="78" t="e">
        <v>#N/A</v>
      </c>
      <c r="G1097" s="78" t="e">
        <v>#N/A</v>
      </c>
    </row>
    <row r="1098" customFormat="false" ht="15.75" hidden="false" customHeight="false" outlineLevel="0" collapsed="false">
      <c r="A1098" s="78" t="e">
        <v>#N/A</v>
      </c>
      <c r="B1098" s="120" t="e">
        <v>#N/A</v>
      </c>
      <c r="C1098" s="78" t="e">
        <v>#N/A</v>
      </c>
      <c r="D1098" s="78" t="e">
        <v>#N/A</v>
      </c>
      <c r="E1098" s="120" t="e">
        <v>#N/A</v>
      </c>
      <c r="F1098" s="78" t="e">
        <v>#N/A</v>
      </c>
      <c r="G1098" s="78" t="e">
        <v>#N/A</v>
      </c>
    </row>
    <row r="1099" customFormat="false" ht="15.75" hidden="false" customHeight="false" outlineLevel="0" collapsed="false">
      <c r="A1099" s="78" t="e">
        <v>#N/A</v>
      </c>
      <c r="B1099" s="120" t="e">
        <v>#N/A</v>
      </c>
      <c r="C1099" s="78" t="e">
        <v>#N/A</v>
      </c>
      <c r="D1099" s="78" t="e">
        <v>#N/A</v>
      </c>
      <c r="E1099" s="120" t="e">
        <v>#N/A</v>
      </c>
      <c r="F1099" s="78" t="e">
        <v>#N/A</v>
      </c>
      <c r="G1099" s="78" t="e">
        <v>#N/A</v>
      </c>
    </row>
    <row r="1100" customFormat="false" ht="15.75" hidden="false" customHeight="false" outlineLevel="0" collapsed="false">
      <c r="A1100" s="78" t="e">
        <v>#N/A</v>
      </c>
      <c r="B1100" s="120" t="e">
        <v>#N/A</v>
      </c>
      <c r="C1100" s="78" t="e">
        <v>#N/A</v>
      </c>
      <c r="D1100" s="78" t="e">
        <v>#N/A</v>
      </c>
      <c r="E1100" s="120" t="e">
        <v>#N/A</v>
      </c>
      <c r="F1100" s="78" t="e">
        <v>#N/A</v>
      </c>
      <c r="G1100" s="78" t="e">
        <v>#N/A</v>
      </c>
    </row>
    <row r="1101" customFormat="false" ht="15.75" hidden="false" customHeight="false" outlineLevel="0" collapsed="false">
      <c r="A1101" s="78" t="e">
        <v>#N/A</v>
      </c>
      <c r="B1101" s="120" t="e">
        <v>#N/A</v>
      </c>
      <c r="C1101" s="78" t="e">
        <v>#N/A</v>
      </c>
      <c r="D1101" s="78" t="e">
        <v>#N/A</v>
      </c>
      <c r="E1101" s="120" t="e">
        <v>#N/A</v>
      </c>
      <c r="F1101" s="78" t="e">
        <v>#N/A</v>
      </c>
      <c r="G1101" s="78" t="e">
        <v>#N/A</v>
      </c>
    </row>
    <row r="1102" customFormat="false" ht="15.75" hidden="false" customHeight="false" outlineLevel="0" collapsed="false">
      <c r="A1102" s="78" t="e">
        <v>#N/A</v>
      </c>
      <c r="B1102" s="120" t="e">
        <v>#N/A</v>
      </c>
      <c r="C1102" s="78" t="e">
        <v>#N/A</v>
      </c>
      <c r="D1102" s="78" t="e">
        <v>#N/A</v>
      </c>
      <c r="E1102" s="120" t="e">
        <v>#N/A</v>
      </c>
      <c r="F1102" s="78" t="e">
        <v>#N/A</v>
      </c>
      <c r="G1102" s="78" t="e">
        <v>#N/A</v>
      </c>
    </row>
    <row r="1103" customFormat="false" ht="15.75" hidden="false" customHeight="false" outlineLevel="0" collapsed="false">
      <c r="A1103" s="78" t="e">
        <v>#N/A</v>
      </c>
      <c r="B1103" s="120" t="e">
        <v>#N/A</v>
      </c>
      <c r="C1103" s="78" t="e">
        <v>#N/A</v>
      </c>
      <c r="D1103" s="78" t="e">
        <v>#N/A</v>
      </c>
      <c r="E1103" s="120" t="e">
        <v>#N/A</v>
      </c>
      <c r="F1103" s="78" t="e">
        <v>#N/A</v>
      </c>
      <c r="G1103" s="78" t="e">
        <v>#N/A</v>
      </c>
    </row>
    <row r="1104" customFormat="false" ht="15.75" hidden="false" customHeight="false" outlineLevel="0" collapsed="false">
      <c r="A1104" s="78" t="e">
        <v>#N/A</v>
      </c>
      <c r="B1104" s="120" t="e">
        <v>#N/A</v>
      </c>
      <c r="C1104" s="78" t="e">
        <v>#N/A</v>
      </c>
      <c r="D1104" s="78" t="e">
        <v>#N/A</v>
      </c>
      <c r="E1104" s="120" t="e">
        <v>#N/A</v>
      </c>
      <c r="F1104" s="78" t="e">
        <v>#N/A</v>
      </c>
      <c r="G1104" s="78" t="e">
        <v>#N/A</v>
      </c>
    </row>
    <row r="1105" customFormat="false" ht="15.75" hidden="false" customHeight="false" outlineLevel="0" collapsed="false">
      <c r="A1105" s="78" t="e">
        <v>#N/A</v>
      </c>
      <c r="B1105" s="120" t="e">
        <v>#N/A</v>
      </c>
      <c r="C1105" s="78" t="e">
        <v>#N/A</v>
      </c>
      <c r="D1105" s="78" t="e">
        <v>#N/A</v>
      </c>
      <c r="E1105" s="120" t="e">
        <v>#N/A</v>
      </c>
      <c r="F1105" s="78" t="e">
        <v>#N/A</v>
      </c>
      <c r="G1105" s="78" t="e">
        <v>#N/A</v>
      </c>
    </row>
    <row r="1106" customFormat="false" ht="15.75" hidden="false" customHeight="false" outlineLevel="0" collapsed="false">
      <c r="A1106" s="78" t="e">
        <v>#N/A</v>
      </c>
      <c r="B1106" s="120" t="e">
        <v>#N/A</v>
      </c>
      <c r="C1106" s="78" t="e">
        <v>#N/A</v>
      </c>
      <c r="D1106" s="78" t="e">
        <v>#N/A</v>
      </c>
      <c r="E1106" s="120" t="e">
        <v>#N/A</v>
      </c>
      <c r="F1106" s="78" t="e">
        <v>#N/A</v>
      </c>
      <c r="G1106" s="78" t="e">
        <v>#N/A</v>
      </c>
    </row>
    <row r="1107" customFormat="false" ht="15.75" hidden="false" customHeight="false" outlineLevel="0" collapsed="false">
      <c r="A1107" s="78" t="e">
        <v>#N/A</v>
      </c>
      <c r="B1107" s="120" t="e">
        <v>#N/A</v>
      </c>
      <c r="C1107" s="78" t="e">
        <v>#N/A</v>
      </c>
      <c r="D1107" s="78" t="e">
        <v>#N/A</v>
      </c>
      <c r="E1107" s="120" t="e">
        <v>#N/A</v>
      </c>
      <c r="F1107" s="78" t="e">
        <v>#N/A</v>
      </c>
      <c r="G1107" s="78" t="e">
        <v>#N/A</v>
      </c>
    </row>
    <row r="1108" customFormat="false" ht="15.75" hidden="false" customHeight="false" outlineLevel="0" collapsed="false">
      <c r="A1108" s="78" t="e">
        <v>#N/A</v>
      </c>
      <c r="B1108" s="120" t="e">
        <v>#N/A</v>
      </c>
      <c r="C1108" s="78" t="e">
        <v>#N/A</v>
      </c>
      <c r="D1108" s="78" t="e">
        <v>#N/A</v>
      </c>
      <c r="E1108" s="120" t="e">
        <v>#N/A</v>
      </c>
      <c r="F1108" s="78" t="e">
        <v>#N/A</v>
      </c>
      <c r="G1108" s="78" t="e">
        <v>#N/A</v>
      </c>
    </row>
    <row r="1109" customFormat="false" ht="15.75" hidden="false" customHeight="false" outlineLevel="0" collapsed="false">
      <c r="A1109" s="78" t="e">
        <v>#N/A</v>
      </c>
      <c r="B1109" s="120" t="e">
        <v>#N/A</v>
      </c>
      <c r="C1109" s="78" t="e">
        <v>#N/A</v>
      </c>
      <c r="D1109" s="78" t="e">
        <v>#N/A</v>
      </c>
      <c r="E1109" s="120" t="e">
        <v>#N/A</v>
      </c>
      <c r="F1109" s="78" t="e">
        <v>#N/A</v>
      </c>
      <c r="G1109" s="78" t="e">
        <v>#N/A</v>
      </c>
    </row>
    <row r="1110" customFormat="false" ht="15.75" hidden="false" customHeight="false" outlineLevel="0" collapsed="false">
      <c r="A1110" s="78" t="e">
        <v>#N/A</v>
      </c>
      <c r="B1110" s="120" t="e">
        <v>#N/A</v>
      </c>
      <c r="C1110" s="78" t="e">
        <v>#N/A</v>
      </c>
      <c r="D1110" s="78" t="e">
        <v>#N/A</v>
      </c>
      <c r="E1110" s="120" t="e">
        <v>#N/A</v>
      </c>
      <c r="F1110" s="78" t="e">
        <v>#N/A</v>
      </c>
      <c r="G1110" s="78" t="e">
        <v>#N/A</v>
      </c>
    </row>
    <row r="1111" customFormat="false" ht="15.75" hidden="false" customHeight="false" outlineLevel="0" collapsed="false">
      <c r="A1111" s="78" t="e">
        <v>#N/A</v>
      </c>
      <c r="B1111" s="120" t="e">
        <v>#N/A</v>
      </c>
      <c r="C1111" s="78" t="e">
        <v>#N/A</v>
      </c>
      <c r="D1111" s="78" t="e">
        <v>#N/A</v>
      </c>
      <c r="E1111" s="120" t="e">
        <v>#N/A</v>
      </c>
      <c r="F1111" s="78" t="e">
        <v>#N/A</v>
      </c>
      <c r="G1111" s="78" t="e">
        <v>#N/A</v>
      </c>
    </row>
    <row r="1112" customFormat="false" ht="15.75" hidden="false" customHeight="false" outlineLevel="0" collapsed="false">
      <c r="A1112" s="78" t="e">
        <v>#N/A</v>
      </c>
      <c r="B1112" s="120" t="e">
        <v>#N/A</v>
      </c>
      <c r="C1112" s="78" t="e">
        <v>#N/A</v>
      </c>
      <c r="D1112" s="78" t="e">
        <v>#N/A</v>
      </c>
      <c r="E1112" s="120" t="e">
        <v>#N/A</v>
      </c>
      <c r="F1112" s="78" t="e">
        <v>#N/A</v>
      </c>
      <c r="G1112" s="78" t="e">
        <v>#N/A</v>
      </c>
    </row>
    <row r="1113" customFormat="false" ht="15.75" hidden="false" customHeight="false" outlineLevel="0" collapsed="false">
      <c r="A1113" s="78" t="e">
        <v>#N/A</v>
      </c>
      <c r="B1113" s="120" t="e">
        <v>#N/A</v>
      </c>
      <c r="C1113" s="78" t="e">
        <v>#N/A</v>
      </c>
      <c r="D1113" s="78" t="e">
        <v>#N/A</v>
      </c>
      <c r="E1113" s="120" t="e">
        <v>#N/A</v>
      </c>
      <c r="F1113" s="78" t="e">
        <v>#N/A</v>
      </c>
      <c r="G1113" s="78" t="e">
        <v>#N/A</v>
      </c>
    </row>
    <row r="1114" customFormat="false" ht="15.75" hidden="false" customHeight="false" outlineLevel="0" collapsed="false">
      <c r="A1114" s="78" t="e">
        <v>#N/A</v>
      </c>
      <c r="B1114" s="120" t="e">
        <v>#N/A</v>
      </c>
      <c r="C1114" s="78" t="e">
        <v>#N/A</v>
      </c>
      <c r="D1114" s="78" t="e">
        <v>#N/A</v>
      </c>
      <c r="E1114" s="120" t="e">
        <v>#N/A</v>
      </c>
      <c r="F1114" s="78" t="e">
        <v>#N/A</v>
      </c>
      <c r="G1114" s="78" t="e">
        <v>#N/A</v>
      </c>
    </row>
    <row r="1115" customFormat="false" ht="15.75" hidden="false" customHeight="false" outlineLevel="0" collapsed="false">
      <c r="A1115" s="78" t="e">
        <v>#N/A</v>
      </c>
      <c r="B1115" s="120" t="e">
        <v>#N/A</v>
      </c>
      <c r="C1115" s="78" t="e">
        <v>#N/A</v>
      </c>
      <c r="D1115" s="78" t="e">
        <v>#N/A</v>
      </c>
      <c r="E1115" s="120" t="e">
        <v>#N/A</v>
      </c>
      <c r="F1115" s="78" t="e">
        <v>#N/A</v>
      </c>
      <c r="G1115" s="78" t="e">
        <v>#N/A</v>
      </c>
    </row>
    <row r="1116" customFormat="false" ht="15.75" hidden="false" customHeight="false" outlineLevel="0" collapsed="false">
      <c r="A1116" s="78" t="e">
        <v>#N/A</v>
      </c>
      <c r="B1116" s="120" t="e">
        <v>#N/A</v>
      </c>
      <c r="C1116" s="78" t="e">
        <v>#N/A</v>
      </c>
      <c r="D1116" s="78" t="e">
        <v>#N/A</v>
      </c>
      <c r="E1116" s="120" t="e">
        <v>#N/A</v>
      </c>
      <c r="F1116" s="78" t="e">
        <v>#N/A</v>
      </c>
      <c r="G1116" s="78" t="e">
        <v>#N/A</v>
      </c>
    </row>
    <row r="1117" customFormat="false" ht="15.75" hidden="false" customHeight="false" outlineLevel="0" collapsed="false">
      <c r="A1117" s="78" t="e">
        <v>#N/A</v>
      </c>
      <c r="B1117" s="120" t="e">
        <v>#N/A</v>
      </c>
      <c r="C1117" s="78" t="e">
        <v>#N/A</v>
      </c>
      <c r="D1117" s="78" t="e">
        <v>#N/A</v>
      </c>
      <c r="E1117" s="120" t="e">
        <v>#N/A</v>
      </c>
      <c r="F1117" s="78" t="e">
        <v>#N/A</v>
      </c>
      <c r="G1117" s="78" t="e">
        <v>#N/A</v>
      </c>
    </row>
    <row r="1118" customFormat="false" ht="15.75" hidden="false" customHeight="false" outlineLevel="0" collapsed="false">
      <c r="A1118" s="78" t="e">
        <v>#N/A</v>
      </c>
      <c r="B1118" s="120" t="e">
        <v>#N/A</v>
      </c>
      <c r="C1118" s="78" t="e">
        <v>#N/A</v>
      </c>
      <c r="D1118" s="78" t="e">
        <v>#N/A</v>
      </c>
      <c r="E1118" s="120" t="e">
        <v>#N/A</v>
      </c>
      <c r="F1118" s="78" t="e">
        <v>#N/A</v>
      </c>
      <c r="G1118" s="78" t="e">
        <v>#N/A</v>
      </c>
    </row>
    <row r="1119" customFormat="false" ht="15.75" hidden="false" customHeight="false" outlineLevel="0" collapsed="false">
      <c r="A1119" s="78" t="e">
        <v>#N/A</v>
      </c>
      <c r="B1119" s="120" t="e">
        <v>#N/A</v>
      </c>
      <c r="C1119" s="78" t="e">
        <v>#N/A</v>
      </c>
      <c r="D1119" s="78" t="e">
        <v>#N/A</v>
      </c>
      <c r="E1119" s="120" t="e">
        <v>#N/A</v>
      </c>
      <c r="F1119" s="78" t="e">
        <v>#N/A</v>
      </c>
      <c r="G1119" s="78" t="e">
        <v>#N/A</v>
      </c>
    </row>
    <row r="1120" customFormat="false" ht="15.75" hidden="false" customHeight="false" outlineLevel="0" collapsed="false">
      <c r="A1120" s="78" t="e">
        <v>#N/A</v>
      </c>
      <c r="B1120" s="120" t="e">
        <v>#N/A</v>
      </c>
      <c r="C1120" s="78" t="e">
        <v>#N/A</v>
      </c>
      <c r="D1120" s="78" t="e">
        <v>#N/A</v>
      </c>
      <c r="E1120" s="120" t="e">
        <v>#N/A</v>
      </c>
      <c r="F1120" s="78" t="e">
        <v>#N/A</v>
      </c>
      <c r="G1120" s="78" t="e">
        <v>#N/A</v>
      </c>
    </row>
    <row r="1121" customFormat="false" ht="15.75" hidden="false" customHeight="false" outlineLevel="0" collapsed="false">
      <c r="A1121" s="78" t="e">
        <v>#N/A</v>
      </c>
      <c r="B1121" s="120" t="e">
        <v>#N/A</v>
      </c>
      <c r="C1121" s="78" t="e">
        <v>#N/A</v>
      </c>
      <c r="D1121" s="78" t="e">
        <v>#N/A</v>
      </c>
      <c r="E1121" s="120" t="e">
        <v>#N/A</v>
      </c>
      <c r="F1121" s="78" t="e">
        <v>#N/A</v>
      </c>
      <c r="G1121" s="78" t="e">
        <v>#N/A</v>
      </c>
    </row>
    <row r="1122" customFormat="false" ht="15.75" hidden="false" customHeight="false" outlineLevel="0" collapsed="false">
      <c r="A1122" s="78" t="e">
        <v>#N/A</v>
      </c>
      <c r="B1122" s="120" t="e">
        <v>#N/A</v>
      </c>
      <c r="C1122" s="78" t="e">
        <v>#N/A</v>
      </c>
      <c r="D1122" s="78" t="e">
        <v>#N/A</v>
      </c>
      <c r="E1122" s="120" t="e">
        <v>#N/A</v>
      </c>
      <c r="F1122" s="78" t="e">
        <v>#N/A</v>
      </c>
      <c r="G1122" s="78" t="e">
        <v>#N/A</v>
      </c>
    </row>
  </sheetData>
  <mergeCells count="8">
    <mergeCell ref="A1:A2"/>
    <mergeCell ref="B1:G1"/>
    <mergeCell ref="AN1:AN2"/>
    <mergeCell ref="AO1:AT1"/>
    <mergeCell ref="AV1:AV2"/>
    <mergeCell ref="AW1:BB1"/>
    <mergeCell ref="BD1:BD2"/>
    <mergeCell ref="BE1:B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63"/>
    <col collapsed="false" customWidth="true" hidden="false" outlineLevel="0" max="4" min="4" style="0" width="5.51"/>
    <col collapsed="false" customWidth="true" hidden="false" outlineLevel="0" max="5" min="5" style="0" width="16.63"/>
    <col collapsed="false" customWidth="true" hidden="false" outlineLevel="0" max="7" min="7" style="0" width="21.12"/>
    <col collapsed="false" customWidth="true" hidden="false" outlineLevel="0" max="8" min="8" style="0" width="23.38"/>
  </cols>
  <sheetData>
    <row r="1" customFormat="false" ht="15.75" hidden="false" customHeight="false" outlineLevel="0" collapsed="false">
      <c r="A1" s="223" t="s">
        <v>296</v>
      </c>
      <c r="B1" s="223"/>
      <c r="C1" s="224"/>
      <c r="D1" s="224"/>
      <c r="E1" s="225"/>
      <c r="F1" s="225"/>
      <c r="G1" s="226"/>
      <c r="H1" s="223" t="s">
        <v>297</v>
      </c>
      <c r="I1" s="223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</row>
    <row r="2" customFormat="false" ht="15.75" hidden="false" customHeight="false" outlineLevel="0" collapsed="false">
      <c r="A2" s="227" t="s">
        <v>298</v>
      </c>
      <c r="B2" s="227" t="n">
        <f aca="false">'Все игры'!J4</f>
        <v>0</v>
      </c>
      <c r="E2" s="228" t="s">
        <v>299</v>
      </c>
      <c r="F2" s="229"/>
      <c r="G2" s="230"/>
      <c r="H2" s="227" t="s">
        <v>298</v>
      </c>
      <c r="I2" s="227" t="n">
        <f aca="false">'Все игры'!BY5</f>
        <v>0</v>
      </c>
    </row>
    <row r="3" customFormat="false" ht="15.75" hidden="false" customHeight="false" outlineLevel="0" collapsed="false">
      <c r="A3" s="231" t="str">
        <f aca="false">'Все игры'!I2</f>
        <v>Победы красные</v>
      </c>
      <c r="B3" s="231" t="n">
        <f aca="false">'Все игры'!J2</f>
        <v>0</v>
      </c>
      <c r="E3" s="232" t="s">
        <v>300</v>
      </c>
      <c r="F3" s="233" t="n">
        <f aca="false">'Все игры'!O17</f>
        <v>0</v>
      </c>
      <c r="G3" s="230"/>
      <c r="H3" s="231" t="s">
        <v>279</v>
      </c>
      <c r="I3" s="231" t="n">
        <f aca="false">'Все игры'!BY3</f>
        <v>0</v>
      </c>
    </row>
    <row r="4" customFormat="false" ht="15.75" hidden="false" customHeight="false" outlineLevel="0" collapsed="false">
      <c r="A4" s="234" t="str">
        <f aca="false">'Все игры'!I3</f>
        <v>Победы черные</v>
      </c>
      <c r="B4" s="234" t="n">
        <f aca="false">'Все игры'!J3</f>
        <v>0</v>
      </c>
      <c r="E4" s="235" t="s">
        <v>301</v>
      </c>
      <c r="F4" s="236" t="n">
        <f aca="false">'Все игры'!O18</f>
        <v>0</v>
      </c>
      <c r="G4" s="230"/>
      <c r="H4" s="234" t="s">
        <v>283</v>
      </c>
      <c r="I4" s="234" t="n">
        <f aca="false">'Все игры'!BY4</f>
        <v>0</v>
      </c>
    </row>
    <row r="5" customFormat="false" ht="15.75" hidden="false" customHeight="false" outlineLevel="0" collapsed="false">
      <c r="G5" s="230"/>
    </row>
    <row r="6" customFormat="false" ht="15.75" hidden="false" customHeight="false" outlineLevel="0" collapsed="false">
      <c r="E6" s="228" t="s">
        <v>196</v>
      </c>
      <c r="F6" s="229"/>
      <c r="G6" s="230"/>
    </row>
    <row r="7" customFormat="false" ht="15.75" hidden="false" customHeight="false" outlineLevel="0" collapsed="false">
      <c r="E7" s="232" t="s">
        <v>300</v>
      </c>
      <c r="F7" s="233" t="n">
        <f aca="false">'Все игры'!S17</f>
        <v>0</v>
      </c>
      <c r="G7" s="230"/>
    </row>
    <row r="8" customFormat="false" ht="15.75" hidden="false" customHeight="false" outlineLevel="0" collapsed="false">
      <c r="E8" s="235" t="s">
        <v>301</v>
      </c>
      <c r="F8" s="236" t="n">
        <f aca="false">'Все игры'!S18</f>
        <v>0</v>
      </c>
      <c r="G8" s="230"/>
    </row>
    <row r="9" customFormat="false" ht="15.75" hidden="false" customHeight="false" outlineLevel="0" collapsed="false">
      <c r="G9" s="230"/>
    </row>
    <row r="10" customFormat="false" ht="15.75" hidden="false" customHeight="false" outlineLevel="0" collapsed="false">
      <c r="E10" s="228" t="s">
        <v>274</v>
      </c>
      <c r="F10" s="229"/>
      <c r="G10" s="230"/>
    </row>
    <row r="11" customFormat="false" ht="15.75" hidden="false" customHeight="false" outlineLevel="0" collapsed="false">
      <c r="E11" s="232" t="s">
        <v>300</v>
      </c>
      <c r="F11" s="233" t="n">
        <f aca="false">'Все игры'!W17</f>
        <v>0</v>
      </c>
      <c r="G11" s="230"/>
    </row>
    <row r="12" customFormat="false" ht="15.75" hidden="false" customHeight="false" outlineLevel="0" collapsed="false">
      <c r="E12" s="235" t="s">
        <v>301</v>
      </c>
      <c r="F12" s="236" t="n">
        <f aca="false">'Все игры'!W18</f>
        <v>0</v>
      </c>
      <c r="G12" s="230"/>
    </row>
    <row r="13" customFormat="false" ht="15.75" hidden="false" customHeight="false" outlineLevel="0" collapsed="false">
      <c r="G13" s="230"/>
    </row>
    <row r="14" customFormat="false" ht="15.75" hidden="false" customHeight="false" outlineLevel="0" collapsed="false">
      <c r="E14" s="228" t="s">
        <v>275</v>
      </c>
      <c r="F14" s="229"/>
      <c r="G14" s="230"/>
    </row>
    <row r="15" customFormat="false" ht="15.75" hidden="false" customHeight="false" outlineLevel="0" collapsed="false">
      <c r="E15" s="232" t="s">
        <v>300</v>
      </c>
      <c r="F15" s="233" t="n">
        <f aca="false">'Все игры'!AA17</f>
        <v>0</v>
      </c>
      <c r="G15" s="230"/>
    </row>
    <row r="16" customFormat="false" ht="15.75" hidden="false" customHeight="false" outlineLevel="0" collapsed="false">
      <c r="E16" s="235" t="s">
        <v>301</v>
      </c>
      <c r="F16" s="236" t="n">
        <f aca="false">'Все игры'!AA18</f>
        <v>0</v>
      </c>
      <c r="G16" s="230"/>
    </row>
    <row r="17" customFormat="false" ht="15.75" hidden="false" customHeight="false" outlineLevel="0" collapsed="false">
      <c r="G17" s="230"/>
    </row>
    <row r="18" customFormat="false" ht="15.75" hidden="false" customHeight="false" outlineLevel="0" collapsed="false">
      <c r="E18" s="228" t="s">
        <v>276</v>
      </c>
      <c r="F18" s="229"/>
      <c r="G18" s="230"/>
    </row>
    <row r="19" customFormat="false" ht="15.75" hidden="false" customHeight="false" outlineLevel="0" collapsed="false">
      <c r="E19" s="232" t="s">
        <v>300</v>
      </c>
      <c r="F19" s="233" t="n">
        <f aca="false">'Все игры'!AE17</f>
        <v>0</v>
      </c>
      <c r="G19" s="230"/>
    </row>
    <row r="20" customFormat="false" ht="15.75" hidden="false" customHeight="false" outlineLevel="0" collapsed="false">
      <c r="E20" s="235" t="s">
        <v>301</v>
      </c>
      <c r="F20" s="236" t="n">
        <f aca="false">'Все игры'!AE18</f>
        <v>0</v>
      </c>
      <c r="G20" s="230"/>
    </row>
    <row r="21" customFormat="false" ht="15.75" hidden="false" customHeight="false" outlineLevel="0" collapsed="false">
      <c r="G21" s="230"/>
    </row>
    <row r="22" customFormat="false" ht="15.75" hidden="false" customHeight="false" outlineLevel="0" collapsed="false">
      <c r="E22" s="228" t="s">
        <v>277</v>
      </c>
      <c r="F22" s="229"/>
      <c r="G22" s="230"/>
    </row>
    <row r="23" customFormat="false" ht="15.75" hidden="false" customHeight="false" outlineLevel="0" collapsed="false">
      <c r="E23" s="232" t="s">
        <v>300</v>
      </c>
      <c r="F23" s="233" t="n">
        <f aca="false">'Все игры'!AI17</f>
        <v>0</v>
      </c>
      <c r="G23" s="230"/>
    </row>
    <row r="24" customFormat="false" ht="15.75" hidden="false" customHeight="false" outlineLevel="0" collapsed="false">
      <c r="E24" s="235" t="s">
        <v>301</v>
      </c>
      <c r="F24" s="236" t="n">
        <f aca="false">'Все игры'!AI18</f>
        <v>0</v>
      </c>
      <c r="G24" s="230"/>
    </row>
    <row r="25" customFormat="false" ht="15.75" hidden="false" customHeight="false" outlineLevel="0" collapsed="false">
      <c r="G25" s="230"/>
    </row>
    <row r="26" customFormat="false" ht="15.75" hidden="false" customHeight="false" outlineLevel="0" collapsed="false">
      <c r="E26" s="228" t="s">
        <v>278</v>
      </c>
      <c r="F26" s="229"/>
      <c r="G26" s="230"/>
    </row>
    <row r="27" customFormat="false" ht="15.75" hidden="false" customHeight="false" outlineLevel="0" collapsed="false">
      <c r="E27" s="232" t="s">
        <v>300</v>
      </c>
      <c r="F27" s="233" t="n">
        <f aca="false">'Все игры'!AM17</f>
        <v>0</v>
      </c>
      <c r="G27" s="230"/>
    </row>
    <row r="28" customFormat="false" ht="15.75" hidden="false" customHeight="false" outlineLevel="0" collapsed="false">
      <c r="E28" s="235" t="s">
        <v>301</v>
      </c>
      <c r="F28" s="236" t="n">
        <f aca="false">'Все игры'!AM18</f>
        <v>0</v>
      </c>
      <c r="G28" s="230"/>
    </row>
    <row r="29" customFormat="false" ht="15.75" hidden="false" customHeight="false" outlineLevel="0" collapsed="false">
      <c r="G29" s="230"/>
    </row>
    <row r="30" customFormat="false" ht="15.75" hidden="false" customHeight="false" outlineLevel="0" collapsed="false">
      <c r="G30" s="230"/>
    </row>
    <row r="31" customFormat="false" ht="15.75" hidden="false" customHeight="false" outlineLevel="0" collapsed="false">
      <c r="G31" s="230"/>
    </row>
    <row r="32" customFormat="false" ht="15.75" hidden="false" customHeight="false" outlineLevel="0" collapsed="false">
      <c r="G32" s="230"/>
    </row>
    <row r="33" customFormat="false" ht="15.75" hidden="false" customHeight="false" outlineLevel="0" collapsed="false">
      <c r="G33" s="230"/>
    </row>
    <row r="34" customFormat="false" ht="15.75" hidden="false" customHeight="false" outlineLevel="0" collapsed="false">
      <c r="G34" s="230"/>
    </row>
    <row r="35" customFormat="false" ht="15.75" hidden="false" customHeight="false" outlineLevel="0" collapsed="false">
      <c r="G35" s="230"/>
    </row>
    <row r="36" customFormat="false" ht="15.75" hidden="false" customHeight="false" outlineLevel="0" collapsed="false">
      <c r="G36" s="230"/>
    </row>
    <row r="37" customFormat="false" ht="15.75" hidden="false" customHeight="false" outlineLevel="0" collapsed="false">
      <c r="G37" s="230"/>
    </row>
    <row r="38" customFormat="false" ht="15.75" hidden="false" customHeight="false" outlineLevel="0" collapsed="false">
      <c r="G38" s="230"/>
    </row>
    <row r="39" customFormat="false" ht="15.75" hidden="false" customHeight="false" outlineLevel="0" collapsed="false">
      <c r="G39" s="230"/>
    </row>
    <row r="40" customFormat="false" ht="15.75" hidden="false" customHeight="false" outlineLevel="0" collapsed="false">
      <c r="G40" s="230"/>
    </row>
    <row r="41" customFormat="false" ht="15.75" hidden="false" customHeight="false" outlineLevel="0" collapsed="false">
      <c r="G41" s="230"/>
    </row>
    <row r="42" customFormat="false" ht="15.75" hidden="false" customHeight="false" outlineLevel="0" collapsed="false">
      <c r="G42" s="230"/>
    </row>
    <row r="43" customFormat="false" ht="15.75" hidden="false" customHeight="false" outlineLevel="0" collapsed="false">
      <c r="G43" s="230"/>
    </row>
    <row r="44" customFormat="false" ht="15.75" hidden="false" customHeight="false" outlineLevel="0" collapsed="false">
      <c r="G44" s="230"/>
    </row>
    <row r="45" customFormat="false" ht="15.75" hidden="false" customHeight="false" outlineLevel="0" collapsed="false">
      <c r="G45" s="230"/>
    </row>
    <row r="46" customFormat="false" ht="15.75" hidden="false" customHeight="false" outlineLevel="0" collapsed="false">
      <c r="G46" s="230"/>
    </row>
    <row r="47" customFormat="false" ht="15.75" hidden="false" customHeight="false" outlineLevel="0" collapsed="false">
      <c r="G47" s="230"/>
    </row>
    <row r="48" customFormat="false" ht="15.75" hidden="false" customHeight="false" outlineLevel="0" collapsed="false">
      <c r="G48" s="230"/>
    </row>
    <row r="49" customFormat="false" ht="15.75" hidden="false" customHeight="false" outlineLevel="0" collapsed="false">
      <c r="G49" s="230"/>
    </row>
    <row r="50" customFormat="false" ht="15.75" hidden="false" customHeight="false" outlineLevel="0" collapsed="false">
      <c r="G50" s="230"/>
    </row>
    <row r="51" customFormat="false" ht="15.75" hidden="false" customHeight="false" outlineLevel="0" collapsed="false">
      <c r="G51" s="230"/>
    </row>
    <row r="52" customFormat="false" ht="15.75" hidden="false" customHeight="false" outlineLevel="0" collapsed="false">
      <c r="G52" s="230"/>
    </row>
    <row r="53" customFormat="false" ht="15.75" hidden="false" customHeight="false" outlineLevel="0" collapsed="false">
      <c r="G53" s="230"/>
    </row>
    <row r="54" customFormat="false" ht="15.75" hidden="false" customHeight="false" outlineLevel="0" collapsed="false">
      <c r="G54" s="230"/>
    </row>
    <row r="55" customFormat="false" ht="15.75" hidden="false" customHeight="false" outlineLevel="0" collapsed="false">
      <c r="G55" s="230"/>
    </row>
    <row r="56" customFormat="false" ht="15.75" hidden="false" customHeight="false" outlineLevel="0" collapsed="false">
      <c r="G56" s="230"/>
    </row>
    <row r="57" customFormat="false" ht="15.75" hidden="false" customHeight="false" outlineLevel="0" collapsed="false">
      <c r="G57" s="230"/>
    </row>
    <row r="58" customFormat="false" ht="15.75" hidden="false" customHeight="false" outlineLevel="0" collapsed="false">
      <c r="G58" s="230"/>
    </row>
    <row r="59" customFormat="false" ht="15.75" hidden="false" customHeight="false" outlineLevel="0" collapsed="false">
      <c r="G59" s="230"/>
    </row>
    <row r="60" customFormat="false" ht="15.75" hidden="false" customHeight="false" outlineLevel="0" collapsed="false">
      <c r="G60" s="230"/>
    </row>
    <row r="61" customFormat="false" ht="15.75" hidden="false" customHeight="false" outlineLevel="0" collapsed="false">
      <c r="G61" s="230"/>
    </row>
    <row r="62" customFormat="false" ht="15.75" hidden="false" customHeight="false" outlineLevel="0" collapsed="false">
      <c r="G62" s="230"/>
    </row>
    <row r="63" customFormat="false" ht="15.75" hidden="false" customHeight="false" outlineLevel="0" collapsed="false">
      <c r="G63" s="230"/>
    </row>
    <row r="64" customFormat="false" ht="15.75" hidden="false" customHeight="false" outlineLevel="0" collapsed="false">
      <c r="G64" s="230"/>
    </row>
    <row r="65" customFormat="false" ht="15.75" hidden="false" customHeight="false" outlineLevel="0" collapsed="false">
      <c r="G65" s="230"/>
    </row>
    <row r="66" customFormat="false" ht="15.75" hidden="false" customHeight="false" outlineLevel="0" collapsed="false">
      <c r="G66" s="230"/>
    </row>
    <row r="67" customFormat="false" ht="15.75" hidden="false" customHeight="false" outlineLevel="0" collapsed="false">
      <c r="G67" s="230"/>
    </row>
    <row r="68" customFormat="false" ht="15.75" hidden="false" customHeight="false" outlineLevel="0" collapsed="false">
      <c r="G68" s="230"/>
    </row>
    <row r="69" customFormat="false" ht="15.75" hidden="false" customHeight="false" outlineLevel="0" collapsed="false">
      <c r="G69" s="230"/>
    </row>
    <row r="70" customFormat="false" ht="15.75" hidden="false" customHeight="false" outlineLevel="0" collapsed="false">
      <c r="G70" s="230"/>
    </row>
    <row r="71" customFormat="false" ht="15.75" hidden="false" customHeight="false" outlineLevel="0" collapsed="false">
      <c r="G71" s="230"/>
    </row>
    <row r="72" customFormat="false" ht="15.75" hidden="false" customHeight="false" outlineLevel="0" collapsed="false">
      <c r="G72" s="230"/>
    </row>
    <row r="73" customFormat="false" ht="15.75" hidden="false" customHeight="false" outlineLevel="0" collapsed="false">
      <c r="G73" s="230"/>
    </row>
    <row r="74" customFormat="false" ht="15.75" hidden="false" customHeight="false" outlineLevel="0" collapsed="false">
      <c r="G74" s="230"/>
    </row>
    <row r="75" customFormat="false" ht="15.75" hidden="false" customHeight="false" outlineLevel="0" collapsed="false">
      <c r="G75" s="230"/>
    </row>
    <row r="76" customFormat="false" ht="15.75" hidden="false" customHeight="false" outlineLevel="0" collapsed="false">
      <c r="G76" s="230"/>
    </row>
    <row r="77" customFormat="false" ht="15.75" hidden="false" customHeight="false" outlineLevel="0" collapsed="false">
      <c r="G77" s="230"/>
    </row>
    <row r="78" customFormat="false" ht="15.75" hidden="false" customHeight="false" outlineLevel="0" collapsed="false">
      <c r="G78" s="230"/>
    </row>
    <row r="79" customFormat="false" ht="15.75" hidden="false" customHeight="false" outlineLevel="0" collapsed="false">
      <c r="G79" s="230"/>
    </row>
    <row r="80" customFormat="false" ht="15.75" hidden="false" customHeight="false" outlineLevel="0" collapsed="false">
      <c r="G80" s="230"/>
    </row>
    <row r="81" customFormat="false" ht="15.75" hidden="false" customHeight="false" outlineLevel="0" collapsed="false">
      <c r="G81" s="230"/>
    </row>
    <row r="82" customFormat="false" ht="15.75" hidden="false" customHeight="false" outlineLevel="0" collapsed="false">
      <c r="G82" s="230"/>
    </row>
    <row r="83" customFormat="false" ht="15.75" hidden="false" customHeight="false" outlineLevel="0" collapsed="false">
      <c r="G83" s="230"/>
    </row>
    <row r="84" customFormat="false" ht="15.75" hidden="false" customHeight="false" outlineLevel="0" collapsed="false">
      <c r="G84" s="230"/>
    </row>
    <row r="85" customFormat="false" ht="15.75" hidden="false" customHeight="false" outlineLevel="0" collapsed="false">
      <c r="G85" s="230"/>
    </row>
    <row r="86" customFormat="false" ht="15.75" hidden="false" customHeight="false" outlineLevel="0" collapsed="false">
      <c r="G86" s="230"/>
    </row>
    <row r="87" customFormat="false" ht="15.75" hidden="false" customHeight="false" outlineLevel="0" collapsed="false">
      <c r="G87" s="230"/>
    </row>
    <row r="88" customFormat="false" ht="15.75" hidden="false" customHeight="false" outlineLevel="0" collapsed="false">
      <c r="G88" s="230"/>
    </row>
    <row r="89" customFormat="false" ht="15.75" hidden="false" customHeight="false" outlineLevel="0" collapsed="false">
      <c r="G89" s="230"/>
    </row>
    <row r="90" customFormat="false" ht="15.75" hidden="false" customHeight="false" outlineLevel="0" collapsed="false">
      <c r="G90" s="230"/>
    </row>
    <row r="91" customFormat="false" ht="15.75" hidden="false" customHeight="false" outlineLevel="0" collapsed="false">
      <c r="G91" s="230"/>
    </row>
    <row r="92" customFormat="false" ht="15.75" hidden="false" customHeight="false" outlineLevel="0" collapsed="false">
      <c r="G92" s="230"/>
    </row>
    <row r="93" customFormat="false" ht="15.75" hidden="false" customHeight="false" outlineLevel="0" collapsed="false">
      <c r="G93" s="230"/>
    </row>
    <row r="94" customFormat="false" ht="15.75" hidden="false" customHeight="false" outlineLevel="0" collapsed="false">
      <c r="G94" s="230"/>
    </row>
    <row r="95" customFormat="false" ht="15.75" hidden="false" customHeight="false" outlineLevel="0" collapsed="false">
      <c r="G95" s="230"/>
    </row>
    <row r="96" customFormat="false" ht="15.75" hidden="false" customHeight="false" outlineLevel="0" collapsed="false">
      <c r="G96" s="230"/>
    </row>
    <row r="97" customFormat="false" ht="15.75" hidden="false" customHeight="false" outlineLevel="0" collapsed="false">
      <c r="G97" s="230"/>
    </row>
    <row r="98" customFormat="false" ht="15.75" hidden="false" customHeight="false" outlineLevel="0" collapsed="false">
      <c r="G98" s="230"/>
    </row>
    <row r="99" customFormat="false" ht="15.75" hidden="false" customHeight="false" outlineLevel="0" collapsed="false">
      <c r="G99" s="230"/>
    </row>
    <row r="100" customFormat="false" ht="15.75" hidden="false" customHeight="false" outlineLevel="0" collapsed="false">
      <c r="G100" s="230"/>
    </row>
    <row r="101" customFormat="false" ht="15.75" hidden="false" customHeight="false" outlineLevel="0" collapsed="false">
      <c r="G101" s="230"/>
    </row>
    <row r="102" customFormat="false" ht="15.75" hidden="false" customHeight="false" outlineLevel="0" collapsed="false">
      <c r="G102" s="230"/>
    </row>
    <row r="103" customFormat="false" ht="15.75" hidden="false" customHeight="false" outlineLevel="0" collapsed="false">
      <c r="G103" s="230"/>
    </row>
    <row r="104" customFormat="false" ht="15.75" hidden="false" customHeight="false" outlineLevel="0" collapsed="false">
      <c r="G104" s="230"/>
    </row>
    <row r="105" customFormat="false" ht="15.75" hidden="false" customHeight="false" outlineLevel="0" collapsed="false">
      <c r="G105" s="230"/>
    </row>
    <row r="106" customFormat="false" ht="15.75" hidden="false" customHeight="false" outlineLevel="0" collapsed="false">
      <c r="G106" s="230"/>
    </row>
    <row r="107" customFormat="false" ht="15.75" hidden="false" customHeight="false" outlineLevel="0" collapsed="false">
      <c r="G107" s="230"/>
    </row>
    <row r="108" customFormat="false" ht="15.75" hidden="false" customHeight="false" outlineLevel="0" collapsed="false">
      <c r="G108" s="230"/>
    </row>
    <row r="109" customFormat="false" ht="15.75" hidden="false" customHeight="false" outlineLevel="0" collapsed="false">
      <c r="G109" s="230"/>
    </row>
    <row r="110" customFormat="false" ht="15.75" hidden="false" customHeight="false" outlineLevel="0" collapsed="false">
      <c r="G110" s="230"/>
    </row>
    <row r="111" customFormat="false" ht="15.75" hidden="false" customHeight="false" outlineLevel="0" collapsed="false">
      <c r="G111" s="230"/>
    </row>
    <row r="112" customFormat="false" ht="15.75" hidden="false" customHeight="false" outlineLevel="0" collapsed="false">
      <c r="G112" s="230"/>
    </row>
    <row r="113" customFormat="false" ht="15.75" hidden="false" customHeight="false" outlineLevel="0" collapsed="false">
      <c r="G113" s="230"/>
    </row>
    <row r="114" customFormat="false" ht="15.75" hidden="false" customHeight="false" outlineLevel="0" collapsed="false">
      <c r="G114" s="230"/>
    </row>
    <row r="115" customFormat="false" ht="15.75" hidden="false" customHeight="false" outlineLevel="0" collapsed="false">
      <c r="G115" s="230"/>
    </row>
    <row r="116" customFormat="false" ht="15.75" hidden="false" customHeight="false" outlineLevel="0" collapsed="false">
      <c r="G116" s="230"/>
    </row>
    <row r="117" customFormat="false" ht="15.75" hidden="false" customHeight="false" outlineLevel="0" collapsed="false">
      <c r="G117" s="230"/>
    </row>
    <row r="118" customFormat="false" ht="15.75" hidden="false" customHeight="false" outlineLevel="0" collapsed="false">
      <c r="G118" s="230"/>
    </row>
    <row r="119" customFormat="false" ht="15.75" hidden="false" customHeight="false" outlineLevel="0" collapsed="false">
      <c r="G119" s="230"/>
    </row>
    <row r="120" customFormat="false" ht="15.75" hidden="false" customHeight="false" outlineLevel="0" collapsed="false">
      <c r="G120" s="230"/>
    </row>
    <row r="121" customFormat="false" ht="15.75" hidden="false" customHeight="false" outlineLevel="0" collapsed="false">
      <c r="G121" s="230"/>
    </row>
    <row r="122" customFormat="false" ht="15.75" hidden="false" customHeight="false" outlineLevel="0" collapsed="false">
      <c r="G122" s="230"/>
    </row>
    <row r="123" customFormat="false" ht="15.75" hidden="false" customHeight="false" outlineLevel="0" collapsed="false">
      <c r="G123" s="230"/>
    </row>
    <row r="124" customFormat="false" ht="15.75" hidden="false" customHeight="false" outlineLevel="0" collapsed="false">
      <c r="G124" s="230"/>
    </row>
    <row r="125" customFormat="false" ht="15.75" hidden="false" customHeight="false" outlineLevel="0" collapsed="false">
      <c r="G125" s="230"/>
    </row>
    <row r="126" customFormat="false" ht="15.75" hidden="false" customHeight="false" outlineLevel="0" collapsed="false">
      <c r="G126" s="230"/>
    </row>
    <row r="127" customFormat="false" ht="15.75" hidden="false" customHeight="false" outlineLevel="0" collapsed="false">
      <c r="G127" s="230"/>
    </row>
    <row r="128" customFormat="false" ht="15.75" hidden="false" customHeight="false" outlineLevel="0" collapsed="false">
      <c r="G128" s="230"/>
    </row>
    <row r="129" customFormat="false" ht="15.75" hidden="false" customHeight="false" outlineLevel="0" collapsed="false">
      <c r="G129" s="230"/>
    </row>
    <row r="130" customFormat="false" ht="15.75" hidden="false" customHeight="false" outlineLevel="0" collapsed="false">
      <c r="G130" s="230"/>
    </row>
    <row r="131" customFormat="false" ht="15.75" hidden="false" customHeight="false" outlineLevel="0" collapsed="false">
      <c r="G131" s="230"/>
    </row>
    <row r="132" customFormat="false" ht="15.75" hidden="false" customHeight="false" outlineLevel="0" collapsed="false">
      <c r="G132" s="230"/>
    </row>
    <row r="133" customFormat="false" ht="15.75" hidden="false" customHeight="false" outlineLevel="0" collapsed="false">
      <c r="G133" s="230"/>
    </row>
    <row r="134" customFormat="false" ht="15.75" hidden="false" customHeight="false" outlineLevel="0" collapsed="false">
      <c r="G134" s="230"/>
    </row>
    <row r="135" customFormat="false" ht="15.75" hidden="false" customHeight="false" outlineLevel="0" collapsed="false">
      <c r="G135" s="230"/>
    </row>
    <row r="136" customFormat="false" ht="15.75" hidden="false" customHeight="false" outlineLevel="0" collapsed="false">
      <c r="G136" s="230"/>
    </row>
    <row r="137" customFormat="false" ht="15.75" hidden="false" customHeight="false" outlineLevel="0" collapsed="false">
      <c r="G137" s="230"/>
    </row>
    <row r="138" customFormat="false" ht="15.75" hidden="false" customHeight="false" outlineLevel="0" collapsed="false">
      <c r="G138" s="230"/>
    </row>
    <row r="139" customFormat="false" ht="15.75" hidden="false" customHeight="false" outlineLevel="0" collapsed="false">
      <c r="G139" s="230"/>
    </row>
    <row r="140" customFormat="false" ht="15.75" hidden="false" customHeight="false" outlineLevel="0" collapsed="false">
      <c r="G140" s="230"/>
    </row>
    <row r="141" customFormat="false" ht="15.75" hidden="false" customHeight="false" outlineLevel="0" collapsed="false">
      <c r="G141" s="230"/>
    </row>
    <row r="142" customFormat="false" ht="15.75" hidden="false" customHeight="false" outlineLevel="0" collapsed="false">
      <c r="G142" s="230"/>
    </row>
    <row r="143" customFormat="false" ht="15.75" hidden="false" customHeight="false" outlineLevel="0" collapsed="false">
      <c r="G143" s="230"/>
    </row>
    <row r="144" customFormat="false" ht="15.75" hidden="false" customHeight="false" outlineLevel="0" collapsed="false">
      <c r="G144" s="230"/>
    </row>
    <row r="145" customFormat="false" ht="15.75" hidden="false" customHeight="false" outlineLevel="0" collapsed="false">
      <c r="G145" s="230"/>
    </row>
    <row r="146" customFormat="false" ht="15.75" hidden="false" customHeight="false" outlineLevel="0" collapsed="false">
      <c r="G146" s="230"/>
    </row>
    <row r="147" customFormat="false" ht="15.75" hidden="false" customHeight="false" outlineLevel="0" collapsed="false">
      <c r="G147" s="230"/>
    </row>
    <row r="148" customFormat="false" ht="15.75" hidden="false" customHeight="false" outlineLevel="0" collapsed="false">
      <c r="G148" s="230"/>
    </row>
    <row r="149" customFormat="false" ht="15.75" hidden="false" customHeight="false" outlineLevel="0" collapsed="false">
      <c r="G149" s="230"/>
    </row>
    <row r="150" customFormat="false" ht="15.75" hidden="false" customHeight="false" outlineLevel="0" collapsed="false">
      <c r="G150" s="230"/>
    </row>
    <row r="151" customFormat="false" ht="15.75" hidden="false" customHeight="false" outlineLevel="0" collapsed="false">
      <c r="G151" s="230"/>
    </row>
    <row r="152" customFormat="false" ht="15.75" hidden="false" customHeight="false" outlineLevel="0" collapsed="false">
      <c r="G152" s="230"/>
    </row>
    <row r="153" customFormat="false" ht="15.75" hidden="false" customHeight="false" outlineLevel="0" collapsed="false">
      <c r="G153" s="230"/>
    </row>
    <row r="154" customFormat="false" ht="15.75" hidden="false" customHeight="false" outlineLevel="0" collapsed="false">
      <c r="G154" s="230"/>
    </row>
    <row r="155" customFormat="false" ht="15.75" hidden="false" customHeight="false" outlineLevel="0" collapsed="false">
      <c r="G155" s="230"/>
    </row>
    <row r="156" customFormat="false" ht="15.75" hidden="false" customHeight="false" outlineLevel="0" collapsed="false">
      <c r="G156" s="230"/>
    </row>
    <row r="157" customFormat="false" ht="15.75" hidden="false" customHeight="false" outlineLevel="0" collapsed="false">
      <c r="G157" s="230"/>
    </row>
    <row r="158" customFormat="false" ht="15.75" hidden="false" customHeight="false" outlineLevel="0" collapsed="false">
      <c r="G158" s="230"/>
    </row>
    <row r="159" customFormat="false" ht="15.75" hidden="false" customHeight="false" outlineLevel="0" collapsed="false">
      <c r="G159" s="230"/>
    </row>
    <row r="160" customFormat="false" ht="15.75" hidden="false" customHeight="false" outlineLevel="0" collapsed="false">
      <c r="G160" s="230"/>
    </row>
    <row r="161" customFormat="false" ht="15.75" hidden="false" customHeight="false" outlineLevel="0" collapsed="false">
      <c r="G161" s="230"/>
    </row>
    <row r="162" customFormat="false" ht="15.75" hidden="false" customHeight="false" outlineLevel="0" collapsed="false">
      <c r="G162" s="230"/>
    </row>
    <row r="163" customFormat="false" ht="15.75" hidden="false" customHeight="false" outlineLevel="0" collapsed="false">
      <c r="G163" s="230"/>
    </row>
    <row r="164" customFormat="false" ht="15.75" hidden="false" customHeight="false" outlineLevel="0" collapsed="false">
      <c r="G164" s="230"/>
    </row>
    <row r="165" customFormat="false" ht="15.75" hidden="false" customHeight="false" outlineLevel="0" collapsed="false">
      <c r="G165" s="230"/>
    </row>
    <row r="166" customFormat="false" ht="15.75" hidden="false" customHeight="false" outlineLevel="0" collapsed="false">
      <c r="G166" s="230"/>
    </row>
    <row r="167" customFormat="false" ht="15.75" hidden="false" customHeight="false" outlineLevel="0" collapsed="false">
      <c r="G167" s="230"/>
    </row>
    <row r="168" customFormat="false" ht="15.75" hidden="false" customHeight="false" outlineLevel="0" collapsed="false">
      <c r="G168" s="230"/>
    </row>
    <row r="169" customFormat="false" ht="15.75" hidden="false" customHeight="false" outlineLevel="0" collapsed="false">
      <c r="G169" s="230"/>
    </row>
    <row r="170" customFormat="false" ht="15.75" hidden="false" customHeight="false" outlineLevel="0" collapsed="false">
      <c r="G170" s="230"/>
    </row>
    <row r="171" customFormat="false" ht="15.75" hidden="false" customHeight="false" outlineLevel="0" collapsed="false">
      <c r="G171" s="230"/>
    </row>
    <row r="172" customFormat="false" ht="15.75" hidden="false" customHeight="false" outlineLevel="0" collapsed="false">
      <c r="G172" s="230"/>
    </row>
    <row r="173" customFormat="false" ht="15.75" hidden="false" customHeight="false" outlineLevel="0" collapsed="false">
      <c r="G173" s="230"/>
    </row>
    <row r="174" customFormat="false" ht="15.75" hidden="false" customHeight="false" outlineLevel="0" collapsed="false">
      <c r="G174" s="230"/>
    </row>
    <row r="175" customFormat="false" ht="15.75" hidden="false" customHeight="false" outlineLevel="0" collapsed="false">
      <c r="G175" s="230"/>
    </row>
    <row r="176" customFormat="false" ht="15.75" hidden="false" customHeight="false" outlineLevel="0" collapsed="false">
      <c r="G176" s="230"/>
    </row>
    <row r="177" customFormat="false" ht="15.75" hidden="false" customHeight="false" outlineLevel="0" collapsed="false">
      <c r="G177" s="230"/>
    </row>
    <row r="178" customFormat="false" ht="15.75" hidden="false" customHeight="false" outlineLevel="0" collapsed="false">
      <c r="G178" s="230"/>
    </row>
    <row r="179" customFormat="false" ht="15.75" hidden="false" customHeight="false" outlineLevel="0" collapsed="false">
      <c r="G179" s="230"/>
    </row>
    <row r="180" customFormat="false" ht="15.75" hidden="false" customHeight="false" outlineLevel="0" collapsed="false">
      <c r="G180" s="230"/>
    </row>
    <row r="181" customFormat="false" ht="15.75" hidden="false" customHeight="false" outlineLevel="0" collapsed="false">
      <c r="G181" s="230"/>
    </row>
    <row r="182" customFormat="false" ht="15.75" hidden="false" customHeight="false" outlineLevel="0" collapsed="false">
      <c r="G182" s="230"/>
    </row>
    <row r="183" customFormat="false" ht="15.75" hidden="false" customHeight="false" outlineLevel="0" collapsed="false">
      <c r="G183" s="230"/>
    </row>
    <row r="184" customFormat="false" ht="15.75" hidden="false" customHeight="false" outlineLevel="0" collapsed="false">
      <c r="G184" s="230"/>
    </row>
    <row r="185" customFormat="false" ht="15.75" hidden="false" customHeight="false" outlineLevel="0" collapsed="false">
      <c r="G185" s="230"/>
    </row>
    <row r="186" customFormat="false" ht="15.75" hidden="false" customHeight="false" outlineLevel="0" collapsed="false">
      <c r="G186" s="230"/>
    </row>
    <row r="187" customFormat="false" ht="15.75" hidden="false" customHeight="false" outlineLevel="0" collapsed="false">
      <c r="G187" s="230"/>
    </row>
    <row r="188" customFormat="false" ht="15.75" hidden="false" customHeight="false" outlineLevel="0" collapsed="false">
      <c r="G188" s="230"/>
    </row>
    <row r="189" customFormat="false" ht="15.75" hidden="false" customHeight="false" outlineLevel="0" collapsed="false">
      <c r="G189" s="230"/>
    </row>
    <row r="190" customFormat="false" ht="15.75" hidden="false" customHeight="false" outlineLevel="0" collapsed="false">
      <c r="G190" s="230"/>
    </row>
    <row r="191" customFormat="false" ht="15.75" hidden="false" customHeight="false" outlineLevel="0" collapsed="false">
      <c r="G191" s="230"/>
    </row>
    <row r="192" customFormat="false" ht="15.75" hidden="false" customHeight="false" outlineLevel="0" collapsed="false">
      <c r="G192" s="230"/>
    </row>
    <row r="193" customFormat="false" ht="15.75" hidden="false" customHeight="false" outlineLevel="0" collapsed="false">
      <c r="G193" s="230"/>
    </row>
    <row r="194" customFormat="false" ht="15.75" hidden="false" customHeight="false" outlineLevel="0" collapsed="false">
      <c r="G194" s="230"/>
    </row>
    <row r="195" customFormat="false" ht="15.75" hidden="false" customHeight="false" outlineLevel="0" collapsed="false">
      <c r="G195" s="230"/>
    </row>
    <row r="196" customFormat="false" ht="15.75" hidden="false" customHeight="false" outlineLevel="0" collapsed="false">
      <c r="G196" s="230"/>
    </row>
    <row r="197" customFormat="false" ht="15.75" hidden="false" customHeight="false" outlineLevel="0" collapsed="false">
      <c r="G197" s="230"/>
    </row>
    <row r="198" customFormat="false" ht="15.75" hidden="false" customHeight="false" outlineLevel="0" collapsed="false">
      <c r="G198" s="230"/>
    </row>
    <row r="199" customFormat="false" ht="15.75" hidden="false" customHeight="false" outlineLevel="0" collapsed="false">
      <c r="G199" s="230"/>
    </row>
    <row r="200" customFormat="false" ht="15.75" hidden="false" customHeight="false" outlineLevel="0" collapsed="false">
      <c r="G200" s="230"/>
    </row>
    <row r="201" customFormat="false" ht="15.75" hidden="false" customHeight="false" outlineLevel="0" collapsed="false">
      <c r="G201" s="230"/>
    </row>
    <row r="202" customFormat="false" ht="15.75" hidden="false" customHeight="false" outlineLevel="0" collapsed="false">
      <c r="G202" s="230"/>
    </row>
    <row r="203" customFormat="false" ht="15.75" hidden="false" customHeight="false" outlineLevel="0" collapsed="false">
      <c r="G203" s="230"/>
    </row>
    <row r="204" customFormat="false" ht="15.75" hidden="false" customHeight="false" outlineLevel="0" collapsed="false">
      <c r="G204" s="230"/>
    </row>
    <row r="205" customFormat="false" ht="15.75" hidden="false" customHeight="false" outlineLevel="0" collapsed="false">
      <c r="G205" s="230"/>
    </row>
    <row r="206" customFormat="false" ht="15.75" hidden="false" customHeight="false" outlineLevel="0" collapsed="false">
      <c r="G206" s="230"/>
    </row>
    <row r="207" customFormat="false" ht="15.75" hidden="false" customHeight="false" outlineLevel="0" collapsed="false">
      <c r="G207" s="230"/>
    </row>
    <row r="208" customFormat="false" ht="15.75" hidden="false" customHeight="false" outlineLevel="0" collapsed="false">
      <c r="G208" s="230"/>
    </row>
    <row r="209" customFormat="false" ht="15.75" hidden="false" customHeight="false" outlineLevel="0" collapsed="false">
      <c r="G209" s="230"/>
    </row>
    <row r="210" customFormat="false" ht="15.75" hidden="false" customHeight="false" outlineLevel="0" collapsed="false">
      <c r="G210" s="230"/>
    </row>
    <row r="211" customFormat="false" ht="15.75" hidden="false" customHeight="false" outlineLevel="0" collapsed="false">
      <c r="G211" s="230"/>
    </row>
    <row r="212" customFormat="false" ht="15.75" hidden="false" customHeight="false" outlineLevel="0" collapsed="false">
      <c r="G212" s="230"/>
    </row>
    <row r="213" customFormat="false" ht="15.75" hidden="false" customHeight="false" outlineLevel="0" collapsed="false">
      <c r="G213" s="230"/>
    </row>
    <row r="214" customFormat="false" ht="15.75" hidden="false" customHeight="false" outlineLevel="0" collapsed="false">
      <c r="G214" s="230"/>
    </row>
    <row r="215" customFormat="false" ht="15.75" hidden="false" customHeight="false" outlineLevel="0" collapsed="false">
      <c r="G215" s="230"/>
    </row>
    <row r="216" customFormat="false" ht="15.75" hidden="false" customHeight="false" outlineLevel="0" collapsed="false">
      <c r="G216" s="230"/>
    </row>
    <row r="217" customFormat="false" ht="15.75" hidden="false" customHeight="false" outlineLevel="0" collapsed="false">
      <c r="G217" s="230"/>
    </row>
    <row r="218" customFormat="false" ht="15.75" hidden="false" customHeight="false" outlineLevel="0" collapsed="false">
      <c r="G218" s="230"/>
    </row>
    <row r="219" customFormat="false" ht="15.75" hidden="false" customHeight="false" outlineLevel="0" collapsed="false">
      <c r="G219" s="230"/>
    </row>
    <row r="220" customFormat="false" ht="15.75" hidden="false" customHeight="false" outlineLevel="0" collapsed="false">
      <c r="G220" s="230"/>
    </row>
    <row r="221" customFormat="false" ht="15.75" hidden="false" customHeight="false" outlineLevel="0" collapsed="false">
      <c r="G221" s="230"/>
    </row>
    <row r="222" customFormat="false" ht="15.75" hidden="false" customHeight="false" outlineLevel="0" collapsed="false">
      <c r="G222" s="230"/>
    </row>
    <row r="223" customFormat="false" ht="15.75" hidden="false" customHeight="false" outlineLevel="0" collapsed="false">
      <c r="G223" s="230"/>
    </row>
    <row r="224" customFormat="false" ht="15.75" hidden="false" customHeight="false" outlineLevel="0" collapsed="false">
      <c r="G224" s="230"/>
    </row>
    <row r="225" customFormat="false" ht="15.75" hidden="false" customHeight="false" outlineLevel="0" collapsed="false">
      <c r="G225" s="230"/>
    </row>
    <row r="226" customFormat="false" ht="15.75" hidden="false" customHeight="false" outlineLevel="0" collapsed="false">
      <c r="G226" s="230"/>
    </row>
    <row r="227" customFormat="false" ht="15.75" hidden="false" customHeight="false" outlineLevel="0" collapsed="false">
      <c r="G227" s="230"/>
    </row>
    <row r="228" customFormat="false" ht="15.75" hidden="false" customHeight="false" outlineLevel="0" collapsed="false">
      <c r="G228" s="230"/>
    </row>
    <row r="229" customFormat="false" ht="15.75" hidden="false" customHeight="false" outlineLevel="0" collapsed="false">
      <c r="G229" s="230"/>
    </row>
    <row r="230" customFormat="false" ht="15.75" hidden="false" customHeight="false" outlineLevel="0" collapsed="false">
      <c r="G230" s="230"/>
    </row>
    <row r="231" customFormat="false" ht="15.75" hidden="false" customHeight="false" outlineLevel="0" collapsed="false">
      <c r="G231" s="230"/>
    </row>
    <row r="232" customFormat="false" ht="15.75" hidden="false" customHeight="false" outlineLevel="0" collapsed="false">
      <c r="G232" s="230"/>
    </row>
    <row r="233" customFormat="false" ht="15.75" hidden="false" customHeight="false" outlineLevel="0" collapsed="false">
      <c r="G233" s="230"/>
    </row>
    <row r="234" customFormat="false" ht="15.75" hidden="false" customHeight="false" outlineLevel="0" collapsed="false">
      <c r="G234" s="230"/>
    </row>
    <row r="235" customFormat="false" ht="15.75" hidden="false" customHeight="false" outlineLevel="0" collapsed="false">
      <c r="G235" s="230"/>
    </row>
    <row r="236" customFormat="false" ht="15.75" hidden="false" customHeight="false" outlineLevel="0" collapsed="false">
      <c r="G236" s="230"/>
    </row>
    <row r="237" customFormat="false" ht="15.75" hidden="false" customHeight="false" outlineLevel="0" collapsed="false">
      <c r="G237" s="230"/>
    </row>
    <row r="238" customFormat="false" ht="15.75" hidden="false" customHeight="false" outlineLevel="0" collapsed="false">
      <c r="G238" s="230"/>
    </row>
    <row r="239" customFormat="false" ht="15.75" hidden="false" customHeight="false" outlineLevel="0" collapsed="false">
      <c r="G239" s="230"/>
    </row>
    <row r="240" customFormat="false" ht="15.75" hidden="false" customHeight="false" outlineLevel="0" collapsed="false">
      <c r="G240" s="230"/>
    </row>
    <row r="241" customFormat="false" ht="15.75" hidden="false" customHeight="false" outlineLevel="0" collapsed="false">
      <c r="G241" s="230"/>
    </row>
    <row r="242" customFormat="false" ht="15.75" hidden="false" customHeight="false" outlineLevel="0" collapsed="false">
      <c r="G242" s="230"/>
    </row>
    <row r="243" customFormat="false" ht="15.75" hidden="false" customHeight="false" outlineLevel="0" collapsed="false">
      <c r="G243" s="230"/>
    </row>
    <row r="244" customFormat="false" ht="15.75" hidden="false" customHeight="false" outlineLevel="0" collapsed="false">
      <c r="G244" s="230"/>
    </row>
    <row r="245" customFormat="false" ht="15.75" hidden="false" customHeight="false" outlineLevel="0" collapsed="false">
      <c r="G245" s="230"/>
    </row>
    <row r="246" customFormat="false" ht="15.75" hidden="false" customHeight="false" outlineLevel="0" collapsed="false">
      <c r="G246" s="230"/>
    </row>
    <row r="247" customFormat="false" ht="15.75" hidden="false" customHeight="false" outlineLevel="0" collapsed="false">
      <c r="G247" s="230"/>
    </row>
    <row r="248" customFormat="false" ht="15.75" hidden="false" customHeight="false" outlineLevel="0" collapsed="false">
      <c r="G248" s="230"/>
    </row>
    <row r="249" customFormat="false" ht="15.75" hidden="false" customHeight="false" outlineLevel="0" collapsed="false">
      <c r="G249" s="230"/>
    </row>
    <row r="250" customFormat="false" ht="15.75" hidden="false" customHeight="false" outlineLevel="0" collapsed="false">
      <c r="G250" s="230"/>
    </row>
    <row r="251" customFormat="false" ht="15.75" hidden="false" customHeight="false" outlineLevel="0" collapsed="false">
      <c r="G251" s="230"/>
    </row>
    <row r="252" customFormat="false" ht="15.75" hidden="false" customHeight="false" outlineLevel="0" collapsed="false">
      <c r="G252" s="230"/>
    </row>
    <row r="253" customFormat="false" ht="15.75" hidden="false" customHeight="false" outlineLevel="0" collapsed="false">
      <c r="G253" s="230"/>
    </row>
    <row r="254" customFormat="false" ht="15.75" hidden="false" customHeight="false" outlineLevel="0" collapsed="false">
      <c r="G254" s="230"/>
    </row>
    <row r="255" customFormat="false" ht="15.75" hidden="false" customHeight="false" outlineLevel="0" collapsed="false">
      <c r="G255" s="230"/>
    </row>
    <row r="256" customFormat="false" ht="15.75" hidden="false" customHeight="false" outlineLevel="0" collapsed="false">
      <c r="G256" s="230"/>
    </row>
    <row r="257" customFormat="false" ht="15.75" hidden="false" customHeight="false" outlineLevel="0" collapsed="false">
      <c r="G257" s="230"/>
    </row>
    <row r="258" customFormat="false" ht="15.75" hidden="false" customHeight="false" outlineLevel="0" collapsed="false">
      <c r="G258" s="230"/>
    </row>
    <row r="259" customFormat="false" ht="15.75" hidden="false" customHeight="false" outlineLevel="0" collapsed="false">
      <c r="G259" s="230"/>
    </row>
    <row r="260" customFormat="false" ht="15.75" hidden="false" customHeight="false" outlineLevel="0" collapsed="false">
      <c r="G260" s="230"/>
    </row>
    <row r="261" customFormat="false" ht="15.75" hidden="false" customHeight="false" outlineLevel="0" collapsed="false">
      <c r="G261" s="230"/>
    </row>
    <row r="262" customFormat="false" ht="15.75" hidden="false" customHeight="false" outlineLevel="0" collapsed="false">
      <c r="G262" s="230"/>
    </row>
    <row r="263" customFormat="false" ht="15.75" hidden="false" customHeight="false" outlineLevel="0" collapsed="false">
      <c r="G263" s="230"/>
    </row>
    <row r="264" customFormat="false" ht="15.75" hidden="false" customHeight="false" outlineLevel="0" collapsed="false">
      <c r="G264" s="230"/>
    </row>
    <row r="265" customFormat="false" ht="15.75" hidden="false" customHeight="false" outlineLevel="0" collapsed="false">
      <c r="G265" s="230"/>
    </row>
    <row r="266" customFormat="false" ht="15.75" hidden="false" customHeight="false" outlineLevel="0" collapsed="false">
      <c r="G266" s="230"/>
    </row>
    <row r="267" customFormat="false" ht="15.75" hidden="false" customHeight="false" outlineLevel="0" collapsed="false">
      <c r="G267" s="230"/>
    </row>
    <row r="268" customFormat="false" ht="15.75" hidden="false" customHeight="false" outlineLevel="0" collapsed="false">
      <c r="G268" s="230"/>
    </row>
    <row r="269" customFormat="false" ht="15.75" hidden="false" customHeight="false" outlineLevel="0" collapsed="false">
      <c r="G269" s="230"/>
    </row>
    <row r="270" customFormat="false" ht="15.75" hidden="false" customHeight="false" outlineLevel="0" collapsed="false">
      <c r="G270" s="230"/>
    </row>
    <row r="271" customFormat="false" ht="15.75" hidden="false" customHeight="false" outlineLevel="0" collapsed="false">
      <c r="G271" s="230"/>
    </row>
    <row r="272" customFormat="false" ht="15.75" hidden="false" customHeight="false" outlineLevel="0" collapsed="false">
      <c r="G272" s="230"/>
    </row>
    <row r="273" customFormat="false" ht="15.75" hidden="false" customHeight="false" outlineLevel="0" collapsed="false">
      <c r="G273" s="230"/>
    </row>
    <row r="274" customFormat="false" ht="15.75" hidden="false" customHeight="false" outlineLevel="0" collapsed="false">
      <c r="G274" s="230"/>
    </row>
    <row r="275" customFormat="false" ht="15.75" hidden="false" customHeight="false" outlineLevel="0" collapsed="false">
      <c r="G275" s="230"/>
    </row>
    <row r="276" customFormat="false" ht="15.75" hidden="false" customHeight="false" outlineLevel="0" collapsed="false">
      <c r="G276" s="230"/>
    </row>
    <row r="277" customFormat="false" ht="15.75" hidden="false" customHeight="false" outlineLevel="0" collapsed="false">
      <c r="G277" s="230"/>
    </row>
    <row r="278" customFormat="false" ht="15.75" hidden="false" customHeight="false" outlineLevel="0" collapsed="false">
      <c r="G278" s="230"/>
    </row>
    <row r="279" customFormat="false" ht="15.75" hidden="false" customHeight="false" outlineLevel="0" collapsed="false">
      <c r="G279" s="230"/>
    </row>
    <row r="280" customFormat="false" ht="15.75" hidden="false" customHeight="false" outlineLevel="0" collapsed="false">
      <c r="G280" s="230"/>
    </row>
    <row r="281" customFormat="false" ht="15.75" hidden="false" customHeight="false" outlineLevel="0" collapsed="false">
      <c r="G281" s="230"/>
    </row>
    <row r="282" customFormat="false" ht="15.75" hidden="false" customHeight="false" outlineLevel="0" collapsed="false">
      <c r="G282" s="230"/>
    </row>
    <row r="283" customFormat="false" ht="15.75" hidden="false" customHeight="false" outlineLevel="0" collapsed="false">
      <c r="G283" s="230"/>
    </row>
    <row r="284" customFormat="false" ht="15.75" hidden="false" customHeight="false" outlineLevel="0" collapsed="false">
      <c r="G284" s="230"/>
    </row>
    <row r="285" customFormat="false" ht="15.75" hidden="false" customHeight="false" outlineLevel="0" collapsed="false">
      <c r="G285" s="230"/>
    </row>
    <row r="286" customFormat="false" ht="15.75" hidden="false" customHeight="false" outlineLevel="0" collapsed="false">
      <c r="G286" s="230"/>
    </row>
    <row r="287" customFormat="false" ht="15.75" hidden="false" customHeight="false" outlineLevel="0" collapsed="false">
      <c r="G287" s="230"/>
    </row>
    <row r="288" customFormat="false" ht="15.75" hidden="false" customHeight="false" outlineLevel="0" collapsed="false">
      <c r="G288" s="230"/>
    </row>
    <row r="289" customFormat="false" ht="15.75" hidden="false" customHeight="false" outlineLevel="0" collapsed="false">
      <c r="G289" s="230"/>
    </row>
    <row r="290" customFormat="false" ht="15.75" hidden="false" customHeight="false" outlineLevel="0" collapsed="false">
      <c r="G290" s="230"/>
    </row>
    <row r="291" customFormat="false" ht="15.75" hidden="false" customHeight="false" outlineLevel="0" collapsed="false">
      <c r="G291" s="230"/>
    </row>
    <row r="292" customFormat="false" ht="15.75" hidden="false" customHeight="false" outlineLevel="0" collapsed="false">
      <c r="G292" s="230"/>
    </row>
    <row r="293" customFormat="false" ht="15.75" hidden="false" customHeight="false" outlineLevel="0" collapsed="false">
      <c r="G293" s="230"/>
    </row>
    <row r="294" customFormat="false" ht="15.75" hidden="false" customHeight="false" outlineLevel="0" collapsed="false">
      <c r="G294" s="230"/>
    </row>
    <row r="295" customFormat="false" ht="15.75" hidden="false" customHeight="false" outlineLevel="0" collapsed="false">
      <c r="G295" s="230"/>
    </row>
    <row r="296" customFormat="false" ht="15.75" hidden="false" customHeight="false" outlineLevel="0" collapsed="false">
      <c r="G296" s="230"/>
    </row>
    <row r="297" customFormat="false" ht="15.75" hidden="false" customHeight="false" outlineLevel="0" collapsed="false">
      <c r="G297" s="230"/>
    </row>
    <row r="298" customFormat="false" ht="15.75" hidden="false" customHeight="false" outlineLevel="0" collapsed="false">
      <c r="G298" s="230"/>
    </row>
    <row r="299" customFormat="false" ht="15.75" hidden="false" customHeight="false" outlineLevel="0" collapsed="false">
      <c r="G299" s="230"/>
    </row>
    <row r="300" customFormat="false" ht="15.75" hidden="false" customHeight="false" outlineLevel="0" collapsed="false">
      <c r="G300" s="230"/>
    </row>
    <row r="301" customFormat="false" ht="15.75" hidden="false" customHeight="false" outlineLevel="0" collapsed="false">
      <c r="G301" s="230"/>
    </row>
    <row r="302" customFormat="false" ht="15.75" hidden="false" customHeight="false" outlineLevel="0" collapsed="false">
      <c r="G302" s="230"/>
    </row>
    <row r="303" customFormat="false" ht="15.75" hidden="false" customHeight="false" outlineLevel="0" collapsed="false">
      <c r="G303" s="230"/>
    </row>
    <row r="304" customFormat="false" ht="15.75" hidden="false" customHeight="false" outlineLevel="0" collapsed="false">
      <c r="G304" s="230"/>
    </row>
    <row r="305" customFormat="false" ht="15.75" hidden="false" customHeight="false" outlineLevel="0" collapsed="false">
      <c r="G305" s="230"/>
    </row>
    <row r="306" customFormat="false" ht="15.75" hidden="false" customHeight="false" outlineLevel="0" collapsed="false">
      <c r="G306" s="230"/>
    </row>
    <row r="307" customFormat="false" ht="15.75" hidden="false" customHeight="false" outlineLevel="0" collapsed="false">
      <c r="G307" s="230"/>
    </row>
    <row r="308" customFormat="false" ht="15.75" hidden="false" customHeight="false" outlineLevel="0" collapsed="false">
      <c r="G308" s="230"/>
    </row>
    <row r="309" customFormat="false" ht="15.75" hidden="false" customHeight="false" outlineLevel="0" collapsed="false">
      <c r="G309" s="230"/>
    </row>
    <row r="310" customFormat="false" ht="15.75" hidden="false" customHeight="false" outlineLevel="0" collapsed="false">
      <c r="G310" s="230"/>
    </row>
    <row r="311" customFormat="false" ht="15.75" hidden="false" customHeight="false" outlineLevel="0" collapsed="false">
      <c r="G311" s="230"/>
    </row>
    <row r="312" customFormat="false" ht="15.75" hidden="false" customHeight="false" outlineLevel="0" collapsed="false">
      <c r="G312" s="230"/>
    </row>
    <row r="313" customFormat="false" ht="15.75" hidden="false" customHeight="false" outlineLevel="0" collapsed="false">
      <c r="G313" s="230"/>
    </row>
    <row r="314" customFormat="false" ht="15.75" hidden="false" customHeight="false" outlineLevel="0" collapsed="false">
      <c r="G314" s="230"/>
    </row>
    <row r="315" customFormat="false" ht="15.75" hidden="false" customHeight="false" outlineLevel="0" collapsed="false">
      <c r="G315" s="230"/>
    </row>
    <row r="316" customFormat="false" ht="15.75" hidden="false" customHeight="false" outlineLevel="0" collapsed="false">
      <c r="G316" s="230"/>
    </row>
    <row r="317" customFormat="false" ht="15.75" hidden="false" customHeight="false" outlineLevel="0" collapsed="false">
      <c r="G317" s="230"/>
    </row>
    <row r="318" customFormat="false" ht="15.75" hidden="false" customHeight="false" outlineLevel="0" collapsed="false">
      <c r="G318" s="230"/>
    </row>
    <row r="319" customFormat="false" ht="15.75" hidden="false" customHeight="false" outlineLevel="0" collapsed="false">
      <c r="G319" s="230"/>
    </row>
    <row r="320" customFormat="false" ht="15.75" hidden="false" customHeight="false" outlineLevel="0" collapsed="false">
      <c r="G320" s="230"/>
    </row>
    <row r="321" customFormat="false" ht="15.75" hidden="false" customHeight="false" outlineLevel="0" collapsed="false">
      <c r="G321" s="230"/>
    </row>
    <row r="322" customFormat="false" ht="15.75" hidden="false" customHeight="false" outlineLevel="0" collapsed="false">
      <c r="G322" s="230"/>
    </row>
    <row r="323" customFormat="false" ht="15.75" hidden="false" customHeight="false" outlineLevel="0" collapsed="false">
      <c r="G323" s="230"/>
    </row>
    <row r="324" customFormat="false" ht="15.75" hidden="false" customHeight="false" outlineLevel="0" collapsed="false">
      <c r="G324" s="230"/>
    </row>
    <row r="325" customFormat="false" ht="15.75" hidden="false" customHeight="false" outlineLevel="0" collapsed="false">
      <c r="G325" s="230"/>
    </row>
    <row r="326" customFormat="false" ht="15.75" hidden="false" customHeight="false" outlineLevel="0" collapsed="false">
      <c r="G326" s="230"/>
    </row>
    <row r="327" customFormat="false" ht="15.75" hidden="false" customHeight="false" outlineLevel="0" collapsed="false">
      <c r="G327" s="230"/>
    </row>
    <row r="328" customFormat="false" ht="15.75" hidden="false" customHeight="false" outlineLevel="0" collapsed="false">
      <c r="G328" s="230"/>
    </row>
    <row r="329" customFormat="false" ht="15.75" hidden="false" customHeight="false" outlineLevel="0" collapsed="false">
      <c r="G329" s="230"/>
    </row>
    <row r="330" customFormat="false" ht="15.75" hidden="false" customHeight="false" outlineLevel="0" collapsed="false">
      <c r="G330" s="230"/>
    </row>
    <row r="331" customFormat="false" ht="15.75" hidden="false" customHeight="false" outlineLevel="0" collapsed="false">
      <c r="G331" s="230"/>
    </row>
    <row r="332" customFormat="false" ht="15.75" hidden="false" customHeight="false" outlineLevel="0" collapsed="false">
      <c r="G332" s="230"/>
    </row>
    <row r="333" customFormat="false" ht="15.75" hidden="false" customHeight="false" outlineLevel="0" collapsed="false">
      <c r="G333" s="230"/>
    </row>
    <row r="334" customFormat="false" ht="15.75" hidden="false" customHeight="false" outlineLevel="0" collapsed="false">
      <c r="G334" s="230"/>
    </row>
    <row r="335" customFormat="false" ht="15.75" hidden="false" customHeight="false" outlineLevel="0" collapsed="false">
      <c r="G335" s="230"/>
    </row>
    <row r="336" customFormat="false" ht="15.75" hidden="false" customHeight="false" outlineLevel="0" collapsed="false">
      <c r="G336" s="230"/>
    </row>
    <row r="337" customFormat="false" ht="15.75" hidden="false" customHeight="false" outlineLevel="0" collapsed="false">
      <c r="G337" s="230"/>
    </row>
    <row r="338" customFormat="false" ht="15.75" hidden="false" customHeight="false" outlineLevel="0" collapsed="false">
      <c r="G338" s="230"/>
    </row>
    <row r="339" customFormat="false" ht="15.75" hidden="false" customHeight="false" outlineLevel="0" collapsed="false">
      <c r="G339" s="230"/>
    </row>
    <row r="340" customFormat="false" ht="15.75" hidden="false" customHeight="false" outlineLevel="0" collapsed="false">
      <c r="G340" s="230"/>
    </row>
    <row r="341" customFormat="false" ht="15.75" hidden="false" customHeight="false" outlineLevel="0" collapsed="false">
      <c r="G341" s="230"/>
    </row>
    <row r="342" customFormat="false" ht="15.75" hidden="false" customHeight="false" outlineLevel="0" collapsed="false">
      <c r="G342" s="230"/>
    </row>
    <row r="343" customFormat="false" ht="15.75" hidden="false" customHeight="false" outlineLevel="0" collapsed="false">
      <c r="G343" s="230"/>
    </row>
    <row r="344" customFormat="false" ht="15.75" hidden="false" customHeight="false" outlineLevel="0" collapsed="false">
      <c r="G344" s="230"/>
    </row>
    <row r="345" customFormat="false" ht="15.75" hidden="false" customHeight="false" outlineLevel="0" collapsed="false">
      <c r="G345" s="230"/>
    </row>
    <row r="346" customFormat="false" ht="15.75" hidden="false" customHeight="false" outlineLevel="0" collapsed="false">
      <c r="G346" s="230"/>
    </row>
    <row r="347" customFormat="false" ht="15.75" hidden="false" customHeight="false" outlineLevel="0" collapsed="false">
      <c r="G347" s="230"/>
    </row>
    <row r="348" customFormat="false" ht="15.75" hidden="false" customHeight="false" outlineLevel="0" collapsed="false">
      <c r="G348" s="230"/>
    </row>
    <row r="349" customFormat="false" ht="15.75" hidden="false" customHeight="false" outlineLevel="0" collapsed="false">
      <c r="G349" s="230"/>
    </row>
    <row r="350" customFormat="false" ht="15.75" hidden="false" customHeight="false" outlineLevel="0" collapsed="false">
      <c r="G350" s="230"/>
    </row>
    <row r="351" customFormat="false" ht="15.75" hidden="false" customHeight="false" outlineLevel="0" collapsed="false">
      <c r="G351" s="230"/>
    </row>
    <row r="352" customFormat="false" ht="15.75" hidden="false" customHeight="false" outlineLevel="0" collapsed="false">
      <c r="G352" s="230"/>
    </row>
    <row r="353" customFormat="false" ht="15.75" hidden="false" customHeight="false" outlineLevel="0" collapsed="false">
      <c r="G353" s="230"/>
    </row>
    <row r="354" customFormat="false" ht="15.75" hidden="false" customHeight="false" outlineLevel="0" collapsed="false">
      <c r="G354" s="230"/>
    </row>
    <row r="355" customFormat="false" ht="15.75" hidden="false" customHeight="false" outlineLevel="0" collapsed="false">
      <c r="G355" s="230"/>
    </row>
    <row r="356" customFormat="false" ht="15.75" hidden="false" customHeight="false" outlineLevel="0" collapsed="false">
      <c r="G356" s="230"/>
    </row>
    <row r="357" customFormat="false" ht="15.75" hidden="false" customHeight="false" outlineLevel="0" collapsed="false">
      <c r="G357" s="230"/>
    </row>
    <row r="358" customFormat="false" ht="15.75" hidden="false" customHeight="false" outlineLevel="0" collapsed="false">
      <c r="G358" s="230"/>
    </row>
    <row r="359" customFormat="false" ht="15.75" hidden="false" customHeight="false" outlineLevel="0" collapsed="false">
      <c r="G359" s="230"/>
    </row>
    <row r="360" customFormat="false" ht="15.75" hidden="false" customHeight="false" outlineLevel="0" collapsed="false">
      <c r="G360" s="230"/>
    </row>
    <row r="361" customFormat="false" ht="15.75" hidden="false" customHeight="false" outlineLevel="0" collapsed="false">
      <c r="G361" s="230"/>
    </row>
    <row r="362" customFormat="false" ht="15.75" hidden="false" customHeight="false" outlineLevel="0" collapsed="false">
      <c r="G362" s="230"/>
    </row>
    <row r="363" customFormat="false" ht="15.75" hidden="false" customHeight="false" outlineLevel="0" collapsed="false">
      <c r="G363" s="230"/>
    </row>
    <row r="364" customFormat="false" ht="15.75" hidden="false" customHeight="false" outlineLevel="0" collapsed="false">
      <c r="G364" s="230"/>
    </row>
    <row r="365" customFormat="false" ht="15.75" hidden="false" customHeight="false" outlineLevel="0" collapsed="false">
      <c r="G365" s="230"/>
    </row>
    <row r="366" customFormat="false" ht="15.75" hidden="false" customHeight="false" outlineLevel="0" collapsed="false">
      <c r="G366" s="230"/>
    </row>
    <row r="367" customFormat="false" ht="15.75" hidden="false" customHeight="false" outlineLevel="0" collapsed="false">
      <c r="G367" s="230"/>
    </row>
    <row r="368" customFormat="false" ht="15.75" hidden="false" customHeight="false" outlineLevel="0" collapsed="false">
      <c r="G368" s="230"/>
    </row>
    <row r="369" customFormat="false" ht="15.75" hidden="false" customHeight="false" outlineLevel="0" collapsed="false">
      <c r="G369" s="230"/>
    </row>
    <row r="370" customFormat="false" ht="15.75" hidden="false" customHeight="false" outlineLevel="0" collapsed="false">
      <c r="G370" s="230"/>
    </row>
    <row r="371" customFormat="false" ht="15.75" hidden="false" customHeight="false" outlineLevel="0" collapsed="false">
      <c r="G371" s="230"/>
    </row>
    <row r="372" customFormat="false" ht="15.75" hidden="false" customHeight="false" outlineLevel="0" collapsed="false">
      <c r="G372" s="230"/>
    </row>
    <row r="373" customFormat="false" ht="15.75" hidden="false" customHeight="false" outlineLevel="0" collapsed="false">
      <c r="G373" s="230"/>
    </row>
    <row r="374" customFormat="false" ht="15.75" hidden="false" customHeight="false" outlineLevel="0" collapsed="false">
      <c r="G374" s="230"/>
    </row>
    <row r="375" customFormat="false" ht="15.75" hidden="false" customHeight="false" outlineLevel="0" collapsed="false">
      <c r="G375" s="230"/>
    </row>
    <row r="376" customFormat="false" ht="15.75" hidden="false" customHeight="false" outlineLevel="0" collapsed="false">
      <c r="G376" s="230"/>
    </row>
    <row r="377" customFormat="false" ht="15.75" hidden="false" customHeight="false" outlineLevel="0" collapsed="false">
      <c r="G377" s="230"/>
    </row>
    <row r="378" customFormat="false" ht="15.75" hidden="false" customHeight="false" outlineLevel="0" collapsed="false">
      <c r="G378" s="230"/>
    </row>
    <row r="379" customFormat="false" ht="15.75" hidden="false" customHeight="false" outlineLevel="0" collapsed="false">
      <c r="G379" s="230"/>
    </row>
    <row r="380" customFormat="false" ht="15.75" hidden="false" customHeight="false" outlineLevel="0" collapsed="false">
      <c r="G380" s="230"/>
    </row>
    <row r="381" customFormat="false" ht="15.75" hidden="false" customHeight="false" outlineLevel="0" collapsed="false">
      <c r="G381" s="230"/>
    </row>
    <row r="382" customFormat="false" ht="15.75" hidden="false" customHeight="false" outlineLevel="0" collapsed="false">
      <c r="G382" s="230"/>
    </row>
    <row r="383" customFormat="false" ht="15.75" hidden="false" customHeight="false" outlineLevel="0" collapsed="false">
      <c r="G383" s="230"/>
    </row>
    <row r="384" customFormat="false" ht="15.75" hidden="false" customHeight="false" outlineLevel="0" collapsed="false">
      <c r="G384" s="230"/>
    </row>
    <row r="385" customFormat="false" ht="15.75" hidden="false" customHeight="false" outlineLevel="0" collapsed="false">
      <c r="G385" s="230"/>
    </row>
    <row r="386" customFormat="false" ht="15.75" hidden="false" customHeight="false" outlineLevel="0" collapsed="false">
      <c r="G386" s="230"/>
    </row>
    <row r="387" customFormat="false" ht="15.75" hidden="false" customHeight="false" outlineLevel="0" collapsed="false">
      <c r="G387" s="230"/>
    </row>
    <row r="388" customFormat="false" ht="15.75" hidden="false" customHeight="false" outlineLevel="0" collapsed="false">
      <c r="G388" s="230"/>
    </row>
    <row r="389" customFormat="false" ht="15.75" hidden="false" customHeight="false" outlineLevel="0" collapsed="false">
      <c r="G389" s="230"/>
    </row>
    <row r="390" customFormat="false" ht="15.75" hidden="false" customHeight="false" outlineLevel="0" collapsed="false">
      <c r="G390" s="230"/>
    </row>
    <row r="391" customFormat="false" ht="15.75" hidden="false" customHeight="false" outlineLevel="0" collapsed="false">
      <c r="G391" s="230"/>
    </row>
    <row r="392" customFormat="false" ht="15.75" hidden="false" customHeight="false" outlineLevel="0" collapsed="false">
      <c r="G392" s="230"/>
    </row>
    <row r="393" customFormat="false" ht="15.75" hidden="false" customHeight="false" outlineLevel="0" collapsed="false">
      <c r="G393" s="230"/>
    </row>
    <row r="394" customFormat="false" ht="15.75" hidden="false" customHeight="false" outlineLevel="0" collapsed="false">
      <c r="G394" s="230"/>
    </row>
    <row r="395" customFormat="false" ht="15.75" hidden="false" customHeight="false" outlineLevel="0" collapsed="false">
      <c r="G395" s="230"/>
    </row>
    <row r="396" customFormat="false" ht="15.75" hidden="false" customHeight="false" outlineLevel="0" collapsed="false">
      <c r="G396" s="230"/>
    </row>
    <row r="397" customFormat="false" ht="15.75" hidden="false" customHeight="false" outlineLevel="0" collapsed="false">
      <c r="G397" s="230"/>
    </row>
    <row r="398" customFormat="false" ht="15.75" hidden="false" customHeight="false" outlineLevel="0" collapsed="false">
      <c r="G398" s="230"/>
    </row>
    <row r="399" customFormat="false" ht="15.75" hidden="false" customHeight="false" outlineLevel="0" collapsed="false">
      <c r="G399" s="230"/>
    </row>
    <row r="400" customFormat="false" ht="15.75" hidden="false" customHeight="false" outlineLevel="0" collapsed="false">
      <c r="G400" s="230"/>
    </row>
    <row r="401" customFormat="false" ht="15.75" hidden="false" customHeight="false" outlineLevel="0" collapsed="false">
      <c r="G401" s="230"/>
    </row>
    <row r="402" customFormat="false" ht="15.75" hidden="false" customHeight="false" outlineLevel="0" collapsed="false">
      <c r="G402" s="230"/>
    </row>
    <row r="403" customFormat="false" ht="15.75" hidden="false" customHeight="false" outlineLevel="0" collapsed="false">
      <c r="G403" s="230"/>
    </row>
    <row r="404" customFormat="false" ht="15.75" hidden="false" customHeight="false" outlineLevel="0" collapsed="false">
      <c r="G404" s="230"/>
    </row>
    <row r="405" customFormat="false" ht="15.75" hidden="false" customHeight="false" outlineLevel="0" collapsed="false">
      <c r="G405" s="230"/>
    </row>
    <row r="406" customFormat="false" ht="15.75" hidden="false" customHeight="false" outlineLevel="0" collapsed="false">
      <c r="G406" s="230"/>
    </row>
    <row r="407" customFormat="false" ht="15.75" hidden="false" customHeight="false" outlineLevel="0" collapsed="false">
      <c r="G407" s="230"/>
    </row>
    <row r="408" customFormat="false" ht="15.75" hidden="false" customHeight="false" outlineLevel="0" collapsed="false">
      <c r="G408" s="230"/>
    </row>
    <row r="409" customFormat="false" ht="15.75" hidden="false" customHeight="false" outlineLevel="0" collapsed="false">
      <c r="G409" s="230"/>
    </row>
    <row r="410" customFormat="false" ht="15.75" hidden="false" customHeight="false" outlineLevel="0" collapsed="false">
      <c r="G410" s="230"/>
    </row>
    <row r="411" customFormat="false" ht="15.75" hidden="false" customHeight="false" outlineLevel="0" collapsed="false">
      <c r="G411" s="230"/>
    </row>
    <row r="412" customFormat="false" ht="15.75" hidden="false" customHeight="false" outlineLevel="0" collapsed="false">
      <c r="G412" s="230"/>
    </row>
    <row r="413" customFormat="false" ht="15.75" hidden="false" customHeight="false" outlineLevel="0" collapsed="false">
      <c r="G413" s="230"/>
    </row>
    <row r="414" customFormat="false" ht="15.75" hidden="false" customHeight="false" outlineLevel="0" collapsed="false">
      <c r="G414" s="230"/>
    </row>
    <row r="415" customFormat="false" ht="15.75" hidden="false" customHeight="false" outlineLevel="0" collapsed="false">
      <c r="G415" s="230"/>
    </row>
    <row r="416" customFormat="false" ht="15.75" hidden="false" customHeight="false" outlineLevel="0" collapsed="false">
      <c r="G416" s="230"/>
    </row>
    <row r="417" customFormat="false" ht="15.75" hidden="false" customHeight="false" outlineLevel="0" collapsed="false">
      <c r="G417" s="230"/>
    </row>
    <row r="418" customFormat="false" ht="15.75" hidden="false" customHeight="false" outlineLevel="0" collapsed="false">
      <c r="G418" s="230"/>
    </row>
    <row r="419" customFormat="false" ht="15.75" hidden="false" customHeight="false" outlineLevel="0" collapsed="false">
      <c r="G419" s="230"/>
    </row>
    <row r="420" customFormat="false" ht="15.75" hidden="false" customHeight="false" outlineLevel="0" collapsed="false">
      <c r="G420" s="230"/>
    </row>
    <row r="421" customFormat="false" ht="15.75" hidden="false" customHeight="false" outlineLevel="0" collapsed="false">
      <c r="G421" s="230"/>
    </row>
    <row r="422" customFormat="false" ht="15.75" hidden="false" customHeight="false" outlineLevel="0" collapsed="false">
      <c r="G422" s="230"/>
    </row>
    <row r="423" customFormat="false" ht="15.75" hidden="false" customHeight="false" outlineLevel="0" collapsed="false">
      <c r="G423" s="230"/>
    </row>
    <row r="424" customFormat="false" ht="15.75" hidden="false" customHeight="false" outlineLevel="0" collapsed="false">
      <c r="G424" s="230"/>
    </row>
    <row r="425" customFormat="false" ht="15.75" hidden="false" customHeight="false" outlineLevel="0" collapsed="false">
      <c r="G425" s="230"/>
    </row>
    <row r="426" customFormat="false" ht="15.75" hidden="false" customHeight="false" outlineLevel="0" collapsed="false">
      <c r="G426" s="230"/>
    </row>
    <row r="427" customFormat="false" ht="15.75" hidden="false" customHeight="false" outlineLevel="0" collapsed="false">
      <c r="G427" s="230"/>
    </row>
    <row r="428" customFormat="false" ht="15.75" hidden="false" customHeight="false" outlineLevel="0" collapsed="false">
      <c r="G428" s="230"/>
    </row>
    <row r="429" customFormat="false" ht="15.75" hidden="false" customHeight="false" outlineLevel="0" collapsed="false">
      <c r="G429" s="230"/>
    </row>
    <row r="430" customFormat="false" ht="15.75" hidden="false" customHeight="false" outlineLevel="0" collapsed="false">
      <c r="G430" s="230"/>
    </row>
    <row r="431" customFormat="false" ht="15.75" hidden="false" customHeight="false" outlineLevel="0" collapsed="false">
      <c r="G431" s="230"/>
    </row>
    <row r="432" customFormat="false" ht="15.75" hidden="false" customHeight="false" outlineLevel="0" collapsed="false">
      <c r="G432" s="230"/>
    </row>
    <row r="433" customFormat="false" ht="15.75" hidden="false" customHeight="false" outlineLevel="0" collapsed="false">
      <c r="G433" s="230"/>
    </row>
    <row r="434" customFormat="false" ht="15.75" hidden="false" customHeight="false" outlineLevel="0" collapsed="false">
      <c r="G434" s="230"/>
    </row>
    <row r="435" customFormat="false" ht="15.75" hidden="false" customHeight="false" outlineLevel="0" collapsed="false">
      <c r="G435" s="230"/>
    </row>
    <row r="436" customFormat="false" ht="15.75" hidden="false" customHeight="false" outlineLevel="0" collapsed="false">
      <c r="G436" s="230"/>
    </row>
    <row r="437" customFormat="false" ht="15.75" hidden="false" customHeight="false" outlineLevel="0" collapsed="false">
      <c r="G437" s="230"/>
    </row>
    <row r="438" customFormat="false" ht="15.75" hidden="false" customHeight="false" outlineLevel="0" collapsed="false">
      <c r="G438" s="230"/>
    </row>
    <row r="439" customFormat="false" ht="15.75" hidden="false" customHeight="false" outlineLevel="0" collapsed="false">
      <c r="G439" s="230"/>
    </row>
    <row r="440" customFormat="false" ht="15.75" hidden="false" customHeight="false" outlineLevel="0" collapsed="false">
      <c r="G440" s="230"/>
    </row>
    <row r="441" customFormat="false" ht="15.75" hidden="false" customHeight="false" outlineLevel="0" collapsed="false">
      <c r="G441" s="230"/>
    </row>
    <row r="442" customFormat="false" ht="15.75" hidden="false" customHeight="false" outlineLevel="0" collapsed="false">
      <c r="G442" s="230"/>
    </row>
    <row r="443" customFormat="false" ht="15.75" hidden="false" customHeight="false" outlineLevel="0" collapsed="false">
      <c r="G443" s="230"/>
    </row>
    <row r="444" customFormat="false" ht="15.75" hidden="false" customHeight="false" outlineLevel="0" collapsed="false">
      <c r="G444" s="230"/>
    </row>
    <row r="445" customFormat="false" ht="15.75" hidden="false" customHeight="false" outlineLevel="0" collapsed="false">
      <c r="G445" s="230"/>
    </row>
    <row r="446" customFormat="false" ht="15.75" hidden="false" customHeight="false" outlineLevel="0" collapsed="false">
      <c r="G446" s="230"/>
    </row>
    <row r="447" customFormat="false" ht="15.75" hidden="false" customHeight="false" outlineLevel="0" collapsed="false">
      <c r="G447" s="230"/>
    </row>
    <row r="448" customFormat="false" ht="15.75" hidden="false" customHeight="false" outlineLevel="0" collapsed="false">
      <c r="G448" s="230"/>
    </row>
    <row r="449" customFormat="false" ht="15.75" hidden="false" customHeight="false" outlineLevel="0" collapsed="false">
      <c r="G449" s="230"/>
    </row>
    <row r="450" customFormat="false" ht="15.75" hidden="false" customHeight="false" outlineLevel="0" collapsed="false">
      <c r="G450" s="230"/>
    </row>
    <row r="451" customFormat="false" ht="15.75" hidden="false" customHeight="false" outlineLevel="0" collapsed="false">
      <c r="G451" s="230"/>
    </row>
    <row r="452" customFormat="false" ht="15.75" hidden="false" customHeight="false" outlineLevel="0" collapsed="false">
      <c r="G452" s="230"/>
    </row>
    <row r="453" customFormat="false" ht="15.75" hidden="false" customHeight="false" outlineLevel="0" collapsed="false">
      <c r="G453" s="230"/>
    </row>
    <row r="454" customFormat="false" ht="15.75" hidden="false" customHeight="false" outlineLevel="0" collapsed="false">
      <c r="G454" s="230"/>
    </row>
    <row r="455" customFormat="false" ht="15.75" hidden="false" customHeight="false" outlineLevel="0" collapsed="false">
      <c r="G455" s="230"/>
    </row>
    <row r="456" customFormat="false" ht="15.75" hidden="false" customHeight="false" outlineLevel="0" collapsed="false">
      <c r="G456" s="230"/>
    </row>
    <row r="457" customFormat="false" ht="15.75" hidden="false" customHeight="false" outlineLevel="0" collapsed="false">
      <c r="G457" s="230"/>
    </row>
    <row r="458" customFormat="false" ht="15.75" hidden="false" customHeight="false" outlineLevel="0" collapsed="false">
      <c r="G458" s="230"/>
    </row>
    <row r="459" customFormat="false" ht="15.75" hidden="false" customHeight="false" outlineLevel="0" collapsed="false">
      <c r="G459" s="230"/>
    </row>
    <row r="460" customFormat="false" ht="15.75" hidden="false" customHeight="false" outlineLevel="0" collapsed="false">
      <c r="G460" s="230"/>
    </row>
    <row r="461" customFormat="false" ht="15.75" hidden="false" customHeight="false" outlineLevel="0" collapsed="false">
      <c r="G461" s="230"/>
    </row>
    <row r="462" customFormat="false" ht="15.75" hidden="false" customHeight="false" outlineLevel="0" collapsed="false">
      <c r="G462" s="230"/>
    </row>
    <row r="463" customFormat="false" ht="15.75" hidden="false" customHeight="false" outlineLevel="0" collapsed="false">
      <c r="G463" s="230"/>
    </row>
    <row r="464" customFormat="false" ht="15.75" hidden="false" customHeight="false" outlineLevel="0" collapsed="false">
      <c r="G464" s="230"/>
    </row>
    <row r="465" customFormat="false" ht="15.75" hidden="false" customHeight="false" outlineLevel="0" collapsed="false">
      <c r="G465" s="230"/>
    </row>
    <row r="466" customFormat="false" ht="15.75" hidden="false" customHeight="false" outlineLevel="0" collapsed="false">
      <c r="G466" s="230"/>
    </row>
    <row r="467" customFormat="false" ht="15.75" hidden="false" customHeight="false" outlineLevel="0" collapsed="false">
      <c r="G467" s="230"/>
    </row>
    <row r="468" customFormat="false" ht="15.75" hidden="false" customHeight="false" outlineLevel="0" collapsed="false">
      <c r="G468" s="230"/>
    </row>
    <row r="469" customFormat="false" ht="15.75" hidden="false" customHeight="false" outlineLevel="0" collapsed="false">
      <c r="G469" s="230"/>
    </row>
    <row r="470" customFormat="false" ht="15.75" hidden="false" customHeight="false" outlineLevel="0" collapsed="false">
      <c r="G470" s="230"/>
    </row>
    <row r="471" customFormat="false" ht="15.75" hidden="false" customHeight="false" outlineLevel="0" collapsed="false">
      <c r="G471" s="230"/>
    </row>
    <row r="472" customFormat="false" ht="15.75" hidden="false" customHeight="false" outlineLevel="0" collapsed="false">
      <c r="G472" s="230"/>
    </row>
    <row r="473" customFormat="false" ht="15.75" hidden="false" customHeight="false" outlineLevel="0" collapsed="false">
      <c r="G473" s="230"/>
    </row>
    <row r="474" customFormat="false" ht="15.75" hidden="false" customHeight="false" outlineLevel="0" collapsed="false">
      <c r="G474" s="230"/>
    </row>
    <row r="475" customFormat="false" ht="15.75" hidden="false" customHeight="false" outlineLevel="0" collapsed="false">
      <c r="G475" s="230"/>
    </row>
    <row r="476" customFormat="false" ht="15.75" hidden="false" customHeight="false" outlineLevel="0" collapsed="false">
      <c r="G476" s="230"/>
    </row>
    <row r="477" customFormat="false" ht="15.75" hidden="false" customHeight="false" outlineLevel="0" collapsed="false">
      <c r="G477" s="230"/>
    </row>
    <row r="478" customFormat="false" ht="15.75" hidden="false" customHeight="false" outlineLevel="0" collapsed="false">
      <c r="G478" s="230"/>
    </row>
    <row r="479" customFormat="false" ht="15.75" hidden="false" customHeight="false" outlineLevel="0" collapsed="false">
      <c r="G479" s="230"/>
    </row>
    <row r="480" customFormat="false" ht="15.75" hidden="false" customHeight="false" outlineLevel="0" collapsed="false">
      <c r="G480" s="230"/>
    </row>
    <row r="481" customFormat="false" ht="15.75" hidden="false" customHeight="false" outlineLevel="0" collapsed="false">
      <c r="G481" s="230"/>
    </row>
    <row r="482" customFormat="false" ht="15.75" hidden="false" customHeight="false" outlineLevel="0" collapsed="false">
      <c r="G482" s="230"/>
    </row>
    <row r="483" customFormat="false" ht="15.75" hidden="false" customHeight="false" outlineLevel="0" collapsed="false">
      <c r="G483" s="230"/>
    </row>
    <row r="484" customFormat="false" ht="15.75" hidden="false" customHeight="false" outlineLevel="0" collapsed="false">
      <c r="G484" s="230"/>
    </row>
    <row r="485" customFormat="false" ht="15.75" hidden="false" customHeight="false" outlineLevel="0" collapsed="false">
      <c r="G485" s="230"/>
    </row>
    <row r="486" customFormat="false" ht="15.75" hidden="false" customHeight="false" outlineLevel="0" collapsed="false">
      <c r="G486" s="230"/>
    </row>
    <row r="487" customFormat="false" ht="15.75" hidden="false" customHeight="false" outlineLevel="0" collapsed="false">
      <c r="G487" s="230"/>
    </row>
    <row r="488" customFormat="false" ht="15.75" hidden="false" customHeight="false" outlineLevel="0" collapsed="false">
      <c r="G488" s="230"/>
    </row>
    <row r="489" customFormat="false" ht="15.75" hidden="false" customHeight="false" outlineLevel="0" collapsed="false">
      <c r="G489" s="230"/>
    </row>
    <row r="490" customFormat="false" ht="15.75" hidden="false" customHeight="false" outlineLevel="0" collapsed="false">
      <c r="G490" s="230"/>
    </row>
    <row r="491" customFormat="false" ht="15.75" hidden="false" customHeight="false" outlineLevel="0" collapsed="false">
      <c r="G491" s="230"/>
    </row>
    <row r="492" customFormat="false" ht="15.75" hidden="false" customHeight="false" outlineLevel="0" collapsed="false">
      <c r="G492" s="230"/>
    </row>
    <row r="493" customFormat="false" ht="15.75" hidden="false" customHeight="false" outlineLevel="0" collapsed="false">
      <c r="G493" s="230"/>
    </row>
    <row r="494" customFormat="false" ht="15.75" hidden="false" customHeight="false" outlineLevel="0" collapsed="false">
      <c r="G494" s="230"/>
    </row>
    <row r="495" customFormat="false" ht="15.75" hidden="false" customHeight="false" outlineLevel="0" collapsed="false">
      <c r="G495" s="230"/>
    </row>
    <row r="496" customFormat="false" ht="15.75" hidden="false" customHeight="false" outlineLevel="0" collapsed="false">
      <c r="G496" s="230"/>
    </row>
    <row r="497" customFormat="false" ht="15.75" hidden="false" customHeight="false" outlineLevel="0" collapsed="false">
      <c r="G497" s="230"/>
    </row>
    <row r="498" customFormat="false" ht="15.75" hidden="false" customHeight="false" outlineLevel="0" collapsed="false">
      <c r="G498" s="230"/>
    </row>
    <row r="499" customFormat="false" ht="15.75" hidden="false" customHeight="false" outlineLevel="0" collapsed="false">
      <c r="G499" s="230"/>
    </row>
    <row r="500" customFormat="false" ht="15.75" hidden="false" customHeight="false" outlineLevel="0" collapsed="false">
      <c r="G500" s="230"/>
    </row>
    <row r="501" customFormat="false" ht="15.75" hidden="false" customHeight="false" outlineLevel="0" collapsed="false">
      <c r="G501" s="230"/>
    </row>
    <row r="502" customFormat="false" ht="15.75" hidden="false" customHeight="false" outlineLevel="0" collapsed="false">
      <c r="G502" s="230"/>
    </row>
    <row r="503" customFormat="false" ht="15.75" hidden="false" customHeight="false" outlineLevel="0" collapsed="false">
      <c r="G503" s="230"/>
    </row>
    <row r="504" customFormat="false" ht="15.75" hidden="false" customHeight="false" outlineLevel="0" collapsed="false">
      <c r="G504" s="230"/>
    </row>
    <row r="505" customFormat="false" ht="15.75" hidden="false" customHeight="false" outlineLevel="0" collapsed="false">
      <c r="G505" s="230"/>
    </row>
    <row r="506" customFormat="false" ht="15.75" hidden="false" customHeight="false" outlineLevel="0" collapsed="false">
      <c r="G506" s="230"/>
    </row>
    <row r="507" customFormat="false" ht="15.75" hidden="false" customHeight="false" outlineLevel="0" collapsed="false">
      <c r="G507" s="230"/>
    </row>
    <row r="508" customFormat="false" ht="15.75" hidden="false" customHeight="false" outlineLevel="0" collapsed="false">
      <c r="G508" s="230"/>
    </row>
    <row r="509" customFormat="false" ht="15.75" hidden="false" customHeight="false" outlineLevel="0" collapsed="false">
      <c r="G509" s="230"/>
    </row>
    <row r="510" customFormat="false" ht="15.75" hidden="false" customHeight="false" outlineLevel="0" collapsed="false">
      <c r="G510" s="230"/>
    </row>
    <row r="511" customFormat="false" ht="15.75" hidden="false" customHeight="false" outlineLevel="0" collapsed="false">
      <c r="G511" s="230"/>
    </row>
    <row r="512" customFormat="false" ht="15.75" hidden="false" customHeight="false" outlineLevel="0" collapsed="false">
      <c r="G512" s="230"/>
    </row>
    <row r="513" customFormat="false" ht="15.75" hidden="false" customHeight="false" outlineLevel="0" collapsed="false">
      <c r="G513" s="230"/>
    </row>
    <row r="514" customFormat="false" ht="15.75" hidden="false" customHeight="false" outlineLevel="0" collapsed="false">
      <c r="G514" s="230"/>
    </row>
    <row r="515" customFormat="false" ht="15.75" hidden="false" customHeight="false" outlineLevel="0" collapsed="false">
      <c r="G515" s="230"/>
    </row>
    <row r="516" customFormat="false" ht="15.75" hidden="false" customHeight="false" outlineLevel="0" collapsed="false">
      <c r="G516" s="230"/>
    </row>
    <row r="517" customFormat="false" ht="15.75" hidden="false" customHeight="false" outlineLevel="0" collapsed="false">
      <c r="G517" s="230"/>
    </row>
    <row r="518" customFormat="false" ht="15.75" hidden="false" customHeight="false" outlineLevel="0" collapsed="false">
      <c r="G518" s="230"/>
    </row>
    <row r="519" customFormat="false" ht="15.75" hidden="false" customHeight="false" outlineLevel="0" collapsed="false">
      <c r="G519" s="230"/>
    </row>
    <row r="520" customFormat="false" ht="15.75" hidden="false" customHeight="false" outlineLevel="0" collapsed="false">
      <c r="G520" s="230"/>
    </row>
    <row r="521" customFormat="false" ht="15.75" hidden="false" customHeight="false" outlineLevel="0" collapsed="false">
      <c r="G521" s="230"/>
    </row>
    <row r="522" customFormat="false" ht="15.75" hidden="false" customHeight="false" outlineLevel="0" collapsed="false">
      <c r="G522" s="230"/>
    </row>
    <row r="523" customFormat="false" ht="15.75" hidden="false" customHeight="false" outlineLevel="0" collapsed="false">
      <c r="G523" s="230"/>
    </row>
    <row r="524" customFormat="false" ht="15.75" hidden="false" customHeight="false" outlineLevel="0" collapsed="false">
      <c r="G524" s="230"/>
    </row>
    <row r="525" customFormat="false" ht="15.75" hidden="false" customHeight="false" outlineLevel="0" collapsed="false">
      <c r="G525" s="230"/>
    </row>
    <row r="526" customFormat="false" ht="15.75" hidden="false" customHeight="false" outlineLevel="0" collapsed="false">
      <c r="G526" s="230"/>
    </row>
    <row r="527" customFormat="false" ht="15.75" hidden="false" customHeight="false" outlineLevel="0" collapsed="false">
      <c r="G527" s="230"/>
    </row>
    <row r="528" customFormat="false" ht="15.75" hidden="false" customHeight="false" outlineLevel="0" collapsed="false">
      <c r="G528" s="230"/>
    </row>
    <row r="529" customFormat="false" ht="15.75" hidden="false" customHeight="false" outlineLevel="0" collapsed="false">
      <c r="G529" s="230"/>
    </row>
    <row r="530" customFormat="false" ht="15.75" hidden="false" customHeight="false" outlineLevel="0" collapsed="false">
      <c r="G530" s="230"/>
    </row>
    <row r="531" customFormat="false" ht="15.75" hidden="false" customHeight="false" outlineLevel="0" collapsed="false">
      <c r="G531" s="230"/>
    </row>
    <row r="532" customFormat="false" ht="15.75" hidden="false" customHeight="false" outlineLevel="0" collapsed="false">
      <c r="G532" s="230"/>
    </row>
    <row r="533" customFormat="false" ht="15.75" hidden="false" customHeight="false" outlineLevel="0" collapsed="false">
      <c r="G533" s="230"/>
    </row>
    <row r="534" customFormat="false" ht="15.75" hidden="false" customHeight="false" outlineLevel="0" collapsed="false">
      <c r="G534" s="230"/>
    </row>
    <row r="535" customFormat="false" ht="15.75" hidden="false" customHeight="false" outlineLevel="0" collapsed="false">
      <c r="G535" s="230"/>
    </row>
    <row r="536" customFormat="false" ht="15.75" hidden="false" customHeight="false" outlineLevel="0" collapsed="false">
      <c r="G536" s="230"/>
    </row>
    <row r="537" customFormat="false" ht="15.75" hidden="false" customHeight="false" outlineLevel="0" collapsed="false">
      <c r="G537" s="230"/>
    </row>
    <row r="538" customFormat="false" ht="15.75" hidden="false" customHeight="false" outlineLevel="0" collapsed="false">
      <c r="G538" s="230"/>
    </row>
    <row r="539" customFormat="false" ht="15.75" hidden="false" customHeight="false" outlineLevel="0" collapsed="false">
      <c r="G539" s="230"/>
    </row>
    <row r="540" customFormat="false" ht="15.75" hidden="false" customHeight="false" outlineLevel="0" collapsed="false">
      <c r="G540" s="230"/>
    </row>
    <row r="541" customFormat="false" ht="15.75" hidden="false" customHeight="false" outlineLevel="0" collapsed="false">
      <c r="G541" s="230"/>
    </row>
    <row r="542" customFormat="false" ht="15.75" hidden="false" customHeight="false" outlineLevel="0" collapsed="false">
      <c r="G542" s="230"/>
    </row>
    <row r="543" customFormat="false" ht="15.75" hidden="false" customHeight="false" outlineLevel="0" collapsed="false">
      <c r="G543" s="230"/>
    </row>
    <row r="544" customFormat="false" ht="15.75" hidden="false" customHeight="false" outlineLevel="0" collapsed="false">
      <c r="G544" s="230"/>
    </row>
    <row r="545" customFormat="false" ht="15.75" hidden="false" customHeight="false" outlineLevel="0" collapsed="false">
      <c r="G545" s="230"/>
    </row>
    <row r="546" customFormat="false" ht="15.75" hidden="false" customHeight="false" outlineLevel="0" collapsed="false">
      <c r="G546" s="230"/>
    </row>
    <row r="547" customFormat="false" ht="15.75" hidden="false" customHeight="false" outlineLevel="0" collapsed="false">
      <c r="G547" s="230"/>
    </row>
    <row r="548" customFormat="false" ht="15.75" hidden="false" customHeight="false" outlineLevel="0" collapsed="false">
      <c r="G548" s="230"/>
    </row>
    <row r="549" customFormat="false" ht="15.75" hidden="false" customHeight="false" outlineLevel="0" collapsed="false">
      <c r="G549" s="230"/>
    </row>
    <row r="550" customFormat="false" ht="15.75" hidden="false" customHeight="false" outlineLevel="0" collapsed="false">
      <c r="G550" s="230"/>
    </row>
    <row r="551" customFormat="false" ht="15.75" hidden="false" customHeight="false" outlineLevel="0" collapsed="false">
      <c r="G551" s="230"/>
    </row>
    <row r="552" customFormat="false" ht="15.75" hidden="false" customHeight="false" outlineLevel="0" collapsed="false">
      <c r="G552" s="230"/>
    </row>
    <row r="553" customFormat="false" ht="15.75" hidden="false" customHeight="false" outlineLevel="0" collapsed="false">
      <c r="G553" s="230"/>
    </row>
    <row r="554" customFormat="false" ht="15.75" hidden="false" customHeight="false" outlineLevel="0" collapsed="false">
      <c r="G554" s="230"/>
    </row>
    <row r="555" customFormat="false" ht="15.75" hidden="false" customHeight="false" outlineLevel="0" collapsed="false">
      <c r="G555" s="230"/>
    </row>
    <row r="556" customFormat="false" ht="15.75" hidden="false" customHeight="false" outlineLevel="0" collapsed="false">
      <c r="G556" s="230"/>
    </row>
    <row r="557" customFormat="false" ht="15.75" hidden="false" customHeight="false" outlineLevel="0" collapsed="false">
      <c r="G557" s="230"/>
    </row>
    <row r="558" customFormat="false" ht="15.75" hidden="false" customHeight="false" outlineLevel="0" collapsed="false">
      <c r="G558" s="230"/>
    </row>
    <row r="559" customFormat="false" ht="15.75" hidden="false" customHeight="false" outlineLevel="0" collapsed="false">
      <c r="G559" s="230"/>
    </row>
    <row r="560" customFormat="false" ht="15.75" hidden="false" customHeight="false" outlineLevel="0" collapsed="false">
      <c r="G560" s="230"/>
    </row>
    <row r="561" customFormat="false" ht="15.75" hidden="false" customHeight="false" outlineLevel="0" collapsed="false">
      <c r="G561" s="230"/>
    </row>
    <row r="562" customFormat="false" ht="15.75" hidden="false" customHeight="false" outlineLevel="0" collapsed="false">
      <c r="G562" s="230"/>
    </row>
    <row r="563" customFormat="false" ht="15.75" hidden="false" customHeight="false" outlineLevel="0" collapsed="false">
      <c r="G563" s="230"/>
    </row>
    <row r="564" customFormat="false" ht="15.75" hidden="false" customHeight="false" outlineLevel="0" collapsed="false">
      <c r="G564" s="230"/>
    </row>
    <row r="565" customFormat="false" ht="15.75" hidden="false" customHeight="false" outlineLevel="0" collapsed="false">
      <c r="G565" s="230"/>
    </row>
    <row r="566" customFormat="false" ht="15.75" hidden="false" customHeight="false" outlineLevel="0" collapsed="false">
      <c r="G566" s="230"/>
    </row>
    <row r="567" customFormat="false" ht="15.75" hidden="false" customHeight="false" outlineLevel="0" collapsed="false">
      <c r="G567" s="230"/>
    </row>
    <row r="568" customFormat="false" ht="15.75" hidden="false" customHeight="false" outlineLevel="0" collapsed="false">
      <c r="G568" s="230"/>
    </row>
    <row r="569" customFormat="false" ht="15.75" hidden="false" customHeight="false" outlineLevel="0" collapsed="false">
      <c r="G569" s="230"/>
    </row>
    <row r="570" customFormat="false" ht="15.75" hidden="false" customHeight="false" outlineLevel="0" collapsed="false">
      <c r="G570" s="230"/>
    </row>
    <row r="571" customFormat="false" ht="15.75" hidden="false" customHeight="false" outlineLevel="0" collapsed="false">
      <c r="G571" s="230"/>
    </row>
    <row r="572" customFormat="false" ht="15.75" hidden="false" customHeight="false" outlineLevel="0" collapsed="false">
      <c r="G572" s="230"/>
    </row>
    <row r="573" customFormat="false" ht="15.75" hidden="false" customHeight="false" outlineLevel="0" collapsed="false">
      <c r="G573" s="230"/>
    </row>
    <row r="574" customFormat="false" ht="15.75" hidden="false" customHeight="false" outlineLevel="0" collapsed="false">
      <c r="G574" s="230"/>
    </row>
    <row r="575" customFormat="false" ht="15.75" hidden="false" customHeight="false" outlineLevel="0" collapsed="false">
      <c r="G575" s="230"/>
    </row>
    <row r="576" customFormat="false" ht="15.75" hidden="false" customHeight="false" outlineLevel="0" collapsed="false">
      <c r="G576" s="230"/>
    </row>
    <row r="577" customFormat="false" ht="15.75" hidden="false" customHeight="false" outlineLevel="0" collapsed="false">
      <c r="G577" s="230"/>
    </row>
    <row r="578" customFormat="false" ht="15.75" hidden="false" customHeight="false" outlineLevel="0" collapsed="false">
      <c r="G578" s="230"/>
    </row>
    <row r="579" customFormat="false" ht="15.75" hidden="false" customHeight="false" outlineLevel="0" collapsed="false">
      <c r="G579" s="230"/>
    </row>
    <row r="580" customFormat="false" ht="15.75" hidden="false" customHeight="false" outlineLevel="0" collapsed="false">
      <c r="G580" s="230"/>
    </row>
    <row r="581" customFormat="false" ht="15.75" hidden="false" customHeight="false" outlineLevel="0" collapsed="false">
      <c r="G581" s="230"/>
    </row>
    <row r="582" customFormat="false" ht="15.75" hidden="false" customHeight="false" outlineLevel="0" collapsed="false">
      <c r="G582" s="230"/>
    </row>
    <row r="583" customFormat="false" ht="15.75" hidden="false" customHeight="false" outlineLevel="0" collapsed="false">
      <c r="G583" s="230"/>
    </row>
    <row r="584" customFormat="false" ht="15.75" hidden="false" customHeight="false" outlineLevel="0" collapsed="false">
      <c r="G584" s="230"/>
    </row>
    <row r="585" customFormat="false" ht="15.75" hidden="false" customHeight="false" outlineLevel="0" collapsed="false">
      <c r="G585" s="230"/>
    </row>
    <row r="586" customFormat="false" ht="15.75" hidden="false" customHeight="false" outlineLevel="0" collapsed="false">
      <c r="G586" s="230"/>
    </row>
    <row r="587" customFormat="false" ht="15.75" hidden="false" customHeight="false" outlineLevel="0" collapsed="false">
      <c r="G587" s="230"/>
    </row>
    <row r="588" customFormat="false" ht="15.75" hidden="false" customHeight="false" outlineLevel="0" collapsed="false">
      <c r="G588" s="230"/>
    </row>
    <row r="589" customFormat="false" ht="15.75" hidden="false" customHeight="false" outlineLevel="0" collapsed="false">
      <c r="G589" s="230"/>
    </row>
    <row r="590" customFormat="false" ht="15.75" hidden="false" customHeight="false" outlineLevel="0" collapsed="false">
      <c r="G590" s="230"/>
    </row>
    <row r="591" customFormat="false" ht="15.75" hidden="false" customHeight="false" outlineLevel="0" collapsed="false">
      <c r="G591" s="230"/>
    </row>
    <row r="592" customFormat="false" ht="15.75" hidden="false" customHeight="false" outlineLevel="0" collapsed="false">
      <c r="G592" s="230"/>
    </row>
    <row r="593" customFormat="false" ht="15.75" hidden="false" customHeight="false" outlineLevel="0" collapsed="false">
      <c r="G593" s="230"/>
    </row>
    <row r="594" customFormat="false" ht="15.75" hidden="false" customHeight="false" outlineLevel="0" collapsed="false">
      <c r="G594" s="230"/>
    </row>
    <row r="595" customFormat="false" ht="15.75" hidden="false" customHeight="false" outlineLevel="0" collapsed="false">
      <c r="G595" s="230"/>
    </row>
    <row r="596" customFormat="false" ht="15.75" hidden="false" customHeight="false" outlineLevel="0" collapsed="false">
      <c r="G596" s="230"/>
    </row>
    <row r="597" customFormat="false" ht="15.75" hidden="false" customHeight="false" outlineLevel="0" collapsed="false">
      <c r="G597" s="230"/>
    </row>
    <row r="598" customFormat="false" ht="15.75" hidden="false" customHeight="false" outlineLevel="0" collapsed="false">
      <c r="G598" s="230"/>
    </row>
    <row r="599" customFormat="false" ht="15.75" hidden="false" customHeight="false" outlineLevel="0" collapsed="false">
      <c r="G599" s="230"/>
    </row>
    <row r="600" customFormat="false" ht="15.75" hidden="false" customHeight="false" outlineLevel="0" collapsed="false">
      <c r="G600" s="230"/>
    </row>
    <row r="601" customFormat="false" ht="15.75" hidden="false" customHeight="false" outlineLevel="0" collapsed="false">
      <c r="G601" s="230"/>
    </row>
    <row r="602" customFormat="false" ht="15.75" hidden="false" customHeight="false" outlineLevel="0" collapsed="false">
      <c r="G602" s="230"/>
    </row>
    <row r="603" customFormat="false" ht="15.75" hidden="false" customHeight="false" outlineLevel="0" collapsed="false">
      <c r="G603" s="230"/>
    </row>
    <row r="604" customFormat="false" ht="15.75" hidden="false" customHeight="false" outlineLevel="0" collapsed="false">
      <c r="G604" s="230"/>
    </row>
    <row r="605" customFormat="false" ht="15.75" hidden="false" customHeight="false" outlineLevel="0" collapsed="false">
      <c r="G605" s="230"/>
    </row>
    <row r="606" customFormat="false" ht="15.75" hidden="false" customHeight="false" outlineLevel="0" collapsed="false">
      <c r="G606" s="230"/>
    </row>
    <row r="607" customFormat="false" ht="15.75" hidden="false" customHeight="false" outlineLevel="0" collapsed="false">
      <c r="G607" s="230"/>
    </row>
    <row r="608" customFormat="false" ht="15.75" hidden="false" customHeight="false" outlineLevel="0" collapsed="false">
      <c r="G608" s="230"/>
    </row>
    <row r="609" customFormat="false" ht="15.75" hidden="false" customHeight="false" outlineLevel="0" collapsed="false">
      <c r="G609" s="230"/>
    </row>
    <row r="610" customFormat="false" ht="15.75" hidden="false" customHeight="false" outlineLevel="0" collapsed="false">
      <c r="G610" s="230"/>
    </row>
    <row r="611" customFormat="false" ht="15.75" hidden="false" customHeight="false" outlineLevel="0" collapsed="false">
      <c r="G611" s="230"/>
    </row>
    <row r="612" customFormat="false" ht="15.75" hidden="false" customHeight="false" outlineLevel="0" collapsed="false">
      <c r="G612" s="230"/>
    </row>
    <row r="613" customFormat="false" ht="15.75" hidden="false" customHeight="false" outlineLevel="0" collapsed="false">
      <c r="G613" s="230"/>
    </row>
    <row r="614" customFormat="false" ht="15.75" hidden="false" customHeight="false" outlineLevel="0" collapsed="false">
      <c r="G614" s="230"/>
    </row>
    <row r="615" customFormat="false" ht="15.75" hidden="false" customHeight="false" outlineLevel="0" collapsed="false">
      <c r="G615" s="230"/>
    </row>
    <row r="616" customFormat="false" ht="15.75" hidden="false" customHeight="false" outlineLevel="0" collapsed="false">
      <c r="G616" s="230"/>
    </row>
    <row r="617" customFormat="false" ht="15.75" hidden="false" customHeight="false" outlineLevel="0" collapsed="false">
      <c r="G617" s="230"/>
    </row>
    <row r="618" customFormat="false" ht="15.75" hidden="false" customHeight="false" outlineLevel="0" collapsed="false">
      <c r="G618" s="230"/>
    </row>
    <row r="619" customFormat="false" ht="15.75" hidden="false" customHeight="false" outlineLevel="0" collapsed="false">
      <c r="G619" s="230"/>
    </row>
    <row r="620" customFormat="false" ht="15.75" hidden="false" customHeight="false" outlineLevel="0" collapsed="false">
      <c r="G620" s="230"/>
    </row>
    <row r="621" customFormat="false" ht="15.75" hidden="false" customHeight="false" outlineLevel="0" collapsed="false">
      <c r="G621" s="230"/>
    </row>
    <row r="622" customFormat="false" ht="15.75" hidden="false" customHeight="false" outlineLevel="0" collapsed="false">
      <c r="G622" s="230"/>
    </row>
    <row r="623" customFormat="false" ht="15.75" hidden="false" customHeight="false" outlineLevel="0" collapsed="false">
      <c r="G623" s="230"/>
    </row>
    <row r="624" customFormat="false" ht="15.75" hidden="false" customHeight="false" outlineLevel="0" collapsed="false">
      <c r="G624" s="230"/>
    </row>
    <row r="625" customFormat="false" ht="15.75" hidden="false" customHeight="false" outlineLevel="0" collapsed="false">
      <c r="G625" s="230"/>
    </row>
    <row r="626" customFormat="false" ht="15.75" hidden="false" customHeight="false" outlineLevel="0" collapsed="false">
      <c r="G626" s="230"/>
    </row>
    <row r="627" customFormat="false" ht="15.75" hidden="false" customHeight="false" outlineLevel="0" collapsed="false">
      <c r="G627" s="230"/>
    </row>
    <row r="628" customFormat="false" ht="15.75" hidden="false" customHeight="false" outlineLevel="0" collapsed="false">
      <c r="G628" s="230"/>
    </row>
    <row r="629" customFormat="false" ht="15.75" hidden="false" customHeight="false" outlineLevel="0" collapsed="false">
      <c r="G629" s="230"/>
    </row>
    <row r="630" customFormat="false" ht="15.75" hidden="false" customHeight="false" outlineLevel="0" collapsed="false">
      <c r="G630" s="230"/>
    </row>
    <row r="631" customFormat="false" ht="15.75" hidden="false" customHeight="false" outlineLevel="0" collapsed="false">
      <c r="G631" s="230"/>
    </row>
    <row r="632" customFormat="false" ht="15.75" hidden="false" customHeight="false" outlineLevel="0" collapsed="false">
      <c r="G632" s="230"/>
    </row>
    <row r="633" customFormat="false" ht="15.75" hidden="false" customHeight="false" outlineLevel="0" collapsed="false">
      <c r="G633" s="230"/>
    </row>
    <row r="634" customFormat="false" ht="15.75" hidden="false" customHeight="false" outlineLevel="0" collapsed="false">
      <c r="G634" s="230"/>
    </row>
    <row r="635" customFormat="false" ht="15.75" hidden="false" customHeight="false" outlineLevel="0" collapsed="false">
      <c r="G635" s="230"/>
    </row>
    <row r="636" customFormat="false" ht="15.75" hidden="false" customHeight="false" outlineLevel="0" collapsed="false">
      <c r="G636" s="230"/>
    </row>
    <row r="637" customFormat="false" ht="15.75" hidden="false" customHeight="false" outlineLevel="0" collapsed="false">
      <c r="G637" s="230"/>
    </row>
    <row r="638" customFormat="false" ht="15.75" hidden="false" customHeight="false" outlineLevel="0" collapsed="false">
      <c r="G638" s="230"/>
    </row>
    <row r="639" customFormat="false" ht="15.75" hidden="false" customHeight="false" outlineLevel="0" collapsed="false">
      <c r="G639" s="230"/>
    </row>
    <row r="640" customFormat="false" ht="15.75" hidden="false" customHeight="false" outlineLevel="0" collapsed="false">
      <c r="G640" s="230"/>
    </row>
    <row r="641" customFormat="false" ht="15.75" hidden="false" customHeight="false" outlineLevel="0" collapsed="false">
      <c r="G641" s="230"/>
    </row>
    <row r="642" customFormat="false" ht="15.75" hidden="false" customHeight="false" outlineLevel="0" collapsed="false">
      <c r="G642" s="230"/>
    </row>
    <row r="643" customFormat="false" ht="15.75" hidden="false" customHeight="false" outlineLevel="0" collapsed="false">
      <c r="G643" s="230"/>
    </row>
    <row r="644" customFormat="false" ht="15.75" hidden="false" customHeight="false" outlineLevel="0" collapsed="false">
      <c r="G644" s="230"/>
    </row>
    <row r="645" customFormat="false" ht="15.75" hidden="false" customHeight="false" outlineLevel="0" collapsed="false">
      <c r="G645" s="230"/>
    </row>
    <row r="646" customFormat="false" ht="15.75" hidden="false" customHeight="false" outlineLevel="0" collapsed="false">
      <c r="G646" s="230"/>
    </row>
    <row r="647" customFormat="false" ht="15.75" hidden="false" customHeight="false" outlineLevel="0" collapsed="false">
      <c r="G647" s="230"/>
    </row>
    <row r="648" customFormat="false" ht="15.75" hidden="false" customHeight="false" outlineLevel="0" collapsed="false">
      <c r="G648" s="230"/>
    </row>
    <row r="649" customFormat="false" ht="15.75" hidden="false" customHeight="false" outlineLevel="0" collapsed="false">
      <c r="G649" s="230"/>
    </row>
    <row r="650" customFormat="false" ht="15.75" hidden="false" customHeight="false" outlineLevel="0" collapsed="false">
      <c r="G650" s="230"/>
    </row>
    <row r="651" customFormat="false" ht="15.75" hidden="false" customHeight="false" outlineLevel="0" collapsed="false">
      <c r="G651" s="230"/>
    </row>
    <row r="652" customFormat="false" ht="15.75" hidden="false" customHeight="false" outlineLevel="0" collapsed="false">
      <c r="G652" s="230"/>
    </row>
    <row r="653" customFormat="false" ht="15.75" hidden="false" customHeight="false" outlineLevel="0" collapsed="false">
      <c r="G653" s="230"/>
    </row>
    <row r="654" customFormat="false" ht="15.75" hidden="false" customHeight="false" outlineLevel="0" collapsed="false">
      <c r="G654" s="230"/>
    </row>
    <row r="655" customFormat="false" ht="15.75" hidden="false" customHeight="false" outlineLevel="0" collapsed="false">
      <c r="G655" s="230"/>
    </row>
    <row r="656" customFormat="false" ht="15.75" hidden="false" customHeight="false" outlineLevel="0" collapsed="false">
      <c r="G656" s="230"/>
    </row>
    <row r="657" customFormat="false" ht="15.75" hidden="false" customHeight="false" outlineLevel="0" collapsed="false">
      <c r="G657" s="230"/>
    </row>
    <row r="658" customFormat="false" ht="15.75" hidden="false" customHeight="false" outlineLevel="0" collapsed="false">
      <c r="G658" s="230"/>
    </row>
    <row r="659" customFormat="false" ht="15.75" hidden="false" customHeight="false" outlineLevel="0" collapsed="false">
      <c r="G659" s="230"/>
    </row>
    <row r="660" customFormat="false" ht="15.75" hidden="false" customHeight="false" outlineLevel="0" collapsed="false">
      <c r="G660" s="230"/>
    </row>
    <row r="661" customFormat="false" ht="15.75" hidden="false" customHeight="false" outlineLevel="0" collapsed="false">
      <c r="G661" s="230"/>
    </row>
    <row r="662" customFormat="false" ht="15.75" hidden="false" customHeight="false" outlineLevel="0" collapsed="false">
      <c r="G662" s="230"/>
    </row>
    <row r="663" customFormat="false" ht="15.75" hidden="false" customHeight="false" outlineLevel="0" collapsed="false">
      <c r="G663" s="230"/>
    </row>
    <row r="664" customFormat="false" ht="15.75" hidden="false" customHeight="false" outlineLevel="0" collapsed="false">
      <c r="G664" s="230"/>
    </row>
    <row r="665" customFormat="false" ht="15.75" hidden="false" customHeight="false" outlineLevel="0" collapsed="false">
      <c r="G665" s="230"/>
    </row>
    <row r="666" customFormat="false" ht="15.75" hidden="false" customHeight="false" outlineLevel="0" collapsed="false">
      <c r="G666" s="230"/>
    </row>
    <row r="667" customFormat="false" ht="15.75" hidden="false" customHeight="false" outlineLevel="0" collapsed="false">
      <c r="G667" s="230"/>
    </row>
    <row r="668" customFormat="false" ht="15.75" hidden="false" customHeight="false" outlineLevel="0" collapsed="false">
      <c r="G668" s="230"/>
    </row>
    <row r="669" customFormat="false" ht="15.75" hidden="false" customHeight="false" outlineLevel="0" collapsed="false">
      <c r="G669" s="230"/>
    </row>
    <row r="670" customFormat="false" ht="15.75" hidden="false" customHeight="false" outlineLevel="0" collapsed="false">
      <c r="G670" s="230"/>
    </row>
    <row r="671" customFormat="false" ht="15.75" hidden="false" customHeight="false" outlineLevel="0" collapsed="false">
      <c r="G671" s="230"/>
    </row>
    <row r="672" customFormat="false" ht="15.75" hidden="false" customHeight="false" outlineLevel="0" collapsed="false">
      <c r="G672" s="230"/>
    </row>
    <row r="673" customFormat="false" ht="15.75" hidden="false" customHeight="false" outlineLevel="0" collapsed="false">
      <c r="G673" s="230"/>
    </row>
    <row r="674" customFormat="false" ht="15.75" hidden="false" customHeight="false" outlineLevel="0" collapsed="false">
      <c r="G674" s="230"/>
    </row>
    <row r="675" customFormat="false" ht="15.75" hidden="false" customHeight="false" outlineLevel="0" collapsed="false">
      <c r="G675" s="230"/>
    </row>
    <row r="676" customFormat="false" ht="15.75" hidden="false" customHeight="false" outlineLevel="0" collapsed="false">
      <c r="G676" s="230"/>
    </row>
    <row r="677" customFormat="false" ht="15.75" hidden="false" customHeight="false" outlineLevel="0" collapsed="false">
      <c r="G677" s="230"/>
    </row>
    <row r="678" customFormat="false" ht="15.75" hidden="false" customHeight="false" outlineLevel="0" collapsed="false">
      <c r="G678" s="230"/>
    </row>
    <row r="679" customFormat="false" ht="15.75" hidden="false" customHeight="false" outlineLevel="0" collapsed="false">
      <c r="G679" s="230"/>
    </row>
    <row r="680" customFormat="false" ht="15.75" hidden="false" customHeight="false" outlineLevel="0" collapsed="false">
      <c r="G680" s="230"/>
    </row>
    <row r="681" customFormat="false" ht="15.75" hidden="false" customHeight="false" outlineLevel="0" collapsed="false">
      <c r="G681" s="230"/>
    </row>
    <row r="682" customFormat="false" ht="15.75" hidden="false" customHeight="false" outlineLevel="0" collapsed="false">
      <c r="G682" s="230"/>
    </row>
    <row r="683" customFormat="false" ht="15.75" hidden="false" customHeight="false" outlineLevel="0" collapsed="false">
      <c r="G683" s="230"/>
    </row>
    <row r="684" customFormat="false" ht="15.75" hidden="false" customHeight="false" outlineLevel="0" collapsed="false">
      <c r="G684" s="230"/>
    </row>
    <row r="685" customFormat="false" ht="15.75" hidden="false" customHeight="false" outlineLevel="0" collapsed="false">
      <c r="G685" s="230"/>
    </row>
    <row r="686" customFormat="false" ht="15.75" hidden="false" customHeight="false" outlineLevel="0" collapsed="false">
      <c r="G686" s="230"/>
    </row>
    <row r="687" customFormat="false" ht="15.75" hidden="false" customHeight="false" outlineLevel="0" collapsed="false">
      <c r="G687" s="230"/>
    </row>
    <row r="688" customFormat="false" ht="15.75" hidden="false" customHeight="false" outlineLevel="0" collapsed="false">
      <c r="G688" s="230"/>
    </row>
    <row r="689" customFormat="false" ht="15.75" hidden="false" customHeight="false" outlineLevel="0" collapsed="false">
      <c r="G689" s="230"/>
    </row>
    <row r="690" customFormat="false" ht="15.75" hidden="false" customHeight="false" outlineLevel="0" collapsed="false">
      <c r="G690" s="230"/>
    </row>
    <row r="691" customFormat="false" ht="15.75" hidden="false" customHeight="false" outlineLevel="0" collapsed="false">
      <c r="G691" s="230"/>
    </row>
    <row r="692" customFormat="false" ht="15.75" hidden="false" customHeight="false" outlineLevel="0" collapsed="false">
      <c r="G692" s="230"/>
    </row>
    <row r="693" customFormat="false" ht="15.75" hidden="false" customHeight="false" outlineLevel="0" collapsed="false">
      <c r="G693" s="230"/>
    </row>
    <row r="694" customFormat="false" ht="15.75" hidden="false" customHeight="false" outlineLevel="0" collapsed="false">
      <c r="G694" s="230"/>
    </row>
    <row r="695" customFormat="false" ht="15.75" hidden="false" customHeight="false" outlineLevel="0" collapsed="false">
      <c r="G695" s="230"/>
    </row>
    <row r="696" customFormat="false" ht="15.75" hidden="false" customHeight="false" outlineLevel="0" collapsed="false">
      <c r="G696" s="230"/>
    </row>
    <row r="697" customFormat="false" ht="15.75" hidden="false" customHeight="false" outlineLevel="0" collapsed="false">
      <c r="G697" s="230"/>
    </row>
    <row r="698" customFormat="false" ht="15.75" hidden="false" customHeight="false" outlineLevel="0" collapsed="false">
      <c r="G698" s="230"/>
    </row>
    <row r="699" customFormat="false" ht="15.75" hidden="false" customHeight="false" outlineLevel="0" collapsed="false">
      <c r="G699" s="230"/>
    </row>
    <row r="700" customFormat="false" ht="15.75" hidden="false" customHeight="false" outlineLevel="0" collapsed="false">
      <c r="G700" s="230"/>
    </row>
    <row r="701" customFormat="false" ht="15.75" hidden="false" customHeight="false" outlineLevel="0" collapsed="false">
      <c r="G701" s="230"/>
    </row>
    <row r="702" customFormat="false" ht="15.75" hidden="false" customHeight="false" outlineLevel="0" collapsed="false">
      <c r="G702" s="230"/>
    </row>
    <row r="703" customFormat="false" ht="15.75" hidden="false" customHeight="false" outlineLevel="0" collapsed="false">
      <c r="G703" s="230"/>
    </row>
    <row r="704" customFormat="false" ht="15.75" hidden="false" customHeight="false" outlineLevel="0" collapsed="false">
      <c r="G704" s="230"/>
    </row>
    <row r="705" customFormat="false" ht="15.75" hidden="false" customHeight="false" outlineLevel="0" collapsed="false">
      <c r="G705" s="230"/>
    </row>
    <row r="706" customFormat="false" ht="15.75" hidden="false" customHeight="false" outlineLevel="0" collapsed="false">
      <c r="G706" s="230"/>
    </row>
    <row r="707" customFormat="false" ht="15.75" hidden="false" customHeight="false" outlineLevel="0" collapsed="false">
      <c r="G707" s="230"/>
    </row>
    <row r="708" customFormat="false" ht="15.75" hidden="false" customHeight="false" outlineLevel="0" collapsed="false">
      <c r="G708" s="230"/>
    </row>
    <row r="709" customFormat="false" ht="15.75" hidden="false" customHeight="false" outlineLevel="0" collapsed="false">
      <c r="G709" s="230"/>
    </row>
    <row r="710" customFormat="false" ht="15.75" hidden="false" customHeight="false" outlineLevel="0" collapsed="false">
      <c r="G710" s="230"/>
    </row>
    <row r="711" customFormat="false" ht="15.75" hidden="false" customHeight="false" outlineLevel="0" collapsed="false">
      <c r="G711" s="230"/>
    </row>
    <row r="712" customFormat="false" ht="15.75" hidden="false" customHeight="false" outlineLevel="0" collapsed="false">
      <c r="G712" s="230"/>
    </row>
    <row r="713" customFormat="false" ht="15.75" hidden="false" customHeight="false" outlineLevel="0" collapsed="false">
      <c r="G713" s="230"/>
    </row>
    <row r="714" customFormat="false" ht="15.75" hidden="false" customHeight="false" outlineLevel="0" collapsed="false">
      <c r="G714" s="230"/>
    </row>
    <row r="715" customFormat="false" ht="15.75" hidden="false" customHeight="false" outlineLevel="0" collapsed="false">
      <c r="G715" s="230"/>
    </row>
    <row r="716" customFormat="false" ht="15.75" hidden="false" customHeight="false" outlineLevel="0" collapsed="false">
      <c r="G716" s="230"/>
    </row>
    <row r="717" customFormat="false" ht="15.75" hidden="false" customHeight="false" outlineLevel="0" collapsed="false">
      <c r="G717" s="230"/>
    </row>
    <row r="718" customFormat="false" ht="15.75" hidden="false" customHeight="false" outlineLevel="0" collapsed="false">
      <c r="G718" s="230"/>
    </row>
    <row r="719" customFormat="false" ht="15.75" hidden="false" customHeight="false" outlineLevel="0" collapsed="false">
      <c r="G719" s="230"/>
    </row>
    <row r="720" customFormat="false" ht="15.75" hidden="false" customHeight="false" outlineLevel="0" collapsed="false">
      <c r="G720" s="230"/>
    </row>
    <row r="721" customFormat="false" ht="15.75" hidden="false" customHeight="false" outlineLevel="0" collapsed="false">
      <c r="G721" s="230"/>
    </row>
    <row r="722" customFormat="false" ht="15.75" hidden="false" customHeight="false" outlineLevel="0" collapsed="false">
      <c r="G722" s="230"/>
    </row>
    <row r="723" customFormat="false" ht="15.75" hidden="false" customHeight="false" outlineLevel="0" collapsed="false">
      <c r="G723" s="230"/>
    </row>
    <row r="724" customFormat="false" ht="15.75" hidden="false" customHeight="false" outlineLevel="0" collapsed="false">
      <c r="G724" s="230"/>
    </row>
    <row r="725" customFormat="false" ht="15.75" hidden="false" customHeight="false" outlineLevel="0" collapsed="false">
      <c r="G725" s="230"/>
    </row>
    <row r="726" customFormat="false" ht="15.75" hidden="false" customHeight="false" outlineLevel="0" collapsed="false">
      <c r="G726" s="230"/>
    </row>
    <row r="727" customFormat="false" ht="15.75" hidden="false" customHeight="false" outlineLevel="0" collapsed="false">
      <c r="G727" s="230"/>
    </row>
    <row r="728" customFormat="false" ht="15.75" hidden="false" customHeight="false" outlineLevel="0" collapsed="false">
      <c r="G728" s="230"/>
    </row>
    <row r="729" customFormat="false" ht="15.75" hidden="false" customHeight="false" outlineLevel="0" collapsed="false">
      <c r="G729" s="230"/>
    </row>
    <row r="730" customFormat="false" ht="15.75" hidden="false" customHeight="false" outlineLevel="0" collapsed="false">
      <c r="G730" s="230"/>
    </row>
    <row r="731" customFormat="false" ht="15.75" hidden="false" customHeight="false" outlineLevel="0" collapsed="false">
      <c r="G731" s="230"/>
    </row>
    <row r="732" customFormat="false" ht="15.75" hidden="false" customHeight="false" outlineLevel="0" collapsed="false">
      <c r="G732" s="230"/>
    </row>
    <row r="733" customFormat="false" ht="15.75" hidden="false" customHeight="false" outlineLevel="0" collapsed="false">
      <c r="G733" s="230"/>
    </row>
    <row r="734" customFormat="false" ht="15.75" hidden="false" customHeight="false" outlineLevel="0" collapsed="false">
      <c r="G734" s="230"/>
    </row>
    <row r="735" customFormat="false" ht="15.75" hidden="false" customHeight="false" outlineLevel="0" collapsed="false">
      <c r="G735" s="230"/>
    </row>
    <row r="736" customFormat="false" ht="15.75" hidden="false" customHeight="false" outlineLevel="0" collapsed="false">
      <c r="G736" s="230"/>
    </row>
    <row r="737" customFormat="false" ht="15.75" hidden="false" customHeight="false" outlineLevel="0" collapsed="false">
      <c r="G737" s="230"/>
    </row>
    <row r="738" customFormat="false" ht="15.75" hidden="false" customHeight="false" outlineLevel="0" collapsed="false">
      <c r="G738" s="230"/>
    </row>
    <row r="739" customFormat="false" ht="15.75" hidden="false" customHeight="false" outlineLevel="0" collapsed="false">
      <c r="G739" s="230"/>
    </row>
    <row r="740" customFormat="false" ht="15.75" hidden="false" customHeight="false" outlineLevel="0" collapsed="false">
      <c r="G740" s="230"/>
    </row>
    <row r="741" customFormat="false" ht="15.75" hidden="false" customHeight="false" outlineLevel="0" collapsed="false">
      <c r="G741" s="230"/>
    </row>
    <row r="742" customFormat="false" ht="15.75" hidden="false" customHeight="false" outlineLevel="0" collapsed="false">
      <c r="G742" s="230"/>
    </row>
    <row r="743" customFormat="false" ht="15.75" hidden="false" customHeight="false" outlineLevel="0" collapsed="false">
      <c r="G743" s="230"/>
    </row>
    <row r="744" customFormat="false" ht="15.75" hidden="false" customHeight="false" outlineLevel="0" collapsed="false">
      <c r="G744" s="230"/>
    </row>
    <row r="745" customFormat="false" ht="15.75" hidden="false" customHeight="false" outlineLevel="0" collapsed="false">
      <c r="G745" s="230"/>
    </row>
    <row r="746" customFormat="false" ht="15.75" hidden="false" customHeight="false" outlineLevel="0" collapsed="false">
      <c r="G746" s="230"/>
    </row>
    <row r="747" customFormat="false" ht="15.75" hidden="false" customHeight="false" outlineLevel="0" collapsed="false">
      <c r="G747" s="230"/>
    </row>
    <row r="748" customFormat="false" ht="15.75" hidden="false" customHeight="false" outlineLevel="0" collapsed="false">
      <c r="G748" s="230"/>
    </row>
    <row r="749" customFormat="false" ht="15.75" hidden="false" customHeight="false" outlineLevel="0" collapsed="false">
      <c r="G749" s="230"/>
    </row>
    <row r="750" customFormat="false" ht="15.75" hidden="false" customHeight="false" outlineLevel="0" collapsed="false">
      <c r="G750" s="230"/>
    </row>
    <row r="751" customFormat="false" ht="15.75" hidden="false" customHeight="false" outlineLevel="0" collapsed="false">
      <c r="G751" s="230"/>
    </row>
    <row r="752" customFormat="false" ht="15.75" hidden="false" customHeight="false" outlineLevel="0" collapsed="false">
      <c r="G752" s="230"/>
    </row>
    <row r="753" customFormat="false" ht="15.75" hidden="false" customHeight="false" outlineLevel="0" collapsed="false">
      <c r="G753" s="230"/>
    </row>
    <row r="754" customFormat="false" ht="15.75" hidden="false" customHeight="false" outlineLevel="0" collapsed="false">
      <c r="G754" s="230"/>
    </row>
    <row r="755" customFormat="false" ht="15.75" hidden="false" customHeight="false" outlineLevel="0" collapsed="false">
      <c r="G755" s="230"/>
    </row>
    <row r="756" customFormat="false" ht="15.75" hidden="false" customHeight="false" outlineLevel="0" collapsed="false">
      <c r="G756" s="230"/>
    </row>
    <row r="757" customFormat="false" ht="15.75" hidden="false" customHeight="false" outlineLevel="0" collapsed="false">
      <c r="G757" s="230"/>
    </row>
    <row r="758" customFormat="false" ht="15.75" hidden="false" customHeight="false" outlineLevel="0" collapsed="false">
      <c r="G758" s="230"/>
    </row>
    <row r="759" customFormat="false" ht="15.75" hidden="false" customHeight="false" outlineLevel="0" collapsed="false">
      <c r="G759" s="230"/>
    </row>
    <row r="760" customFormat="false" ht="15.75" hidden="false" customHeight="false" outlineLevel="0" collapsed="false">
      <c r="G760" s="230"/>
    </row>
    <row r="761" customFormat="false" ht="15.75" hidden="false" customHeight="false" outlineLevel="0" collapsed="false">
      <c r="G761" s="230"/>
    </row>
    <row r="762" customFormat="false" ht="15.75" hidden="false" customHeight="false" outlineLevel="0" collapsed="false">
      <c r="G762" s="230"/>
    </row>
    <row r="763" customFormat="false" ht="15.75" hidden="false" customHeight="false" outlineLevel="0" collapsed="false">
      <c r="G763" s="230"/>
    </row>
    <row r="764" customFormat="false" ht="15.75" hidden="false" customHeight="false" outlineLevel="0" collapsed="false">
      <c r="G764" s="230"/>
    </row>
    <row r="765" customFormat="false" ht="15.75" hidden="false" customHeight="false" outlineLevel="0" collapsed="false">
      <c r="G765" s="230"/>
    </row>
    <row r="766" customFormat="false" ht="15.75" hidden="false" customHeight="false" outlineLevel="0" collapsed="false">
      <c r="G766" s="230"/>
    </row>
    <row r="767" customFormat="false" ht="15.75" hidden="false" customHeight="false" outlineLevel="0" collapsed="false">
      <c r="G767" s="230"/>
    </row>
    <row r="768" customFormat="false" ht="15.75" hidden="false" customHeight="false" outlineLevel="0" collapsed="false">
      <c r="G768" s="230"/>
    </row>
    <row r="769" customFormat="false" ht="15.75" hidden="false" customHeight="false" outlineLevel="0" collapsed="false">
      <c r="G769" s="230"/>
    </row>
    <row r="770" customFormat="false" ht="15.75" hidden="false" customHeight="false" outlineLevel="0" collapsed="false">
      <c r="G770" s="230"/>
    </row>
    <row r="771" customFormat="false" ht="15.75" hidden="false" customHeight="false" outlineLevel="0" collapsed="false">
      <c r="G771" s="230"/>
    </row>
    <row r="772" customFormat="false" ht="15.75" hidden="false" customHeight="false" outlineLevel="0" collapsed="false">
      <c r="G772" s="230"/>
    </row>
    <row r="773" customFormat="false" ht="15.75" hidden="false" customHeight="false" outlineLevel="0" collapsed="false">
      <c r="G773" s="230"/>
    </row>
    <row r="774" customFormat="false" ht="15.75" hidden="false" customHeight="false" outlineLevel="0" collapsed="false">
      <c r="G774" s="230"/>
    </row>
    <row r="775" customFormat="false" ht="15.75" hidden="false" customHeight="false" outlineLevel="0" collapsed="false">
      <c r="G775" s="230"/>
    </row>
    <row r="776" customFormat="false" ht="15.75" hidden="false" customHeight="false" outlineLevel="0" collapsed="false">
      <c r="G776" s="230"/>
    </row>
    <row r="777" customFormat="false" ht="15.75" hidden="false" customHeight="false" outlineLevel="0" collapsed="false">
      <c r="G777" s="230"/>
    </row>
    <row r="778" customFormat="false" ht="15.75" hidden="false" customHeight="false" outlineLevel="0" collapsed="false">
      <c r="G778" s="230"/>
    </row>
    <row r="779" customFormat="false" ht="15.75" hidden="false" customHeight="false" outlineLevel="0" collapsed="false">
      <c r="G779" s="230"/>
    </row>
    <row r="780" customFormat="false" ht="15.75" hidden="false" customHeight="false" outlineLevel="0" collapsed="false">
      <c r="G780" s="230"/>
    </row>
    <row r="781" customFormat="false" ht="15.75" hidden="false" customHeight="false" outlineLevel="0" collapsed="false">
      <c r="G781" s="230"/>
    </row>
    <row r="782" customFormat="false" ht="15.75" hidden="false" customHeight="false" outlineLevel="0" collapsed="false">
      <c r="G782" s="230"/>
    </row>
    <row r="783" customFormat="false" ht="15.75" hidden="false" customHeight="false" outlineLevel="0" collapsed="false">
      <c r="G783" s="230"/>
    </row>
    <row r="784" customFormat="false" ht="15.75" hidden="false" customHeight="false" outlineLevel="0" collapsed="false">
      <c r="G784" s="230"/>
    </row>
    <row r="785" customFormat="false" ht="15.75" hidden="false" customHeight="false" outlineLevel="0" collapsed="false">
      <c r="G785" s="230"/>
    </row>
    <row r="786" customFormat="false" ht="15.75" hidden="false" customHeight="false" outlineLevel="0" collapsed="false">
      <c r="G786" s="230"/>
    </row>
    <row r="787" customFormat="false" ht="15.75" hidden="false" customHeight="false" outlineLevel="0" collapsed="false">
      <c r="G787" s="230"/>
    </row>
    <row r="788" customFormat="false" ht="15.75" hidden="false" customHeight="false" outlineLevel="0" collapsed="false">
      <c r="G788" s="230"/>
    </row>
    <row r="789" customFormat="false" ht="15.75" hidden="false" customHeight="false" outlineLevel="0" collapsed="false">
      <c r="G789" s="230"/>
    </row>
    <row r="790" customFormat="false" ht="15.75" hidden="false" customHeight="false" outlineLevel="0" collapsed="false">
      <c r="G790" s="230"/>
    </row>
    <row r="791" customFormat="false" ht="15.75" hidden="false" customHeight="false" outlineLevel="0" collapsed="false">
      <c r="G791" s="230"/>
    </row>
    <row r="792" customFormat="false" ht="15.75" hidden="false" customHeight="false" outlineLevel="0" collapsed="false">
      <c r="G792" s="230"/>
    </row>
    <row r="793" customFormat="false" ht="15.75" hidden="false" customHeight="false" outlineLevel="0" collapsed="false">
      <c r="G793" s="230"/>
    </row>
    <row r="794" customFormat="false" ht="15.75" hidden="false" customHeight="false" outlineLevel="0" collapsed="false">
      <c r="G794" s="230"/>
    </row>
    <row r="795" customFormat="false" ht="15.75" hidden="false" customHeight="false" outlineLevel="0" collapsed="false">
      <c r="G795" s="230"/>
    </row>
    <row r="796" customFormat="false" ht="15.75" hidden="false" customHeight="false" outlineLevel="0" collapsed="false">
      <c r="G796" s="230"/>
    </row>
    <row r="797" customFormat="false" ht="15.75" hidden="false" customHeight="false" outlineLevel="0" collapsed="false">
      <c r="G797" s="230"/>
    </row>
    <row r="798" customFormat="false" ht="15.75" hidden="false" customHeight="false" outlineLevel="0" collapsed="false">
      <c r="G798" s="230"/>
    </row>
    <row r="799" customFormat="false" ht="15.75" hidden="false" customHeight="false" outlineLevel="0" collapsed="false">
      <c r="G799" s="230"/>
    </row>
    <row r="800" customFormat="false" ht="15.75" hidden="false" customHeight="false" outlineLevel="0" collapsed="false">
      <c r="G800" s="230"/>
    </row>
    <row r="801" customFormat="false" ht="15.75" hidden="false" customHeight="false" outlineLevel="0" collapsed="false">
      <c r="G801" s="230"/>
    </row>
    <row r="802" customFormat="false" ht="15.75" hidden="false" customHeight="false" outlineLevel="0" collapsed="false">
      <c r="G802" s="230"/>
    </row>
    <row r="803" customFormat="false" ht="15.75" hidden="false" customHeight="false" outlineLevel="0" collapsed="false">
      <c r="G803" s="230"/>
    </row>
    <row r="804" customFormat="false" ht="15.75" hidden="false" customHeight="false" outlineLevel="0" collapsed="false">
      <c r="G804" s="230"/>
    </row>
    <row r="805" customFormat="false" ht="15.75" hidden="false" customHeight="false" outlineLevel="0" collapsed="false">
      <c r="G805" s="230"/>
    </row>
    <row r="806" customFormat="false" ht="15.75" hidden="false" customHeight="false" outlineLevel="0" collapsed="false">
      <c r="G806" s="230"/>
    </row>
    <row r="807" customFormat="false" ht="15.75" hidden="false" customHeight="false" outlineLevel="0" collapsed="false">
      <c r="G807" s="230"/>
    </row>
    <row r="808" customFormat="false" ht="15.75" hidden="false" customHeight="false" outlineLevel="0" collapsed="false">
      <c r="G808" s="230"/>
    </row>
    <row r="809" customFormat="false" ht="15.75" hidden="false" customHeight="false" outlineLevel="0" collapsed="false">
      <c r="G809" s="230"/>
    </row>
    <row r="810" customFormat="false" ht="15.75" hidden="false" customHeight="false" outlineLevel="0" collapsed="false">
      <c r="G810" s="230"/>
    </row>
    <row r="811" customFormat="false" ht="15.75" hidden="false" customHeight="false" outlineLevel="0" collapsed="false">
      <c r="G811" s="230"/>
    </row>
    <row r="812" customFormat="false" ht="15.75" hidden="false" customHeight="false" outlineLevel="0" collapsed="false">
      <c r="G812" s="230"/>
    </row>
    <row r="813" customFormat="false" ht="15.75" hidden="false" customHeight="false" outlineLevel="0" collapsed="false">
      <c r="G813" s="230"/>
    </row>
    <row r="814" customFormat="false" ht="15.75" hidden="false" customHeight="false" outlineLevel="0" collapsed="false">
      <c r="G814" s="230"/>
    </row>
    <row r="815" customFormat="false" ht="15.75" hidden="false" customHeight="false" outlineLevel="0" collapsed="false">
      <c r="G815" s="230"/>
    </row>
    <row r="816" customFormat="false" ht="15.75" hidden="false" customHeight="false" outlineLevel="0" collapsed="false">
      <c r="G816" s="230"/>
    </row>
    <row r="817" customFormat="false" ht="15.75" hidden="false" customHeight="false" outlineLevel="0" collapsed="false">
      <c r="G817" s="230"/>
    </row>
    <row r="818" customFormat="false" ht="15.75" hidden="false" customHeight="false" outlineLevel="0" collapsed="false">
      <c r="G818" s="230"/>
    </row>
    <row r="819" customFormat="false" ht="15.75" hidden="false" customHeight="false" outlineLevel="0" collapsed="false">
      <c r="G819" s="230"/>
    </row>
    <row r="820" customFormat="false" ht="15.75" hidden="false" customHeight="false" outlineLevel="0" collapsed="false">
      <c r="G820" s="230"/>
    </row>
    <row r="821" customFormat="false" ht="15.75" hidden="false" customHeight="false" outlineLevel="0" collapsed="false">
      <c r="G821" s="230"/>
    </row>
    <row r="822" customFormat="false" ht="15.75" hidden="false" customHeight="false" outlineLevel="0" collapsed="false">
      <c r="G822" s="230"/>
    </row>
    <row r="823" customFormat="false" ht="15.75" hidden="false" customHeight="false" outlineLevel="0" collapsed="false">
      <c r="G823" s="230"/>
    </row>
    <row r="824" customFormat="false" ht="15.75" hidden="false" customHeight="false" outlineLevel="0" collapsed="false">
      <c r="G824" s="230"/>
    </row>
    <row r="825" customFormat="false" ht="15.75" hidden="false" customHeight="false" outlineLevel="0" collapsed="false">
      <c r="G825" s="230"/>
    </row>
    <row r="826" customFormat="false" ht="15.75" hidden="false" customHeight="false" outlineLevel="0" collapsed="false">
      <c r="G826" s="230"/>
    </row>
    <row r="827" customFormat="false" ht="15.75" hidden="false" customHeight="false" outlineLevel="0" collapsed="false">
      <c r="G827" s="230"/>
    </row>
    <row r="828" customFormat="false" ht="15.75" hidden="false" customHeight="false" outlineLevel="0" collapsed="false">
      <c r="G828" s="230"/>
    </row>
    <row r="829" customFormat="false" ht="15.75" hidden="false" customHeight="false" outlineLevel="0" collapsed="false">
      <c r="G829" s="230"/>
    </row>
    <row r="830" customFormat="false" ht="15.75" hidden="false" customHeight="false" outlineLevel="0" collapsed="false">
      <c r="G830" s="230"/>
    </row>
    <row r="831" customFormat="false" ht="15.75" hidden="false" customHeight="false" outlineLevel="0" collapsed="false">
      <c r="G831" s="230"/>
    </row>
    <row r="832" customFormat="false" ht="15.75" hidden="false" customHeight="false" outlineLevel="0" collapsed="false">
      <c r="G832" s="230"/>
    </row>
    <row r="833" customFormat="false" ht="15.75" hidden="false" customHeight="false" outlineLevel="0" collapsed="false">
      <c r="G833" s="230"/>
    </row>
    <row r="834" customFormat="false" ht="15.75" hidden="false" customHeight="false" outlineLevel="0" collapsed="false">
      <c r="G834" s="230"/>
    </row>
    <row r="835" customFormat="false" ht="15.75" hidden="false" customHeight="false" outlineLevel="0" collapsed="false">
      <c r="G835" s="230"/>
    </row>
    <row r="836" customFormat="false" ht="15.75" hidden="false" customHeight="false" outlineLevel="0" collapsed="false">
      <c r="G836" s="230"/>
    </row>
    <row r="837" customFormat="false" ht="15.75" hidden="false" customHeight="false" outlineLevel="0" collapsed="false">
      <c r="G837" s="230"/>
    </row>
    <row r="838" customFormat="false" ht="15.75" hidden="false" customHeight="false" outlineLevel="0" collapsed="false">
      <c r="G838" s="230"/>
    </row>
    <row r="839" customFormat="false" ht="15.75" hidden="false" customHeight="false" outlineLevel="0" collapsed="false">
      <c r="G839" s="230"/>
    </row>
    <row r="840" customFormat="false" ht="15.75" hidden="false" customHeight="false" outlineLevel="0" collapsed="false">
      <c r="G840" s="230"/>
    </row>
    <row r="841" customFormat="false" ht="15.75" hidden="false" customHeight="false" outlineLevel="0" collapsed="false">
      <c r="G841" s="230"/>
    </row>
    <row r="842" customFormat="false" ht="15.75" hidden="false" customHeight="false" outlineLevel="0" collapsed="false">
      <c r="G842" s="230"/>
    </row>
    <row r="843" customFormat="false" ht="15.75" hidden="false" customHeight="false" outlineLevel="0" collapsed="false">
      <c r="G843" s="230"/>
    </row>
    <row r="844" customFormat="false" ht="15.75" hidden="false" customHeight="false" outlineLevel="0" collapsed="false">
      <c r="G844" s="230"/>
    </row>
    <row r="845" customFormat="false" ht="15.75" hidden="false" customHeight="false" outlineLevel="0" collapsed="false">
      <c r="G845" s="230"/>
    </row>
    <row r="846" customFormat="false" ht="15.75" hidden="false" customHeight="false" outlineLevel="0" collapsed="false">
      <c r="G846" s="230"/>
    </row>
    <row r="847" customFormat="false" ht="15.75" hidden="false" customHeight="false" outlineLevel="0" collapsed="false">
      <c r="G847" s="230"/>
    </row>
    <row r="848" customFormat="false" ht="15.75" hidden="false" customHeight="false" outlineLevel="0" collapsed="false">
      <c r="G848" s="230"/>
    </row>
    <row r="849" customFormat="false" ht="15.75" hidden="false" customHeight="false" outlineLevel="0" collapsed="false">
      <c r="G849" s="230"/>
    </row>
    <row r="850" customFormat="false" ht="15.75" hidden="false" customHeight="false" outlineLevel="0" collapsed="false">
      <c r="G850" s="230"/>
    </row>
    <row r="851" customFormat="false" ht="15.75" hidden="false" customHeight="false" outlineLevel="0" collapsed="false">
      <c r="G851" s="230"/>
    </row>
    <row r="852" customFormat="false" ht="15.75" hidden="false" customHeight="false" outlineLevel="0" collapsed="false">
      <c r="G852" s="230"/>
    </row>
    <row r="853" customFormat="false" ht="15.75" hidden="false" customHeight="false" outlineLevel="0" collapsed="false">
      <c r="G853" s="230"/>
    </row>
    <row r="854" customFormat="false" ht="15.75" hidden="false" customHeight="false" outlineLevel="0" collapsed="false">
      <c r="G854" s="230"/>
    </row>
    <row r="855" customFormat="false" ht="15.75" hidden="false" customHeight="false" outlineLevel="0" collapsed="false">
      <c r="G855" s="230"/>
    </row>
    <row r="856" customFormat="false" ht="15.75" hidden="false" customHeight="false" outlineLevel="0" collapsed="false">
      <c r="G856" s="230"/>
    </row>
    <row r="857" customFormat="false" ht="15.75" hidden="false" customHeight="false" outlineLevel="0" collapsed="false">
      <c r="G857" s="230"/>
    </row>
    <row r="858" customFormat="false" ht="15.75" hidden="false" customHeight="false" outlineLevel="0" collapsed="false">
      <c r="G858" s="230"/>
    </row>
    <row r="859" customFormat="false" ht="15.75" hidden="false" customHeight="false" outlineLevel="0" collapsed="false">
      <c r="G859" s="230"/>
    </row>
    <row r="860" customFormat="false" ht="15.75" hidden="false" customHeight="false" outlineLevel="0" collapsed="false">
      <c r="G860" s="230"/>
    </row>
    <row r="861" customFormat="false" ht="15.75" hidden="false" customHeight="false" outlineLevel="0" collapsed="false">
      <c r="G861" s="230"/>
    </row>
    <row r="862" customFormat="false" ht="15.75" hidden="false" customHeight="false" outlineLevel="0" collapsed="false">
      <c r="G862" s="230"/>
    </row>
    <row r="863" customFormat="false" ht="15.75" hidden="false" customHeight="false" outlineLevel="0" collapsed="false">
      <c r="G863" s="230"/>
    </row>
    <row r="864" customFormat="false" ht="15.75" hidden="false" customHeight="false" outlineLevel="0" collapsed="false">
      <c r="G864" s="230"/>
    </row>
    <row r="865" customFormat="false" ht="15.75" hidden="false" customHeight="false" outlineLevel="0" collapsed="false">
      <c r="G865" s="230"/>
    </row>
    <row r="866" customFormat="false" ht="15.75" hidden="false" customHeight="false" outlineLevel="0" collapsed="false">
      <c r="G866" s="230"/>
    </row>
    <row r="867" customFormat="false" ht="15.75" hidden="false" customHeight="false" outlineLevel="0" collapsed="false">
      <c r="G867" s="230"/>
    </row>
    <row r="868" customFormat="false" ht="15.75" hidden="false" customHeight="false" outlineLevel="0" collapsed="false">
      <c r="G868" s="230"/>
    </row>
    <row r="869" customFormat="false" ht="15.75" hidden="false" customHeight="false" outlineLevel="0" collapsed="false">
      <c r="G869" s="230"/>
    </row>
    <row r="870" customFormat="false" ht="15.75" hidden="false" customHeight="false" outlineLevel="0" collapsed="false">
      <c r="G870" s="230"/>
    </row>
    <row r="871" customFormat="false" ht="15.75" hidden="false" customHeight="false" outlineLevel="0" collapsed="false">
      <c r="G871" s="230"/>
    </row>
    <row r="872" customFormat="false" ht="15.75" hidden="false" customHeight="false" outlineLevel="0" collapsed="false">
      <c r="G872" s="230"/>
    </row>
    <row r="873" customFormat="false" ht="15.75" hidden="false" customHeight="false" outlineLevel="0" collapsed="false">
      <c r="G873" s="230"/>
    </row>
    <row r="874" customFormat="false" ht="15.75" hidden="false" customHeight="false" outlineLevel="0" collapsed="false">
      <c r="G874" s="230"/>
    </row>
    <row r="875" customFormat="false" ht="15.75" hidden="false" customHeight="false" outlineLevel="0" collapsed="false">
      <c r="G875" s="230"/>
    </row>
    <row r="876" customFormat="false" ht="15.75" hidden="false" customHeight="false" outlineLevel="0" collapsed="false">
      <c r="G876" s="230"/>
    </row>
    <row r="877" customFormat="false" ht="15.75" hidden="false" customHeight="false" outlineLevel="0" collapsed="false">
      <c r="G877" s="230"/>
    </row>
    <row r="878" customFormat="false" ht="15.75" hidden="false" customHeight="false" outlineLevel="0" collapsed="false">
      <c r="G878" s="230"/>
    </row>
    <row r="879" customFormat="false" ht="15.75" hidden="false" customHeight="false" outlineLevel="0" collapsed="false">
      <c r="G879" s="230"/>
    </row>
    <row r="880" customFormat="false" ht="15.75" hidden="false" customHeight="false" outlineLevel="0" collapsed="false">
      <c r="G880" s="230"/>
    </row>
    <row r="881" customFormat="false" ht="15.75" hidden="false" customHeight="false" outlineLevel="0" collapsed="false">
      <c r="G881" s="230"/>
    </row>
    <row r="882" customFormat="false" ht="15.75" hidden="false" customHeight="false" outlineLevel="0" collapsed="false">
      <c r="G882" s="230"/>
    </row>
    <row r="883" customFormat="false" ht="15.75" hidden="false" customHeight="false" outlineLevel="0" collapsed="false">
      <c r="G883" s="230"/>
    </row>
    <row r="884" customFormat="false" ht="15.75" hidden="false" customHeight="false" outlineLevel="0" collapsed="false">
      <c r="G884" s="230"/>
    </row>
    <row r="885" customFormat="false" ht="15.75" hidden="false" customHeight="false" outlineLevel="0" collapsed="false">
      <c r="G885" s="230"/>
    </row>
    <row r="886" customFormat="false" ht="15.75" hidden="false" customHeight="false" outlineLevel="0" collapsed="false">
      <c r="G886" s="230"/>
    </row>
    <row r="887" customFormat="false" ht="15.75" hidden="false" customHeight="false" outlineLevel="0" collapsed="false">
      <c r="G887" s="230"/>
    </row>
    <row r="888" customFormat="false" ht="15.75" hidden="false" customHeight="false" outlineLevel="0" collapsed="false">
      <c r="G888" s="230"/>
    </row>
    <row r="889" customFormat="false" ht="15.75" hidden="false" customHeight="false" outlineLevel="0" collapsed="false">
      <c r="G889" s="230"/>
    </row>
    <row r="890" customFormat="false" ht="15.75" hidden="false" customHeight="false" outlineLevel="0" collapsed="false">
      <c r="G890" s="230"/>
    </row>
    <row r="891" customFormat="false" ht="15.75" hidden="false" customHeight="false" outlineLevel="0" collapsed="false">
      <c r="G891" s="230"/>
    </row>
    <row r="892" customFormat="false" ht="15.75" hidden="false" customHeight="false" outlineLevel="0" collapsed="false">
      <c r="G892" s="230"/>
    </row>
    <row r="893" customFormat="false" ht="15.75" hidden="false" customHeight="false" outlineLevel="0" collapsed="false">
      <c r="G893" s="230"/>
    </row>
    <row r="894" customFormat="false" ht="15.75" hidden="false" customHeight="false" outlineLevel="0" collapsed="false">
      <c r="G894" s="230"/>
    </row>
    <row r="895" customFormat="false" ht="15.75" hidden="false" customHeight="false" outlineLevel="0" collapsed="false">
      <c r="G895" s="230"/>
    </row>
    <row r="896" customFormat="false" ht="15.75" hidden="false" customHeight="false" outlineLevel="0" collapsed="false">
      <c r="G896" s="230"/>
    </row>
    <row r="897" customFormat="false" ht="15.75" hidden="false" customHeight="false" outlineLevel="0" collapsed="false">
      <c r="G897" s="230"/>
    </row>
    <row r="898" customFormat="false" ht="15.75" hidden="false" customHeight="false" outlineLevel="0" collapsed="false">
      <c r="G898" s="230"/>
    </row>
    <row r="899" customFormat="false" ht="15.75" hidden="false" customHeight="false" outlineLevel="0" collapsed="false">
      <c r="G899" s="230"/>
    </row>
    <row r="900" customFormat="false" ht="15.75" hidden="false" customHeight="false" outlineLevel="0" collapsed="false">
      <c r="G900" s="230"/>
    </row>
    <row r="901" customFormat="false" ht="15.75" hidden="false" customHeight="false" outlineLevel="0" collapsed="false">
      <c r="G901" s="230"/>
    </row>
    <row r="902" customFormat="false" ht="15.75" hidden="false" customHeight="false" outlineLevel="0" collapsed="false">
      <c r="G902" s="230"/>
    </row>
    <row r="903" customFormat="false" ht="15.75" hidden="false" customHeight="false" outlineLevel="0" collapsed="false">
      <c r="G903" s="230"/>
    </row>
    <row r="904" customFormat="false" ht="15.75" hidden="false" customHeight="false" outlineLevel="0" collapsed="false">
      <c r="G904" s="230"/>
    </row>
    <row r="905" customFormat="false" ht="15.75" hidden="false" customHeight="false" outlineLevel="0" collapsed="false">
      <c r="G905" s="230"/>
    </row>
    <row r="906" customFormat="false" ht="15.75" hidden="false" customHeight="false" outlineLevel="0" collapsed="false">
      <c r="G906" s="230"/>
    </row>
    <row r="907" customFormat="false" ht="15.75" hidden="false" customHeight="false" outlineLevel="0" collapsed="false">
      <c r="G907" s="230"/>
    </row>
    <row r="908" customFormat="false" ht="15.75" hidden="false" customHeight="false" outlineLevel="0" collapsed="false">
      <c r="G908" s="230"/>
    </row>
    <row r="909" customFormat="false" ht="15.75" hidden="false" customHeight="false" outlineLevel="0" collapsed="false">
      <c r="G909" s="230"/>
    </row>
    <row r="910" customFormat="false" ht="15.75" hidden="false" customHeight="false" outlineLevel="0" collapsed="false">
      <c r="G910" s="230"/>
    </row>
    <row r="911" customFormat="false" ht="15.75" hidden="false" customHeight="false" outlineLevel="0" collapsed="false">
      <c r="G911" s="230"/>
    </row>
    <row r="912" customFormat="false" ht="15.75" hidden="false" customHeight="false" outlineLevel="0" collapsed="false">
      <c r="G912" s="230"/>
    </row>
    <row r="913" customFormat="false" ht="15.75" hidden="false" customHeight="false" outlineLevel="0" collapsed="false">
      <c r="G913" s="230"/>
    </row>
    <row r="914" customFormat="false" ht="15.75" hidden="false" customHeight="false" outlineLevel="0" collapsed="false">
      <c r="G914" s="230"/>
    </row>
    <row r="915" customFormat="false" ht="15.75" hidden="false" customHeight="false" outlineLevel="0" collapsed="false">
      <c r="G915" s="230"/>
    </row>
    <row r="916" customFormat="false" ht="15.75" hidden="false" customHeight="false" outlineLevel="0" collapsed="false">
      <c r="G916" s="230"/>
    </row>
    <row r="917" customFormat="false" ht="15.75" hidden="false" customHeight="false" outlineLevel="0" collapsed="false">
      <c r="G917" s="230"/>
    </row>
    <row r="918" customFormat="false" ht="15.75" hidden="false" customHeight="false" outlineLevel="0" collapsed="false">
      <c r="G918" s="230"/>
    </row>
    <row r="919" customFormat="false" ht="15.75" hidden="false" customHeight="false" outlineLevel="0" collapsed="false">
      <c r="G919" s="230"/>
    </row>
    <row r="920" customFormat="false" ht="15.75" hidden="false" customHeight="false" outlineLevel="0" collapsed="false">
      <c r="G920" s="230"/>
    </row>
    <row r="921" customFormat="false" ht="15.75" hidden="false" customHeight="false" outlineLevel="0" collapsed="false">
      <c r="G921" s="230"/>
    </row>
    <row r="922" customFormat="false" ht="15.75" hidden="false" customHeight="false" outlineLevel="0" collapsed="false">
      <c r="G922" s="230"/>
    </row>
    <row r="923" customFormat="false" ht="15.75" hidden="false" customHeight="false" outlineLevel="0" collapsed="false">
      <c r="G923" s="230"/>
    </row>
    <row r="924" customFormat="false" ht="15.75" hidden="false" customHeight="false" outlineLevel="0" collapsed="false">
      <c r="G924" s="230"/>
    </row>
    <row r="925" customFormat="false" ht="15.75" hidden="false" customHeight="false" outlineLevel="0" collapsed="false">
      <c r="G925" s="230"/>
    </row>
    <row r="926" customFormat="false" ht="15.75" hidden="false" customHeight="false" outlineLevel="0" collapsed="false">
      <c r="G926" s="230"/>
    </row>
    <row r="927" customFormat="false" ht="15.75" hidden="false" customHeight="false" outlineLevel="0" collapsed="false">
      <c r="G927" s="230"/>
    </row>
    <row r="928" customFormat="false" ht="15.75" hidden="false" customHeight="false" outlineLevel="0" collapsed="false">
      <c r="G928" s="230"/>
    </row>
    <row r="929" customFormat="false" ht="15.75" hidden="false" customHeight="false" outlineLevel="0" collapsed="false">
      <c r="G929" s="230"/>
    </row>
    <row r="930" customFormat="false" ht="15.75" hidden="false" customHeight="false" outlineLevel="0" collapsed="false">
      <c r="G930" s="230"/>
    </row>
    <row r="931" customFormat="false" ht="15.75" hidden="false" customHeight="false" outlineLevel="0" collapsed="false">
      <c r="G931" s="230"/>
    </row>
    <row r="932" customFormat="false" ht="15.75" hidden="false" customHeight="false" outlineLevel="0" collapsed="false">
      <c r="G932" s="230"/>
    </row>
    <row r="933" customFormat="false" ht="15.75" hidden="false" customHeight="false" outlineLevel="0" collapsed="false">
      <c r="G933" s="230"/>
    </row>
    <row r="934" customFormat="false" ht="15.75" hidden="false" customHeight="false" outlineLevel="0" collapsed="false">
      <c r="G934" s="230"/>
    </row>
    <row r="935" customFormat="false" ht="15.75" hidden="false" customHeight="false" outlineLevel="0" collapsed="false">
      <c r="G935" s="230"/>
    </row>
    <row r="936" customFormat="false" ht="15.75" hidden="false" customHeight="false" outlineLevel="0" collapsed="false">
      <c r="G936" s="230"/>
    </row>
    <row r="937" customFormat="false" ht="15.75" hidden="false" customHeight="false" outlineLevel="0" collapsed="false">
      <c r="G937" s="230"/>
    </row>
    <row r="938" customFormat="false" ht="15.75" hidden="false" customHeight="false" outlineLevel="0" collapsed="false">
      <c r="G938" s="230"/>
    </row>
    <row r="939" customFormat="false" ht="15.75" hidden="false" customHeight="false" outlineLevel="0" collapsed="false">
      <c r="G939" s="230"/>
    </row>
    <row r="940" customFormat="false" ht="15.75" hidden="false" customHeight="false" outlineLevel="0" collapsed="false">
      <c r="G940" s="230"/>
    </row>
    <row r="941" customFormat="false" ht="15.75" hidden="false" customHeight="false" outlineLevel="0" collapsed="false">
      <c r="G941" s="230"/>
    </row>
    <row r="942" customFormat="false" ht="15.75" hidden="false" customHeight="false" outlineLevel="0" collapsed="false">
      <c r="G942" s="230"/>
    </row>
    <row r="943" customFormat="false" ht="15.75" hidden="false" customHeight="false" outlineLevel="0" collapsed="false">
      <c r="G943" s="230"/>
    </row>
    <row r="944" customFormat="false" ht="15.75" hidden="false" customHeight="false" outlineLevel="0" collapsed="false">
      <c r="G944" s="230"/>
    </row>
    <row r="945" customFormat="false" ht="15.75" hidden="false" customHeight="false" outlineLevel="0" collapsed="false">
      <c r="G945" s="230"/>
    </row>
    <row r="946" customFormat="false" ht="15.75" hidden="false" customHeight="false" outlineLevel="0" collapsed="false">
      <c r="G946" s="230"/>
    </row>
    <row r="947" customFormat="false" ht="15.75" hidden="false" customHeight="false" outlineLevel="0" collapsed="false">
      <c r="G947" s="230"/>
    </row>
    <row r="948" customFormat="false" ht="15.75" hidden="false" customHeight="false" outlineLevel="0" collapsed="false">
      <c r="G948" s="230"/>
    </row>
    <row r="949" customFormat="false" ht="15.75" hidden="false" customHeight="false" outlineLevel="0" collapsed="false">
      <c r="G949" s="230"/>
    </row>
    <row r="950" customFormat="false" ht="15.75" hidden="false" customHeight="false" outlineLevel="0" collapsed="false">
      <c r="G950" s="230"/>
    </row>
    <row r="951" customFormat="false" ht="15.75" hidden="false" customHeight="false" outlineLevel="0" collapsed="false">
      <c r="G951" s="230"/>
    </row>
    <row r="952" customFormat="false" ht="15.75" hidden="false" customHeight="false" outlineLevel="0" collapsed="false">
      <c r="G952" s="230"/>
    </row>
    <row r="953" customFormat="false" ht="15.75" hidden="false" customHeight="false" outlineLevel="0" collapsed="false">
      <c r="G953" s="230"/>
    </row>
    <row r="954" customFormat="false" ht="15.75" hidden="false" customHeight="false" outlineLevel="0" collapsed="false">
      <c r="G954" s="230"/>
    </row>
    <row r="955" customFormat="false" ht="15.75" hidden="false" customHeight="false" outlineLevel="0" collapsed="false">
      <c r="G955" s="230"/>
    </row>
    <row r="956" customFormat="false" ht="15.75" hidden="false" customHeight="false" outlineLevel="0" collapsed="false">
      <c r="G956" s="230"/>
    </row>
    <row r="957" customFormat="false" ht="15.75" hidden="false" customHeight="false" outlineLevel="0" collapsed="false">
      <c r="G957" s="230"/>
    </row>
    <row r="958" customFormat="false" ht="15.75" hidden="false" customHeight="false" outlineLevel="0" collapsed="false">
      <c r="G958" s="230"/>
    </row>
    <row r="959" customFormat="false" ht="15.75" hidden="false" customHeight="false" outlineLevel="0" collapsed="false">
      <c r="G959" s="230"/>
    </row>
    <row r="960" customFormat="false" ht="15.75" hidden="false" customHeight="false" outlineLevel="0" collapsed="false">
      <c r="G960" s="230"/>
    </row>
    <row r="961" customFormat="false" ht="15.75" hidden="false" customHeight="false" outlineLevel="0" collapsed="false">
      <c r="G961" s="230"/>
    </row>
    <row r="962" customFormat="false" ht="15.75" hidden="false" customHeight="false" outlineLevel="0" collapsed="false">
      <c r="G962" s="230"/>
    </row>
    <row r="963" customFormat="false" ht="15.75" hidden="false" customHeight="false" outlineLevel="0" collapsed="false">
      <c r="G963" s="230"/>
    </row>
    <row r="964" customFormat="false" ht="15.75" hidden="false" customHeight="false" outlineLevel="0" collapsed="false">
      <c r="G964" s="230"/>
    </row>
    <row r="965" customFormat="false" ht="15.75" hidden="false" customHeight="false" outlineLevel="0" collapsed="false">
      <c r="G965" s="230"/>
    </row>
    <row r="966" customFormat="false" ht="15.75" hidden="false" customHeight="false" outlineLevel="0" collapsed="false">
      <c r="G966" s="230"/>
    </row>
    <row r="967" customFormat="false" ht="15.75" hidden="false" customHeight="false" outlineLevel="0" collapsed="false">
      <c r="G967" s="230"/>
    </row>
    <row r="968" customFormat="false" ht="15.75" hidden="false" customHeight="false" outlineLevel="0" collapsed="false">
      <c r="G968" s="230"/>
    </row>
    <row r="969" customFormat="false" ht="15.75" hidden="false" customHeight="false" outlineLevel="0" collapsed="false">
      <c r="G969" s="230"/>
    </row>
    <row r="970" customFormat="false" ht="15.75" hidden="false" customHeight="false" outlineLevel="0" collapsed="false">
      <c r="G970" s="230"/>
    </row>
    <row r="971" customFormat="false" ht="15.75" hidden="false" customHeight="false" outlineLevel="0" collapsed="false">
      <c r="G971" s="230"/>
    </row>
    <row r="972" customFormat="false" ht="15.75" hidden="false" customHeight="false" outlineLevel="0" collapsed="false">
      <c r="G972" s="230"/>
    </row>
    <row r="973" customFormat="false" ht="15.75" hidden="false" customHeight="false" outlineLevel="0" collapsed="false">
      <c r="G973" s="230"/>
    </row>
    <row r="974" customFormat="false" ht="15.75" hidden="false" customHeight="false" outlineLevel="0" collapsed="false">
      <c r="G974" s="230"/>
    </row>
    <row r="975" customFormat="false" ht="15.75" hidden="false" customHeight="false" outlineLevel="0" collapsed="false">
      <c r="G975" s="230"/>
    </row>
    <row r="976" customFormat="false" ht="15.75" hidden="false" customHeight="false" outlineLevel="0" collapsed="false">
      <c r="G976" s="230"/>
    </row>
    <row r="977" customFormat="false" ht="15.75" hidden="false" customHeight="false" outlineLevel="0" collapsed="false">
      <c r="G977" s="230"/>
    </row>
    <row r="978" customFormat="false" ht="15.75" hidden="false" customHeight="false" outlineLevel="0" collapsed="false">
      <c r="G978" s="230"/>
    </row>
    <row r="979" customFormat="false" ht="15.75" hidden="false" customHeight="false" outlineLevel="0" collapsed="false">
      <c r="G979" s="230"/>
    </row>
    <row r="980" customFormat="false" ht="15.75" hidden="false" customHeight="false" outlineLevel="0" collapsed="false">
      <c r="G980" s="230"/>
    </row>
    <row r="981" customFormat="false" ht="15.75" hidden="false" customHeight="false" outlineLevel="0" collapsed="false">
      <c r="G981" s="230"/>
    </row>
    <row r="982" customFormat="false" ht="15.75" hidden="false" customHeight="false" outlineLevel="0" collapsed="false">
      <c r="G982" s="230"/>
    </row>
    <row r="983" customFormat="false" ht="15.75" hidden="false" customHeight="false" outlineLevel="0" collapsed="false">
      <c r="G983" s="230"/>
    </row>
    <row r="984" customFormat="false" ht="15.75" hidden="false" customHeight="false" outlineLevel="0" collapsed="false">
      <c r="G984" s="230"/>
    </row>
    <row r="985" customFormat="false" ht="15.75" hidden="false" customHeight="false" outlineLevel="0" collapsed="false">
      <c r="G985" s="230"/>
    </row>
    <row r="986" customFormat="false" ht="15.75" hidden="false" customHeight="false" outlineLevel="0" collapsed="false">
      <c r="G986" s="230"/>
    </row>
    <row r="987" customFormat="false" ht="15.75" hidden="false" customHeight="false" outlineLevel="0" collapsed="false">
      <c r="G987" s="230"/>
    </row>
    <row r="988" customFormat="false" ht="15.75" hidden="false" customHeight="false" outlineLevel="0" collapsed="false">
      <c r="G988" s="230"/>
    </row>
    <row r="989" customFormat="false" ht="15.75" hidden="false" customHeight="false" outlineLevel="0" collapsed="false">
      <c r="G989" s="230"/>
    </row>
    <row r="990" customFormat="false" ht="15.75" hidden="false" customHeight="false" outlineLevel="0" collapsed="false">
      <c r="G990" s="230"/>
    </row>
    <row r="991" customFormat="false" ht="15.75" hidden="false" customHeight="false" outlineLevel="0" collapsed="false">
      <c r="G991" s="230"/>
    </row>
    <row r="992" customFormat="false" ht="15.75" hidden="false" customHeight="false" outlineLevel="0" collapsed="false">
      <c r="G992" s="230"/>
    </row>
    <row r="993" customFormat="false" ht="15.75" hidden="false" customHeight="false" outlineLevel="0" collapsed="false">
      <c r="G993" s="230"/>
    </row>
    <row r="994" customFormat="false" ht="15.75" hidden="false" customHeight="false" outlineLevel="0" collapsed="false">
      <c r="G994" s="230"/>
    </row>
    <row r="995" customFormat="false" ht="15.75" hidden="false" customHeight="false" outlineLevel="0" collapsed="false">
      <c r="G995" s="230"/>
    </row>
    <row r="996" customFormat="false" ht="15.75" hidden="false" customHeight="false" outlineLevel="0" collapsed="false">
      <c r="G996" s="230"/>
    </row>
    <row r="997" customFormat="false" ht="15.75" hidden="false" customHeight="false" outlineLevel="0" collapsed="false">
      <c r="G997" s="230"/>
    </row>
    <row r="998" customFormat="false" ht="15.75" hidden="false" customHeight="false" outlineLevel="0" collapsed="false">
      <c r="G998" s="230"/>
    </row>
    <row r="999" customFormat="false" ht="15.75" hidden="false" customHeight="false" outlineLevel="0" collapsed="false">
      <c r="G999" s="230"/>
    </row>
    <row r="1000" customFormat="false" ht="15.75" hidden="false" customHeight="false" outlineLevel="0" collapsed="false">
      <c r="G1000" s="230"/>
    </row>
    <row r="1001" customFormat="false" ht="15.75" hidden="false" customHeight="false" outlineLevel="0" collapsed="false">
      <c r="G1001" s="2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true" outlineLevel="0" max="2" min="2" style="0" width="14"/>
    <col collapsed="false" customWidth="true" hidden="false" outlineLevel="0" max="3" min="3" style="0" width="14.88"/>
  </cols>
  <sheetData>
    <row r="1" customFormat="false" ht="15.75" hidden="false" customHeight="false" outlineLevel="0" collapsed="false">
      <c r="A1" s="237" t="s">
        <v>302</v>
      </c>
      <c r="B1" s="238" t="s">
        <v>90</v>
      </c>
      <c r="C1" s="239" t="s">
        <v>303</v>
      </c>
    </row>
    <row r="2" customFormat="false" ht="15.75" hidden="false" customHeight="false" outlineLevel="0" collapsed="false">
      <c r="A2" s="36" t="e">
        <f aca="false" t="array" ref="A2:B874">sort('Статистика игроков'!A5:B1000,2,FALSE())</f>
        <v>#NAME?</v>
      </c>
      <c r="B2" s="120" t="e">
        <v>#NAME?</v>
      </c>
      <c r="C2" s="240" t="e">
        <f aca="false">IF(B2/7=0,"",B2/7)</f>
        <v>#NAME?</v>
      </c>
    </row>
    <row r="3" customFormat="false" ht="15.75" hidden="false" customHeight="false" outlineLevel="0" collapsed="false">
      <c r="A3" s="78" t="e">
        <v>#NAME?</v>
      </c>
      <c r="B3" s="120" t="e">
        <v>#NAME?</v>
      </c>
      <c r="C3" s="240" t="e">
        <f aca="false">IF(B3/7=0,"",B3/7)</f>
        <v>#NAME?</v>
      </c>
    </row>
    <row r="4" customFormat="false" ht="15.75" hidden="false" customHeight="false" outlineLevel="0" collapsed="false">
      <c r="A4" s="241" t="e">
        <v>#NAME?</v>
      </c>
      <c r="B4" s="242" t="e">
        <v>#NAME?</v>
      </c>
      <c r="C4" s="243" t="e">
        <f aca="false">IF(B4/7=0,"",B4/7)</f>
        <v>#NAME?</v>
      </c>
    </row>
    <row r="5" customFormat="false" ht="15.75" hidden="false" customHeight="false" outlineLevel="0" collapsed="false">
      <c r="A5" s="78" t="e">
        <v>#NAME?</v>
      </c>
      <c r="B5" s="120" t="e">
        <v>#NAME?</v>
      </c>
      <c r="C5" s="240" t="e">
        <f aca="false">IF(B5/7=0,"",B5/7)</f>
        <v>#NAME?</v>
      </c>
    </row>
    <row r="6" customFormat="false" ht="15.75" hidden="false" customHeight="false" outlineLevel="0" collapsed="false">
      <c r="A6" s="78" t="e">
        <v>#NAME?</v>
      </c>
      <c r="B6" s="120" t="e">
        <v>#NAME?</v>
      </c>
      <c r="C6" s="240" t="e">
        <f aca="false">IF(B6/7=0,"",B6/7)</f>
        <v>#NAME?</v>
      </c>
    </row>
    <row r="7" customFormat="false" ht="15.75" hidden="false" customHeight="false" outlineLevel="0" collapsed="false">
      <c r="A7" s="78" t="e">
        <v>#NAME?</v>
      </c>
      <c r="B7" s="120" t="e">
        <v>#NAME?</v>
      </c>
      <c r="C7" s="240" t="e">
        <f aca="false">IF(B7/7=0,"",B7/7)</f>
        <v>#NAME?</v>
      </c>
    </row>
    <row r="8" customFormat="false" ht="15.75" hidden="false" customHeight="false" outlineLevel="0" collapsed="false">
      <c r="A8" s="78" t="e">
        <v>#NAME?</v>
      </c>
      <c r="B8" s="120" t="e">
        <v>#NAME?</v>
      </c>
      <c r="C8" s="240" t="e">
        <f aca="false">IF(B8/7=0,"",B8/7)</f>
        <v>#NAME?</v>
      </c>
    </row>
    <row r="9" customFormat="false" ht="15.75" hidden="false" customHeight="false" outlineLevel="0" collapsed="false">
      <c r="A9" s="78" t="e">
        <v>#NAME?</v>
      </c>
      <c r="B9" s="120" t="e">
        <v>#NAME?</v>
      </c>
      <c r="C9" s="240" t="e">
        <f aca="false">IF(B9/7=0,"",B9/7)</f>
        <v>#NAME?</v>
      </c>
    </row>
    <row r="10" customFormat="false" ht="15.75" hidden="false" customHeight="false" outlineLevel="0" collapsed="false">
      <c r="A10" s="78" t="e">
        <v>#NAME?</v>
      </c>
      <c r="B10" s="120" t="e">
        <v>#NAME?</v>
      </c>
      <c r="C10" s="240" t="e">
        <f aca="false">IF(B10/7=0,"",B10/7)</f>
        <v>#NAME?</v>
      </c>
    </row>
    <row r="11" customFormat="false" ht="15.75" hidden="false" customHeight="false" outlineLevel="0" collapsed="false">
      <c r="A11" s="78" t="e">
        <v>#NAME?</v>
      </c>
      <c r="B11" s="120" t="e">
        <v>#NAME?</v>
      </c>
      <c r="C11" s="240" t="e">
        <f aca="false">IF(B11/7=0,"",B11/7)</f>
        <v>#NAME?</v>
      </c>
    </row>
    <row r="12" customFormat="false" ht="15.75" hidden="false" customHeight="false" outlineLevel="0" collapsed="false">
      <c r="A12" s="78" t="e">
        <v>#NAME?</v>
      </c>
      <c r="B12" s="120" t="e">
        <v>#NAME?</v>
      </c>
      <c r="C12" s="240" t="e">
        <f aca="false">IF(B12/7=0,"",B12/7)</f>
        <v>#NAME?</v>
      </c>
    </row>
    <row r="13" customFormat="false" ht="15.75" hidden="false" customHeight="false" outlineLevel="0" collapsed="false">
      <c r="A13" s="78" t="e">
        <v>#NAME?</v>
      </c>
      <c r="B13" s="120" t="e">
        <v>#NAME?</v>
      </c>
      <c r="C13" s="240" t="e">
        <f aca="false">IF(B13/7=0,"",B13/7)</f>
        <v>#NAME?</v>
      </c>
    </row>
    <row r="14" customFormat="false" ht="15.75" hidden="false" customHeight="false" outlineLevel="0" collapsed="false">
      <c r="A14" s="78" t="e">
        <v>#NAME?</v>
      </c>
      <c r="B14" s="120" t="e">
        <v>#NAME?</v>
      </c>
      <c r="C14" s="240" t="e">
        <f aca="false">IF(B14/7=0,"",B14/7)</f>
        <v>#NAME?</v>
      </c>
    </row>
    <row r="15" customFormat="false" ht="15.75" hidden="false" customHeight="false" outlineLevel="0" collapsed="false">
      <c r="A15" s="78" t="e">
        <v>#NAME?</v>
      </c>
      <c r="B15" s="120" t="e">
        <v>#NAME?</v>
      </c>
      <c r="C15" s="240" t="e">
        <f aca="false">IF(B15/7=0,"",B15/7)</f>
        <v>#NAME?</v>
      </c>
    </row>
    <row r="16" customFormat="false" ht="15.75" hidden="false" customHeight="false" outlineLevel="0" collapsed="false">
      <c r="A16" s="78" t="e">
        <v>#NAME?</v>
      </c>
      <c r="B16" s="120" t="e">
        <v>#NAME?</v>
      </c>
      <c r="C16" s="240" t="e">
        <f aca="false">IF(B16/7=0,"",B16/7)</f>
        <v>#NAME?</v>
      </c>
    </row>
    <row r="17" customFormat="false" ht="15.75" hidden="false" customHeight="false" outlineLevel="0" collapsed="false">
      <c r="A17" s="78" t="e">
        <v>#NAME?</v>
      </c>
      <c r="B17" s="120" t="e">
        <v>#NAME?</v>
      </c>
      <c r="C17" s="240" t="e">
        <f aca="false">IF(B17/7=0,"",B17/7)</f>
        <v>#NAME?</v>
      </c>
    </row>
    <row r="18" customFormat="false" ht="15.75" hidden="false" customHeight="false" outlineLevel="0" collapsed="false">
      <c r="A18" s="78" t="e">
        <v>#NAME?</v>
      </c>
      <c r="B18" s="120" t="e">
        <v>#NAME?</v>
      </c>
      <c r="C18" s="240" t="e">
        <f aca="false">IF(B18/7=0,"",B18/7)</f>
        <v>#NAME?</v>
      </c>
    </row>
    <row r="19" customFormat="false" ht="15.75" hidden="false" customHeight="false" outlineLevel="0" collapsed="false">
      <c r="A19" s="78" t="e">
        <v>#NAME?</v>
      </c>
      <c r="B19" s="120" t="e">
        <v>#NAME?</v>
      </c>
      <c r="C19" s="240" t="e">
        <f aca="false">IF(B19/7=0,"",B19/7)</f>
        <v>#NAME?</v>
      </c>
    </row>
    <row r="20" customFormat="false" ht="15.75" hidden="false" customHeight="false" outlineLevel="0" collapsed="false">
      <c r="A20" s="78" t="e">
        <v>#NAME?</v>
      </c>
      <c r="B20" s="120" t="e">
        <v>#NAME?</v>
      </c>
      <c r="C20" s="240" t="e">
        <f aca="false">IF(B20/7=0,"",B20/7)</f>
        <v>#NAME?</v>
      </c>
    </row>
    <row r="21" customFormat="false" ht="15.75" hidden="false" customHeight="false" outlineLevel="0" collapsed="false">
      <c r="A21" s="78" t="e">
        <v>#NAME?</v>
      </c>
      <c r="B21" s="120" t="e">
        <v>#NAME?</v>
      </c>
      <c r="C21" s="240" t="e">
        <f aca="false">IF(B21/7=0,"",B21/7)</f>
        <v>#NAME?</v>
      </c>
    </row>
    <row r="22" customFormat="false" ht="15.75" hidden="false" customHeight="false" outlineLevel="0" collapsed="false">
      <c r="A22" s="78" t="e">
        <v>#NAME?</v>
      </c>
      <c r="B22" s="120" t="e">
        <v>#NAME?</v>
      </c>
      <c r="C22" s="240" t="e">
        <f aca="false">IF(B22/7=0,"",B22/7)</f>
        <v>#NAME?</v>
      </c>
    </row>
    <row r="23" customFormat="false" ht="15.75" hidden="false" customHeight="false" outlineLevel="0" collapsed="false">
      <c r="A23" s="78" t="e">
        <v>#NAME?</v>
      </c>
      <c r="B23" s="120" t="e">
        <v>#NAME?</v>
      </c>
      <c r="C23" s="240" t="e">
        <f aca="false">IF(B23/7=0,"",B23/7)</f>
        <v>#NAME?</v>
      </c>
    </row>
    <row r="24" customFormat="false" ht="15.75" hidden="false" customHeight="false" outlineLevel="0" collapsed="false">
      <c r="A24" s="78" t="e">
        <v>#NAME?</v>
      </c>
      <c r="B24" s="120" t="e">
        <v>#NAME?</v>
      </c>
      <c r="C24" s="240" t="e">
        <f aca="false">IF(B24/7=0,"",B24/7)</f>
        <v>#NAME?</v>
      </c>
    </row>
    <row r="25" customFormat="false" ht="15.75" hidden="false" customHeight="false" outlineLevel="0" collapsed="false">
      <c r="A25" s="78" t="e">
        <v>#NAME?</v>
      </c>
      <c r="B25" s="120" t="e">
        <v>#NAME?</v>
      </c>
      <c r="C25" s="240" t="e">
        <f aca="false">IF(B25/7=0,"",B25/7)</f>
        <v>#NAME?</v>
      </c>
    </row>
    <row r="26" customFormat="false" ht="15.75" hidden="false" customHeight="false" outlineLevel="0" collapsed="false">
      <c r="A26" s="78" t="e">
        <v>#NAME?</v>
      </c>
      <c r="B26" s="120" t="e">
        <v>#NAME?</v>
      </c>
      <c r="C26" s="240" t="e">
        <f aca="false">IF(B26/7=0,"",B26/7)</f>
        <v>#NAME?</v>
      </c>
    </row>
    <row r="27" customFormat="false" ht="15.75" hidden="false" customHeight="false" outlineLevel="0" collapsed="false">
      <c r="A27" s="78" t="e">
        <v>#NAME?</v>
      </c>
      <c r="B27" s="120" t="e">
        <v>#NAME?</v>
      </c>
      <c r="C27" s="240" t="e">
        <f aca="false">IF(B27/7=0,"",B27/7)</f>
        <v>#NAME?</v>
      </c>
    </row>
    <row r="28" customFormat="false" ht="15.75" hidden="false" customHeight="false" outlineLevel="0" collapsed="false">
      <c r="A28" s="78" t="e">
        <v>#NAME?</v>
      </c>
      <c r="B28" s="120" t="e">
        <v>#NAME?</v>
      </c>
      <c r="C28" s="240" t="e">
        <f aca="false">IF(B28/7=0,"",B28/7)</f>
        <v>#NAME?</v>
      </c>
    </row>
    <row r="29" customFormat="false" ht="15.75" hidden="false" customHeight="false" outlineLevel="0" collapsed="false">
      <c r="A29" s="78" t="e">
        <v>#NAME?</v>
      </c>
      <c r="B29" s="120" t="e">
        <v>#NAME?</v>
      </c>
      <c r="C29" s="240" t="e">
        <f aca="false">IF(B29/7=0,"",B29/7)</f>
        <v>#NAME?</v>
      </c>
    </row>
    <row r="30" customFormat="false" ht="15.75" hidden="false" customHeight="false" outlineLevel="0" collapsed="false">
      <c r="A30" s="78" t="e">
        <v>#NAME?</v>
      </c>
      <c r="B30" s="120" t="e">
        <v>#NAME?</v>
      </c>
      <c r="C30" s="240" t="e">
        <f aca="false">IF(B30/7=0,"",B30/7)</f>
        <v>#NAME?</v>
      </c>
    </row>
    <row r="31" customFormat="false" ht="15.75" hidden="false" customHeight="false" outlineLevel="0" collapsed="false">
      <c r="A31" s="78" t="e">
        <v>#NAME?</v>
      </c>
      <c r="B31" s="120" t="e">
        <v>#NAME?</v>
      </c>
      <c r="C31" s="240" t="e">
        <f aca="false">IF(B31/7=0,"",B31/7)</f>
        <v>#NAME?</v>
      </c>
    </row>
    <row r="32" customFormat="false" ht="15.75" hidden="false" customHeight="false" outlineLevel="0" collapsed="false">
      <c r="A32" s="78" t="e">
        <v>#NAME?</v>
      </c>
      <c r="B32" s="120" t="e">
        <v>#NAME?</v>
      </c>
      <c r="C32" s="240" t="e">
        <f aca="false">IF(B32/7=0,"",B32/7)</f>
        <v>#NAME?</v>
      </c>
    </row>
    <row r="33" customFormat="false" ht="15.75" hidden="false" customHeight="false" outlineLevel="0" collapsed="false">
      <c r="A33" s="78" t="e">
        <v>#NAME?</v>
      </c>
      <c r="B33" s="120" t="e">
        <v>#NAME?</v>
      </c>
      <c r="C33" s="240" t="e">
        <f aca="false">IF(B33/7=0,"",B33/7)</f>
        <v>#NAME?</v>
      </c>
    </row>
    <row r="34" customFormat="false" ht="15.75" hidden="false" customHeight="false" outlineLevel="0" collapsed="false">
      <c r="A34" s="78" t="e">
        <v>#NAME?</v>
      </c>
      <c r="B34" s="120" t="e">
        <v>#NAME?</v>
      </c>
      <c r="C34" s="240" t="e">
        <f aca="false">IF(B34/7=0,"",B34/7)</f>
        <v>#NAME?</v>
      </c>
    </row>
    <row r="35" customFormat="false" ht="15.75" hidden="false" customHeight="false" outlineLevel="0" collapsed="false">
      <c r="A35" s="78" t="e">
        <v>#NAME?</v>
      </c>
      <c r="B35" s="120" t="e">
        <v>#NAME?</v>
      </c>
      <c r="C35" s="240" t="e">
        <f aca="false">IF(B35/7=0,"",B35/7)</f>
        <v>#NAME?</v>
      </c>
    </row>
    <row r="36" customFormat="false" ht="15.75" hidden="false" customHeight="false" outlineLevel="0" collapsed="false">
      <c r="A36" s="78" t="e">
        <v>#NAME?</v>
      </c>
      <c r="B36" s="120" t="e">
        <v>#NAME?</v>
      </c>
      <c r="C36" s="240" t="e">
        <f aca="false">IF(B36/7=0,"",B36/7)</f>
        <v>#NAME?</v>
      </c>
    </row>
    <row r="37" customFormat="false" ht="15.75" hidden="false" customHeight="false" outlineLevel="0" collapsed="false">
      <c r="A37" s="78" t="e">
        <v>#NAME?</v>
      </c>
      <c r="B37" s="120" t="e">
        <v>#NAME?</v>
      </c>
      <c r="C37" s="240" t="e">
        <f aca="false">IF(B37/7=0,"",B37/7)</f>
        <v>#NAME?</v>
      </c>
    </row>
    <row r="38" customFormat="false" ht="15.75" hidden="false" customHeight="false" outlineLevel="0" collapsed="false">
      <c r="A38" s="78" t="e">
        <v>#NAME?</v>
      </c>
      <c r="B38" s="120" t="e">
        <v>#NAME?</v>
      </c>
      <c r="C38" s="240" t="e">
        <f aca="false">IF(B38/7=0,"",B38/7)</f>
        <v>#NAME?</v>
      </c>
    </row>
    <row r="39" customFormat="false" ht="15.75" hidden="false" customHeight="false" outlineLevel="0" collapsed="false">
      <c r="A39" s="78" t="e">
        <v>#NAME?</v>
      </c>
      <c r="B39" s="120" t="e">
        <v>#NAME?</v>
      </c>
      <c r="C39" s="240" t="e">
        <f aca="false">IF(B39/7=0,"",B39/7)</f>
        <v>#NAME?</v>
      </c>
    </row>
    <row r="40" customFormat="false" ht="15.75" hidden="false" customHeight="false" outlineLevel="0" collapsed="false">
      <c r="A40" s="78" t="e">
        <v>#NAME?</v>
      </c>
      <c r="B40" s="120" t="e">
        <v>#NAME?</v>
      </c>
      <c r="C40" s="240" t="e">
        <f aca="false">IF(B40/7=0,"",B40/7)</f>
        <v>#NAME?</v>
      </c>
    </row>
    <row r="41" customFormat="false" ht="15.75" hidden="false" customHeight="false" outlineLevel="0" collapsed="false">
      <c r="A41" s="78" t="e">
        <v>#NAME?</v>
      </c>
      <c r="B41" s="120" t="e">
        <v>#NAME?</v>
      </c>
      <c r="C41" s="240" t="e">
        <f aca="false">IF(B41/7=0,"",B41/7)</f>
        <v>#NAME?</v>
      </c>
    </row>
    <row r="42" customFormat="false" ht="15.75" hidden="false" customHeight="false" outlineLevel="0" collapsed="false">
      <c r="A42" s="78" t="e">
        <v>#NAME?</v>
      </c>
      <c r="B42" s="120" t="e">
        <v>#NAME?</v>
      </c>
      <c r="C42" s="240" t="e">
        <f aca="false">IF(B42/7=0,"",B42/7)</f>
        <v>#NAME?</v>
      </c>
    </row>
    <row r="43" customFormat="false" ht="15.75" hidden="false" customHeight="false" outlineLevel="0" collapsed="false">
      <c r="A43" s="78" t="e">
        <v>#NAME?</v>
      </c>
      <c r="B43" s="120" t="e">
        <v>#NAME?</v>
      </c>
      <c r="C43" s="240" t="e">
        <f aca="false">IF(B43/7=0,"",B43/7)</f>
        <v>#NAME?</v>
      </c>
    </row>
    <row r="44" customFormat="false" ht="15.75" hidden="false" customHeight="false" outlineLevel="0" collapsed="false">
      <c r="A44" s="78" t="e">
        <v>#NAME?</v>
      </c>
      <c r="B44" s="120" t="e">
        <v>#NAME?</v>
      </c>
      <c r="C44" s="240" t="e">
        <f aca="false">IF(B44/7=0,"",B44/7)</f>
        <v>#NAME?</v>
      </c>
    </row>
    <row r="45" customFormat="false" ht="15.75" hidden="false" customHeight="false" outlineLevel="0" collapsed="false">
      <c r="A45" s="78" t="e">
        <v>#NAME?</v>
      </c>
      <c r="B45" s="120" t="e">
        <v>#NAME?</v>
      </c>
      <c r="C45" s="240" t="e">
        <f aca="false">IF(B45/7=0,"",B45/7)</f>
        <v>#NAME?</v>
      </c>
    </row>
    <row r="46" customFormat="false" ht="15.75" hidden="false" customHeight="false" outlineLevel="0" collapsed="false">
      <c r="A46" s="78" t="e">
        <v>#NAME?</v>
      </c>
      <c r="B46" s="120" t="e">
        <v>#NAME?</v>
      </c>
      <c r="C46" s="240" t="e">
        <f aca="false">IF(B46/7=0,"",B46/7)</f>
        <v>#NAME?</v>
      </c>
    </row>
    <row r="47" customFormat="false" ht="15.75" hidden="false" customHeight="false" outlineLevel="0" collapsed="false">
      <c r="A47" s="78" t="e">
        <v>#NAME?</v>
      </c>
      <c r="B47" s="120" t="e">
        <v>#NAME?</v>
      </c>
      <c r="C47" s="240" t="e">
        <f aca="false">IF(B47/7=0,"",B47/7)</f>
        <v>#NAME?</v>
      </c>
    </row>
    <row r="48" customFormat="false" ht="15.75" hidden="false" customHeight="false" outlineLevel="0" collapsed="false">
      <c r="A48" s="78" t="e">
        <v>#NAME?</v>
      </c>
      <c r="B48" s="120" t="e">
        <v>#NAME?</v>
      </c>
      <c r="C48" s="240" t="e">
        <f aca="false">IF(B48/7=0,"",B48/7)</f>
        <v>#NAME?</v>
      </c>
    </row>
    <row r="49" customFormat="false" ht="15.75" hidden="false" customHeight="false" outlineLevel="0" collapsed="false">
      <c r="A49" s="78" t="e">
        <v>#NAME?</v>
      </c>
      <c r="B49" s="120" t="e">
        <v>#NAME?</v>
      </c>
      <c r="C49" s="240" t="e">
        <f aca="false">IF(B49/7=0,"",B49/7)</f>
        <v>#NAME?</v>
      </c>
    </row>
    <row r="50" customFormat="false" ht="15.75" hidden="false" customHeight="false" outlineLevel="0" collapsed="false">
      <c r="A50" s="78" t="e">
        <v>#NAME?</v>
      </c>
      <c r="B50" s="120" t="e">
        <v>#NAME?</v>
      </c>
      <c r="C50" s="240" t="e">
        <f aca="false">IF(B50/7=0,"",B50/7)</f>
        <v>#NAME?</v>
      </c>
    </row>
    <row r="51" customFormat="false" ht="15.75" hidden="false" customHeight="false" outlineLevel="0" collapsed="false">
      <c r="A51" s="78" t="e">
        <v>#NAME?</v>
      </c>
      <c r="B51" s="120" t="e">
        <v>#NAME?</v>
      </c>
      <c r="C51" s="240" t="e">
        <f aca="false">IF(B51/7=0,"",B51/7)</f>
        <v>#NAME?</v>
      </c>
    </row>
    <row r="52" customFormat="false" ht="15.75" hidden="false" customHeight="false" outlineLevel="0" collapsed="false">
      <c r="A52" s="78" t="e">
        <v>#NAME?</v>
      </c>
      <c r="B52" s="120" t="e">
        <v>#NAME?</v>
      </c>
      <c r="C52" s="240" t="e">
        <f aca="false">IF(B52/7=0,"",B52/7)</f>
        <v>#NAME?</v>
      </c>
    </row>
    <row r="53" customFormat="false" ht="15.75" hidden="false" customHeight="false" outlineLevel="0" collapsed="false">
      <c r="A53" s="78" t="e">
        <v>#NAME?</v>
      </c>
      <c r="B53" s="120" t="e">
        <v>#NAME?</v>
      </c>
      <c r="C53" s="240" t="e">
        <f aca="false">IF(B53/7=0,"",B53/7)</f>
        <v>#NAME?</v>
      </c>
    </row>
    <row r="54" customFormat="false" ht="15.75" hidden="false" customHeight="false" outlineLevel="0" collapsed="false">
      <c r="A54" s="78" t="e">
        <v>#NAME?</v>
      </c>
      <c r="B54" s="120" t="e">
        <v>#NAME?</v>
      </c>
      <c r="C54" s="240" t="e">
        <f aca="false">IF(B54/7=0,"",B54/7)</f>
        <v>#NAME?</v>
      </c>
    </row>
    <row r="55" customFormat="false" ht="15.75" hidden="false" customHeight="false" outlineLevel="0" collapsed="false">
      <c r="A55" s="78" t="e">
        <v>#NAME?</v>
      </c>
      <c r="B55" s="120" t="e">
        <v>#NAME?</v>
      </c>
      <c r="C55" s="240" t="e">
        <f aca="false">IF(B55/7=0,"",B55/7)</f>
        <v>#NAME?</v>
      </c>
    </row>
    <row r="56" customFormat="false" ht="15.75" hidden="false" customHeight="false" outlineLevel="0" collapsed="false">
      <c r="A56" s="78" t="e">
        <v>#NAME?</v>
      </c>
      <c r="B56" s="120" t="e">
        <v>#NAME?</v>
      </c>
      <c r="C56" s="240" t="e">
        <f aca="false">IF(B56/7=0,"",B56/7)</f>
        <v>#NAME?</v>
      </c>
    </row>
    <row r="57" customFormat="false" ht="15.75" hidden="false" customHeight="false" outlineLevel="0" collapsed="false">
      <c r="A57" s="78" t="e">
        <v>#NAME?</v>
      </c>
      <c r="B57" s="120" t="e">
        <v>#NAME?</v>
      </c>
      <c r="C57" s="240" t="e">
        <f aca="false">IF(B57/7=0,"",B57/7)</f>
        <v>#NAME?</v>
      </c>
    </row>
    <row r="58" customFormat="false" ht="15.75" hidden="false" customHeight="false" outlineLevel="0" collapsed="false">
      <c r="A58" s="78" t="e">
        <v>#NAME?</v>
      </c>
      <c r="B58" s="120" t="e">
        <v>#NAME?</v>
      </c>
      <c r="C58" s="240" t="e">
        <f aca="false">IF(B58/7=0,"",B58/7)</f>
        <v>#NAME?</v>
      </c>
    </row>
    <row r="59" customFormat="false" ht="15.75" hidden="false" customHeight="false" outlineLevel="0" collapsed="false">
      <c r="A59" s="78" t="e">
        <v>#NAME?</v>
      </c>
      <c r="B59" s="120" t="e">
        <v>#NAME?</v>
      </c>
      <c r="C59" s="240" t="e">
        <f aca="false">IF(B59/7=0,"",B59/7)</f>
        <v>#NAME?</v>
      </c>
    </row>
    <row r="60" customFormat="false" ht="15.75" hidden="false" customHeight="false" outlineLevel="0" collapsed="false">
      <c r="A60" s="78" t="e">
        <v>#NAME?</v>
      </c>
      <c r="B60" s="120" t="e">
        <v>#NAME?</v>
      </c>
      <c r="C60" s="240" t="e">
        <f aca="false">IF(B60/7=0,"",B60/7)</f>
        <v>#NAME?</v>
      </c>
    </row>
    <row r="61" customFormat="false" ht="15.75" hidden="false" customHeight="false" outlineLevel="0" collapsed="false">
      <c r="A61" s="78" t="e">
        <v>#NAME?</v>
      </c>
      <c r="B61" s="120" t="e">
        <v>#NAME?</v>
      </c>
      <c r="C61" s="240" t="e">
        <f aca="false">IF(B61/7=0,"",B61/7)</f>
        <v>#NAME?</v>
      </c>
    </row>
    <row r="62" customFormat="false" ht="15.75" hidden="false" customHeight="false" outlineLevel="0" collapsed="false">
      <c r="A62" s="78" t="e">
        <v>#NAME?</v>
      </c>
      <c r="B62" s="120" t="e">
        <v>#NAME?</v>
      </c>
      <c r="C62" s="240" t="e">
        <f aca="false">IF(B62/7=0,"",B62/7)</f>
        <v>#NAME?</v>
      </c>
    </row>
    <row r="63" customFormat="false" ht="15.75" hidden="false" customHeight="false" outlineLevel="0" collapsed="false">
      <c r="A63" s="78" t="e">
        <v>#NAME?</v>
      </c>
      <c r="B63" s="120" t="e">
        <v>#NAME?</v>
      </c>
      <c r="C63" s="240" t="e">
        <f aca="false">IF(B63/7=0,"",B63/7)</f>
        <v>#NAME?</v>
      </c>
    </row>
    <row r="64" customFormat="false" ht="15.75" hidden="false" customHeight="false" outlineLevel="0" collapsed="false">
      <c r="A64" s="78" t="e">
        <v>#NAME?</v>
      </c>
      <c r="B64" s="120" t="e">
        <v>#NAME?</v>
      </c>
      <c r="C64" s="240" t="e">
        <f aca="false">IF(B64/7=0,"",B64/7)</f>
        <v>#NAME?</v>
      </c>
    </row>
    <row r="65" customFormat="false" ht="15.75" hidden="false" customHeight="false" outlineLevel="0" collapsed="false">
      <c r="A65" s="78" t="e">
        <v>#NAME?</v>
      </c>
      <c r="B65" s="120" t="e">
        <v>#NAME?</v>
      </c>
      <c r="C65" s="240" t="e">
        <f aca="false">IF(B65/7=0,"",B65/7)</f>
        <v>#NAME?</v>
      </c>
    </row>
    <row r="66" customFormat="false" ht="15.75" hidden="false" customHeight="false" outlineLevel="0" collapsed="false">
      <c r="A66" s="78" t="e">
        <v>#NAME?</v>
      </c>
      <c r="B66" s="120" t="e">
        <v>#NAME?</v>
      </c>
      <c r="C66" s="240" t="e">
        <f aca="false">IF(B66/7=0,"",B66/7)</f>
        <v>#NAME?</v>
      </c>
    </row>
    <row r="67" customFormat="false" ht="15.75" hidden="false" customHeight="false" outlineLevel="0" collapsed="false">
      <c r="A67" s="78" t="e">
        <v>#NAME?</v>
      </c>
      <c r="B67" s="120" t="e">
        <v>#NAME?</v>
      </c>
      <c r="C67" s="240" t="e">
        <f aca="false">IF(B67/7=0,"",B67/7)</f>
        <v>#NAME?</v>
      </c>
    </row>
    <row r="68" customFormat="false" ht="15.75" hidden="false" customHeight="false" outlineLevel="0" collapsed="false">
      <c r="A68" s="78" t="e">
        <v>#NAME?</v>
      </c>
      <c r="B68" s="120" t="e">
        <v>#NAME?</v>
      </c>
      <c r="C68" s="240" t="e">
        <f aca="false">IF(B68/7=0,"",B68/7)</f>
        <v>#NAME?</v>
      </c>
    </row>
    <row r="69" customFormat="false" ht="15.75" hidden="false" customHeight="false" outlineLevel="0" collapsed="false">
      <c r="A69" s="78" t="e">
        <v>#NAME?</v>
      </c>
      <c r="B69" s="120" t="e">
        <v>#NAME?</v>
      </c>
      <c r="C69" s="240" t="e">
        <f aca="false">IF(B69/7=0,"",B69/7)</f>
        <v>#NAME?</v>
      </c>
    </row>
    <row r="70" customFormat="false" ht="15.75" hidden="false" customHeight="false" outlineLevel="0" collapsed="false">
      <c r="A70" s="78" t="e">
        <v>#NAME?</v>
      </c>
      <c r="B70" s="120" t="e">
        <v>#NAME?</v>
      </c>
      <c r="C70" s="240" t="e">
        <f aca="false">IF(B70/7=0,"",B70/7)</f>
        <v>#NAME?</v>
      </c>
    </row>
    <row r="71" customFormat="false" ht="15.75" hidden="false" customHeight="false" outlineLevel="0" collapsed="false">
      <c r="A71" s="78" t="e">
        <v>#NAME?</v>
      </c>
      <c r="B71" s="120" t="e">
        <v>#NAME?</v>
      </c>
      <c r="C71" s="240" t="e">
        <f aca="false">IF(B71/7=0,"",B71/7)</f>
        <v>#NAME?</v>
      </c>
    </row>
    <row r="72" customFormat="false" ht="15.75" hidden="false" customHeight="false" outlineLevel="0" collapsed="false">
      <c r="A72" s="78" t="e">
        <v>#NAME?</v>
      </c>
      <c r="B72" s="120" t="e">
        <v>#NAME?</v>
      </c>
      <c r="C72" s="240" t="e">
        <f aca="false">IF(B72/7=0,"",B72/7)</f>
        <v>#NAME?</v>
      </c>
    </row>
    <row r="73" customFormat="false" ht="15.75" hidden="false" customHeight="false" outlineLevel="0" collapsed="false">
      <c r="A73" s="78" t="e">
        <v>#NAME?</v>
      </c>
      <c r="B73" s="120" t="e">
        <v>#NAME?</v>
      </c>
      <c r="C73" s="240" t="e">
        <f aca="false">IF(B73/7=0,"",B73/7)</f>
        <v>#NAME?</v>
      </c>
    </row>
    <row r="74" customFormat="false" ht="15.75" hidden="false" customHeight="false" outlineLevel="0" collapsed="false">
      <c r="A74" s="78" t="e">
        <v>#NAME?</v>
      </c>
      <c r="B74" s="120" t="e">
        <v>#NAME?</v>
      </c>
      <c r="C74" s="240" t="e">
        <f aca="false">IF(B74/7=0,"",B74/7)</f>
        <v>#NAME?</v>
      </c>
    </row>
    <row r="75" customFormat="false" ht="15.75" hidden="false" customHeight="false" outlineLevel="0" collapsed="false">
      <c r="A75" s="78" t="e">
        <v>#NAME?</v>
      </c>
      <c r="B75" s="120" t="e">
        <v>#NAME?</v>
      </c>
      <c r="C75" s="240" t="e">
        <f aca="false">IF(B75/7=0,"",B75/7)</f>
        <v>#NAME?</v>
      </c>
    </row>
    <row r="76" customFormat="false" ht="15.75" hidden="false" customHeight="false" outlineLevel="0" collapsed="false">
      <c r="A76" s="78" t="e">
        <v>#NAME?</v>
      </c>
      <c r="B76" s="120" t="e">
        <v>#NAME?</v>
      </c>
      <c r="C76" s="240" t="e">
        <f aca="false">IF(B76/7=0,"",B76/7)</f>
        <v>#NAME?</v>
      </c>
    </row>
    <row r="77" customFormat="false" ht="15.75" hidden="false" customHeight="false" outlineLevel="0" collapsed="false">
      <c r="A77" s="78" t="e">
        <v>#NAME?</v>
      </c>
      <c r="B77" s="120" t="e">
        <v>#NAME?</v>
      </c>
      <c r="C77" s="240" t="e">
        <f aca="false">IF(B77/7=0,"",B77/7)</f>
        <v>#NAME?</v>
      </c>
    </row>
    <row r="78" customFormat="false" ht="15.75" hidden="false" customHeight="false" outlineLevel="0" collapsed="false">
      <c r="A78" s="120" t="e">
        <v>#NAME?</v>
      </c>
      <c r="B78" s="120" t="e">
        <v>#NAME?</v>
      </c>
      <c r="C78" s="240" t="e">
        <f aca="false">IF(B78/7=0,"",B78/7)</f>
        <v>#NAME?</v>
      </c>
    </row>
    <row r="79" customFormat="false" ht="15.75" hidden="false" customHeight="false" outlineLevel="0" collapsed="false">
      <c r="A79" s="78" t="e">
        <v>#NAME?</v>
      </c>
      <c r="B79" s="120" t="e">
        <v>#NAME?</v>
      </c>
      <c r="C79" s="240" t="e">
        <f aca="false">IF(B79/7=0,"",B79/7)</f>
        <v>#NAME?</v>
      </c>
    </row>
    <row r="80" customFormat="false" ht="15.75" hidden="false" customHeight="false" outlineLevel="0" collapsed="false">
      <c r="A80" s="78" t="e">
        <v>#NAME?</v>
      </c>
      <c r="B80" s="120" t="e">
        <v>#NAME?</v>
      </c>
      <c r="C80" s="240" t="e">
        <f aca="false">IF(B80/7=0,"",B80/7)</f>
        <v>#NAME?</v>
      </c>
    </row>
    <row r="81" customFormat="false" ht="15.75" hidden="false" customHeight="false" outlineLevel="0" collapsed="false">
      <c r="A81" s="78" t="e">
        <v>#NAME?</v>
      </c>
      <c r="B81" s="120" t="e">
        <v>#NAME?</v>
      </c>
      <c r="C81" s="240" t="e">
        <f aca="false">IF(B81/7=0,"",B81/7)</f>
        <v>#NAME?</v>
      </c>
    </row>
    <row r="82" customFormat="false" ht="15.75" hidden="false" customHeight="false" outlineLevel="0" collapsed="false">
      <c r="A82" s="120" t="e">
        <v>#NAME?</v>
      </c>
      <c r="B82" s="120" t="e">
        <v>#NAME?</v>
      </c>
      <c r="C82" s="240" t="e">
        <f aca="false">IF(B82/7=0,"",B82/7)</f>
        <v>#NAME?</v>
      </c>
    </row>
    <row r="83" customFormat="false" ht="15.75" hidden="false" customHeight="false" outlineLevel="0" collapsed="false">
      <c r="A83" s="120" t="e">
        <v>#NAME?</v>
      </c>
      <c r="B83" s="120" t="e">
        <v>#NAME?</v>
      </c>
      <c r="C83" s="240" t="e">
        <f aca="false">IF(B83/7=0,"",B83/7)</f>
        <v>#NAME?</v>
      </c>
    </row>
    <row r="84" customFormat="false" ht="15.75" hidden="false" customHeight="false" outlineLevel="0" collapsed="false">
      <c r="A84" s="120" t="e">
        <v>#NAME?</v>
      </c>
      <c r="B84" s="120" t="e">
        <v>#NAME?</v>
      </c>
      <c r="C84" s="240" t="e">
        <f aca="false">IF(B84/7=0,"",B84/7)</f>
        <v>#NAME?</v>
      </c>
    </row>
    <row r="85" customFormat="false" ht="15.75" hidden="false" customHeight="false" outlineLevel="0" collapsed="false">
      <c r="A85" s="120" t="e">
        <v>#NAME?</v>
      </c>
      <c r="B85" s="120" t="e">
        <v>#NAME?</v>
      </c>
      <c r="C85" s="240" t="e">
        <f aca="false">IF(B85/7=0,"",B85/7)</f>
        <v>#NAME?</v>
      </c>
    </row>
    <row r="86" customFormat="false" ht="15.75" hidden="false" customHeight="false" outlineLevel="0" collapsed="false">
      <c r="A86" s="120" t="e">
        <v>#NAME?</v>
      </c>
      <c r="B86" s="120" t="e">
        <v>#NAME?</v>
      </c>
      <c r="C86" s="240" t="e">
        <f aca="false">IF(B86/7=0,"",B86/7)</f>
        <v>#NAME?</v>
      </c>
    </row>
    <row r="87" customFormat="false" ht="15.75" hidden="false" customHeight="false" outlineLevel="0" collapsed="false">
      <c r="A87" s="120" t="e">
        <v>#NAME?</v>
      </c>
      <c r="B87" s="120" t="e">
        <v>#NAME?</v>
      </c>
      <c r="C87" s="240" t="e">
        <f aca="false">IF(B87/7=0,"",B87/7)</f>
        <v>#NAME?</v>
      </c>
    </row>
    <row r="88" customFormat="false" ht="15.75" hidden="false" customHeight="false" outlineLevel="0" collapsed="false">
      <c r="A88" s="120" t="e">
        <v>#NAME?</v>
      </c>
      <c r="B88" s="120" t="e">
        <v>#NAME?</v>
      </c>
      <c r="C88" s="240" t="e">
        <f aca="false">IF(B88/7=0,"",B88/7)</f>
        <v>#NAME?</v>
      </c>
    </row>
    <row r="89" customFormat="false" ht="15.75" hidden="false" customHeight="false" outlineLevel="0" collapsed="false">
      <c r="A89" s="120" t="e">
        <v>#NAME?</v>
      </c>
      <c r="B89" s="120" t="e">
        <v>#NAME?</v>
      </c>
      <c r="C89" s="240" t="e">
        <f aca="false">IF(B89/7=0,"",B89/7)</f>
        <v>#NAME?</v>
      </c>
    </row>
    <row r="90" customFormat="false" ht="15.75" hidden="false" customHeight="false" outlineLevel="0" collapsed="false">
      <c r="A90" s="120" t="e">
        <v>#NAME?</v>
      </c>
      <c r="B90" s="120" t="e">
        <v>#NAME?</v>
      </c>
      <c r="C90" s="240" t="e">
        <f aca="false">IF(B90/7=0,"",B90/7)</f>
        <v>#NAME?</v>
      </c>
    </row>
    <row r="91" customFormat="false" ht="15.75" hidden="false" customHeight="false" outlineLevel="0" collapsed="false">
      <c r="A91" s="120" t="e">
        <v>#NAME?</v>
      </c>
      <c r="B91" s="120" t="e">
        <v>#NAME?</v>
      </c>
      <c r="C91" s="240" t="e">
        <f aca="false">IF(B91/7=0,"",B91/7)</f>
        <v>#NAME?</v>
      </c>
    </row>
    <row r="92" customFormat="false" ht="15.75" hidden="false" customHeight="false" outlineLevel="0" collapsed="false">
      <c r="A92" s="120" t="e">
        <v>#NAME?</v>
      </c>
      <c r="B92" s="120" t="e">
        <v>#NAME?</v>
      </c>
      <c r="C92" s="240" t="e">
        <f aca="false">IF(B92/7=0,"",B92/7)</f>
        <v>#NAME?</v>
      </c>
    </row>
    <row r="93" customFormat="false" ht="15.75" hidden="false" customHeight="false" outlineLevel="0" collapsed="false">
      <c r="A93" s="120" t="e">
        <v>#NAME?</v>
      </c>
      <c r="B93" s="120" t="e">
        <v>#NAME?</v>
      </c>
      <c r="C93" s="240" t="e">
        <f aca="false">IF(B93/7=0,"",B93/7)</f>
        <v>#NAME?</v>
      </c>
    </row>
    <row r="94" customFormat="false" ht="15.75" hidden="false" customHeight="false" outlineLevel="0" collapsed="false">
      <c r="A94" s="120" t="e">
        <v>#NAME?</v>
      </c>
      <c r="B94" s="120" t="e">
        <v>#NAME?</v>
      </c>
      <c r="C94" s="240" t="e">
        <f aca="false">IF(B94/7=0,"",B94/7)</f>
        <v>#NAME?</v>
      </c>
    </row>
    <row r="95" customFormat="false" ht="15.75" hidden="false" customHeight="false" outlineLevel="0" collapsed="false">
      <c r="A95" s="120" t="e">
        <v>#NAME?</v>
      </c>
      <c r="B95" s="120" t="e">
        <v>#NAME?</v>
      </c>
      <c r="C95" s="240" t="e">
        <f aca="false">IF(B95/7=0,"",B95/7)</f>
        <v>#NAME?</v>
      </c>
    </row>
    <row r="96" customFormat="false" ht="15.75" hidden="false" customHeight="false" outlineLevel="0" collapsed="false">
      <c r="A96" s="120" t="e">
        <v>#NAME?</v>
      </c>
      <c r="B96" s="120" t="e">
        <v>#NAME?</v>
      </c>
      <c r="C96" s="240" t="e">
        <f aca="false">IF(B96/7=0,"",B96/7)</f>
        <v>#NAME?</v>
      </c>
    </row>
    <row r="97" customFormat="false" ht="15.75" hidden="false" customHeight="false" outlineLevel="0" collapsed="false">
      <c r="A97" s="120" t="e">
        <v>#NAME?</v>
      </c>
      <c r="B97" s="120" t="e">
        <v>#NAME?</v>
      </c>
      <c r="C97" s="240" t="e">
        <f aca="false">IF(B97/7=0,"",B97/7)</f>
        <v>#NAME?</v>
      </c>
    </row>
    <row r="98" customFormat="false" ht="15.75" hidden="false" customHeight="false" outlineLevel="0" collapsed="false">
      <c r="A98" s="120" t="e">
        <v>#NAME?</v>
      </c>
      <c r="B98" s="120" t="e">
        <v>#NAME?</v>
      </c>
      <c r="C98" s="240" t="e">
        <f aca="false">IF(B98/7=0,"",B98/7)</f>
        <v>#NAME?</v>
      </c>
    </row>
    <row r="99" customFormat="false" ht="15.75" hidden="false" customHeight="false" outlineLevel="0" collapsed="false">
      <c r="A99" s="120" t="e">
        <v>#NAME?</v>
      </c>
      <c r="B99" s="120" t="e">
        <v>#NAME?</v>
      </c>
      <c r="C99" s="240" t="e">
        <f aca="false">IF(B99/7=0,"",B99/7)</f>
        <v>#NAME?</v>
      </c>
    </row>
    <row r="100" customFormat="false" ht="15.75" hidden="false" customHeight="false" outlineLevel="0" collapsed="false">
      <c r="A100" s="120" t="e">
        <v>#NAME?</v>
      </c>
      <c r="B100" s="120" t="e">
        <v>#NAME?</v>
      </c>
      <c r="C100" s="240" t="e">
        <f aca="false">IF(B100/7=0,"",B100/7)</f>
        <v>#NAME?</v>
      </c>
    </row>
    <row r="101" customFormat="false" ht="15.75" hidden="false" customHeight="false" outlineLevel="0" collapsed="false">
      <c r="A101" s="120" t="e">
        <v>#NAME?</v>
      </c>
      <c r="B101" s="120" t="e">
        <v>#NAME?</v>
      </c>
      <c r="C101" s="240" t="e">
        <f aca="false">IF(B101/7=0,"",B101/7)</f>
        <v>#NAME?</v>
      </c>
    </row>
    <row r="102" customFormat="false" ht="15.75" hidden="false" customHeight="false" outlineLevel="0" collapsed="false">
      <c r="A102" s="120" t="e">
        <v>#NAME?</v>
      </c>
      <c r="B102" s="120" t="e">
        <v>#NAME?</v>
      </c>
      <c r="C102" s="240" t="e">
        <f aca="false">IF(B102/7=0,"",B102/7)</f>
        <v>#NAME?</v>
      </c>
    </row>
    <row r="103" customFormat="false" ht="15.75" hidden="false" customHeight="false" outlineLevel="0" collapsed="false">
      <c r="A103" s="120" t="e">
        <v>#NAME?</v>
      </c>
      <c r="B103" s="120" t="e">
        <v>#NAME?</v>
      </c>
      <c r="C103" s="240" t="e">
        <f aca="false">IF(B103/7=0,"",B103/7)</f>
        <v>#NAME?</v>
      </c>
    </row>
    <row r="104" customFormat="false" ht="15.75" hidden="false" customHeight="false" outlineLevel="0" collapsed="false">
      <c r="A104" s="120" t="e">
        <v>#NAME?</v>
      </c>
      <c r="B104" s="120" t="e">
        <v>#NAME?</v>
      </c>
      <c r="C104" s="240" t="e">
        <f aca="false">IF(B104/7=0,"",B104/7)</f>
        <v>#NAME?</v>
      </c>
    </row>
    <row r="105" customFormat="false" ht="15.75" hidden="false" customHeight="false" outlineLevel="0" collapsed="false">
      <c r="A105" s="120" t="e">
        <v>#NAME?</v>
      </c>
      <c r="B105" s="120" t="e">
        <v>#NAME?</v>
      </c>
      <c r="C105" s="240" t="e">
        <f aca="false">IF(B105/7=0,"",B105/7)</f>
        <v>#NAME?</v>
      </c>
    </row>
    <row r="106" customFormat="false" ht="15.75" hidden="false" customHeight="false" outlineLevel="0" collapsed="false">
      <c r="A106" s="120" t="e">
        <v>#NAME?</v>
      </c>
      <c r="B106" s="120" t="e">
        <v>#NAME?</v>
      </c>
      <c r="C106" s="240" t="e">
        <f aca="false">IF(B106/7=0,"",B106/7)</f>
        <v>#NAME?</v>
      </c>
    </row>
    <row r="107" customFormat="false" ht="15.75" hidden="false" customHeight="false" outlineLevel="0" collapsed="false">
      <c r="A107" s="120" t="e">
        <v>#NAME?</v>
      </c>
      <c r="B107" s="120" t="e">
        <v>#NAME?</v>
      </c>
      <c r="C107" s="240" t="e">
        <f aca="false">IF(B107/7=0,"",B107/7)</f>
        <v>#NAME?</v>
      </c>
    </row>
    <row r="108" customFormat="false" ht="15.75" hidden="false" customHeight="false" outlineLevel="0" collapsed="false">
      <c r="A108" s="120" t="e">
        <v>#NAME?</v>
      </c>
      <c r="B108" s="120" t="e">
        <v>#NAME?</v>
      </c>
      <c r="C108" s="240" t="e">
        <f aca="false">IF(B108/7=0,"",B108/7)</f>
        <v>#NAME?</v>
      </c>
    </row>
    <row r="109" customFormat="false" ht="15.75" hidden="false" customHeight="false" outlineLevel="0" collapsed="false">
      <c r="A109" s="120" t="e">
        <v>#NAME?</v>
      </c>
      <c r="B109" s="120" t="e">
        <v>#NAME?</v>
      </c>
      <c r="C109" s="240" t="e">
        <f aca="false">IF(B109/7=0,"",B109/7)</f>
        <v>#NAME?</v>
      </c>
    </row>
    <row r="110" customFormat="false" ht="15.75" hidden="false" customHeight="false" outlineLevel="0" collapsed="false">
      <c r="A110" s="120" t="e">
        <v>#NAME?</v>
      </c>
      <c r="B110" s="120" t="e">
        <v>#NAME?</v>
      </c>
      <c r="C110" s="240" t="e">
        <f aca="false">IF(B110/7=0,"",B110/7)</f>
        <v>#NAME?</v>
      </c>
    </row>
    <row r="111" customFormat="false" ht="15.75" hidden="false" customHeight="false" outlineLevel="0" collapsed="false">
      <c r="A111" s="120" t="e">
        <v>#NAME?</v>
      </c>
      <c r="B111" s="120" t="e">
        <v>#NAME?</v>
      </c>
      <c r="C111" s="240" t="e">
        <f aca="false">IF(B111/7=0,"",B111/7)</f>
        <v>#NAME?</v>
      </c>
    </row>
    <row r="112" customFormat="false" ht="15.75" hidden="false" customHeight="false" outlineLevel="0" collapsed="false">
      <c r="A112" s="120" t="e">
        <v>#NAME?</v>
      </c>
      <c r="B112" s="120" t="e">
        <v>#NAME?</v>
      </c>
      <c r="C112" s="240" t="e">
        <f aca="false">IF(B112/7=0,"",B112/7)</f>
        <v>#NAME?</v>
      </c>
    </row>
    <row r="113" customFormat="false" ht="15.75" hidden="false" customHeight="false" outlineLevel="0" collapsed="false">
      <c r="A113" s="120" t="e">
        <v>#NAME?</v>
      </c>
      <c r="B113" s="120" t="e">
        <v>#NAME?</v>
      </c>
      <c r="C113" s="240" t="e">
        <f aca="false">IF(B113/7=0,"",B113/7)</f>
        <v>#NAME?</v>
      </c>
    </row>
    <row r="114" customFormat="false" ht="15.75" hidden="false" customHeight="false" outlineLevel="0" collapsed="false">
      <c r="A114" s="120" t="e">
        <v>#NAME?</v>
      </c>
      <c r="B114" s="120" t="e">
        <v>#NAME?</v>
      </c>
      <c r="C114" s="240" t="e">
        <f aca="false">IF(B114/7=0,"",B114/7)</f>
        <v>#NAME?</v>
      </c>
    </row>
    <row r="115" customFormat="false" ht="15.75" hidden="false" customHeight="false" outlineLevel="0" collapsed="false">
      <c r="A115" s="120" t="e">
        <v>#NAME?</v>
      </c>
      <c r="B115" s="120" t="e">
        <v>#NAME?</v>
      </c>
      <c r="C115" s="240" t="e">
        <f aca="false">IF(B115/7=0,"",B115/7)</f>
        <v>#NAME?</v>
      </c>
    </row>
    <row r="116" customFormat="false" ht="15.75" hidden="false" customHeight="false" outlineLevel="0" collapsed="false">
      <c r="A116" s="120" t="e">
        <v>#NAME?</v>
      </c>
      <c r="B116" s="120" t="e">
        <v>#NAME?</v>
      </c>
      <c r="C116" s="240" t="e">
        <f aca="false">IF(B116/7=0,"",B116/7)</f>
        <v>#NAME?</v>
      </c>
    </row>
    <row r="117" customFormat="false" ht="15.75" hidden="false" customHeight="false" outlineLevel="0" collapsed="false">
      <c r="A117" s="120" t="e">
        <v>#NAME?</v>
      </c>
      <c r="B117" s="120" t="e">
        <v>#NAME?</v>
      </c>
      <c r="C117" s="240" t="e">
        <f aca="false">IF(B117/7=0,"",B117/7)</f>
        <v>#NAME?</v>
      </c>
    </row>
    <row r="118" customFormat="false" ht="15.75" hidden="false" customHeight="false" outlineLevel="0" collapsed="false">
      <c r="A118" s="120" t="e">
        <v>#NAME?</v>
      </c>
      <c r="B118" s="120" t="e">
        <v>#NAME?</v>
      </c>
      <c r="C118" s="240" t="e">
        <f aca="false">IF(B118/7=0,"",B118/7)</f>
        <v>#NAME?</v>
      </c>
    </row>
    <row r="119" customFormat="false" ht="15.75" hidden="false" customHeight="false" outlineLevel="0" collapsed="false">
      <c r="A119" s="120" t="e">
        <v>#NAME?</v>
      </c>
      <c r="B119" s="120" t="e">
        <v>#NAME?</v>
      </c>
      <c r="C119" s="240" t="e">
        <f aca="false">IF(B119/7=0,"",B119/7)</f>
        <v>#NAME?</v>
      </c>
    </row>
    <row r="120" customFormat="false" ht="15.75" hidden="false" customHeight="false" outlineLevel="0" collapsed="false">
      <c r="A120" s="120" t="e">
        <v>#NAME?</v>
      </c>
      <c r="B120" s="120" t="e">
        <v>#NAME?</v>
      </c>
      <c r="C120" s="240" t="e">
        <f aca="false">IF(B120/7=0,"",B120/7)</f>
        <v>#NAME?</v>
      </c>
    </row>
    <row r="121" customFormat="false" ht="15.75" hidden="false" customHeight="false" outlineLevel="0" collapsed="false">
      <c r="A121" s="120" t="e">
        <v>#NAME?</v>
      </c>
      <c r="B121" s="120" t="e">
        <v>#NAME?</v>
      </c>
      <c r="C121" s="240" t="e">
        <f aca="false">IF(B121/7=0,"",B121/7)</f>
        <v>#NAME?</v>
      </c>
    </row>
    <row r="122" customFormat="false" ht="15.75" hidden="false" customHeight="false" outlineLevel="0" collapsed="false">
      <c r="A122" s="120" t="e">
        <v>#NAME?</v>
      </c>
      <c r="B122" s="120" t="e">
        <v>#NAME?</v>
      </c>
      <c r="C122" s="240" t="e">
        <f aca="false">IF(B122/7=0,"",B122/7)</f>
        <v>#NAME?</v>
      </c>
    </row>
    <row r="123" customFormat="false" ht="15.75" hidden="false" customHeight="false" outlineLevel="0" collapsed="false">
      <c r="A123" s="120" t="e">
        <v>#NAME?</v>
      </c>
      <c r="B123" s="120" t="e">
        <v>#NAME?</v>
      </c>
      <c r="C123" s="240" t="e">
        <f aca="false">IF(B123/7=0,"",B123/7)</f>
        <v>#NAME?</v>
      </c>
    </row>
    <row r="124" customFormat="false" ht="15.75" hidden="false" customHeight="false" outlineLevel="0" collapsed="false">
      <c r="A124" s="120" t="e">
        <v>#NAME?</v>
      </c>
      <c r="B124" s="120" t="e">
        <v>#NAME?</v>
      </c>
      <c r="C124" s="240" t="e">
        <f aca="false">IF(B124/7=0,"",B124/7)</f>
        <v>#NAME?</v>
      </c>
    </row>
    <row r="125" customFormat="false" ht="15.75" hidden="false" customHeight="false" outlineLevel="0" collapsed="false">
      <c r="A125" s="120" t="e">
        <v>#NAME?</v>
      </c>
      <c r="B125" s="120" t="e">
        <v>#NAME?</v>
      </c>
      <c r="C125" s="240" t="e">
        <f aca="false">IF(B125/7=0,"",B125/7)</f>
        <v>#NAME?</v>
      </c>
    </row>
    <row r="126" customFormat="false" ht="15.75" hidden="false" customHeight="false" outlineLevel="0" collapsed="false">
      <c r="A126" s="120" t="e">
        <v>#NAME?</v>
      </c>
      <c r="B126" s="120" t="e">
        <v>#NAME?</v>
      </c>
      <c r="C126" s="240" t="e">
        <f aca="false">IF(B126/7=0,"",B126/7)</f>
        <v>#NAME?</v>
      </c>
    </row>
    <row r="127" customFormat="false" ht="15.75" hidden="false" customHeight="false" outlineLevel="0" collapsed="false">
      <c r="A127" s="120" t="e">
        <v>#NAME?</v>
      </c>
      <c r="B127" s="120" t="e">
        <v>#NAME?</v>
      </c>
      <c r="C127" s="240" t="e">
        <f aca="false">IF(B127/7=0,"",B127/7)</f>
        <v>#NAME?</v>
      </c>
    </row>
    <row r="128" customFormat="false" ht="15.75" hidden="false" customHeight="false" outlineLevel="0" collapsed="false">
      <c r="A128" s="120" t="e">
        <v>#NAME?</v>
      </c>
      <c r="B128" s="120" t="e">
        <v>#NAME?</v>
      </c>
      <c r="C128" s="240" t="e">
        <f aca="false">IF(B128/7=0,"",B128/7)</f>
        <v>#NAME?</v>
      </c>
    </row>
    <row r="129" customFormat="false" ht="15.75" hidden="false" customHeight="false" outlineLevel="0" collapsed="false">
      <c r="A129" s="120" t="e">
        <v>#NAME?</v>
      </c>
      <c r="B129" s="120" t="e">
        <v>#NAME?</v>
      </c>
      <c r="C129" s="240" t="e">
        <f aca="false">IF(B129/7=0,"",B129/7)</f>
        <v>#NAME?</v>
      </c>
    </row>
    <row r="130" customFormat="false" ht="15.75" hidden="false" customHeight="false" outlineLevel="0" collapsed="false">
      <c r="A130" s="120" t="e">
        <v>#NAME?</v>
      </c>
      <c r="B130" s="120" t="e">
        <v>#NAME?</v>
      </c>
      <c r="C130" s="240" t="e">
        <f aca="false">IF(B130/7=0,"",B130/7)</f>
        <v>#NAME?</v>
      </c>
    </row>
    <row r="131" customFormat="false" ht="15.75" hidden="false" customHeight="false" outlineLevel="0" collapsed="false">
      <c r="A131" s="120" t="e">
        <v>#NAME?</v>
      </c>
      <c r="B131" s="120" t="e">
        <v>#NAME?</v>
      </c>
      <c r="C131" s="240" t="e">
        <f aca="false">IF(B131/7=0,"",B131/7)</f>
        <v>#NAME?</v>
      </c>
    </row>
    <row r="132" customFormat="false" ht="15.75" hidden="false" customHeight="false" outlineLevel="0" collapsed="false">
      <c r="A132" s="120" t="e">
        <v>#NAME?</v>
      </c>
      <c r="B132" s="120" t="e">
        <v>#NAME?</v>
      </c>
      <c r="C132" s="240" t="e">
        <f aca="false">IF(B132/7=0,"",B132/7)</f>
        <v>#NAME?</v>
      </c>
    </row>
    <row r="133" customFormat="false" ht="15.75" hidden="false" customHeight="false" outlineLevel="0" collapsed="false">
      <c r="A133" s="120" t="e">
        <v>#NAME?</v>
      </c>
      <c r="B133" s="120" t="e">
        <v>#NAME?</v>
      </c>
      <c r="C133" s="240" t="e">
        <f aca="false">IF(B133/7=0,"",B133/7)</f>
        <v>#NAME?</v>
      </c>
    </row>
    <row r="134" customFormat="false" ht="15.75" hidden="false" customHeight="false" outlineLevel="0" collapsed="false">
      <c r="A134" s="120" t="e">
        <v>#NAME?</v>
      </c>
      <c r="B134" s="120" t="e">
        <v>#NAME?</v>
      </c>
      <c r="C134" s="240" t="e">
        <f aca="false">IF(B134/7=0,"",B134/7)</f>
        <v>#NAME?</v>
      </c>
    </row>
    <row r="135" customFormat="false" ht="15.75" hidden="false" customHeight="false" outlineLevel="0" collapsed="false">
      <c r="A135" s="120" t="e">
        <v>#NAME?</v>
      </c>
      <c r="B135" s="120" t="e">
        <v>#NAME?</v>
      </c>
      <c r="C135" s="240" t="e">
        <f aca="false">IF(B135/7=0,"",B135/7)</f>
        <v>#NAME?</v>
      </c>
    </row>
    <row r="136" customFormat="false" ht="15.75" hidden="false" customHeight="false" outlineLevel="0" collapsed="false">
      <c r="A136" s="120" t="e">
        <v>#NAME?</v>
      </c>
      <c r="B136" s="120" t="e">
        <v>#NAME?</v>
      </c>
      <c r="C136" s="240" t="e">
        <f aca="false">IF(B136/7=0,"",B136/7)</f>
        <v>#NAME?</v>
      </c>
    </row>
    <row r="137" customFormat="false" ht="15.75" hidden="false" customHeight="false" outlineLevel="0" collapsed="false">
      <c r="A137" s="120" t="e">
        <v>#NAME?</v>
      </c>
      <c r="B137" s="120" t="e">
        <v>#NAME?</v>
      </c>
      <c r="C137" s="240" t="e">
        <f aca="false">IF(B137/7=0,"",B137/7)</f>
        <v>#NAME?</v>
      </c>
    </row>
    <row r="138" customFormat="false" ht="15.75" hidden="false" customHeight="false" outlineLevel="0" collapsed="false">
      <c r="A138" s="120" t="e">
        <v>#NAME?</v>
      </c>
      <c r="B138" s="120" t="e">
        <v>#NAME?</v>
      </c>
      <c r="C138" s="240" t="e">
        <f aca="false">IF(B138/7=0,"",B138/7)</f>
        <v>#NAME?</v>
      </c>
    </row>
    <row r="139" customFormat="false" ht="15.75" hidden="false" customHeight="false" outlineLevel="0" collapsed="false">
      <c r="A139" s="120" t="e">
        <v>#NAME?</v>
      </c>
      <c r="B139" s="120" t="e">
        <v>#NAME?</v>
      </c>
      <c r="C139" s="240" t="e">
        <f aca="false">IF(B139/7=0,"",B139/7)</f>
        <v>#NAME?</v>
      </c>
    </row>
    <row r="140" customFormat="false" ht="15.75" hidden="false" customHeight="false" outlineLevel="0" collapsed="false">
      <c r="A140" s="120" t="e">
        <v>#NAME?</v>
      </c>
      <c r="B140" s="120" t="e">
        <v>#NAME?</v>
      </c>
      <c r="C140" s="240" t="e">
        <f aca="false">IF(B140/7=0,"",B140/7)</f>
        <v>#NAME?</v>
      </c>
    </row>
    <row r="141" customFormat="false" ht="15.75" hidden="false" customHeight="false" outlineLevel="0" collapsed="false">
      <c r="A141" s="120" t="e">
        <v>#NAME?</v>
      </c>
      <c r="B141" s="120" t="e">
        <v>#NAME?</v>
      </c>
      <c r="C141" s="240" t="e">
        <f aca="false">IF(B141/7=0,"",B141/7)</f>
        <v>#NAME?</v>
      </c>
    </row>
    <row r="142" customFormat="false" ht="15.75" hidden="false" customHeight="false" outlineLevel="0" collapsed="false">
      <c r="A142" s="120" t="e">
        <v>#NAME?</v>
      </c>
      <c r="B142" s="120" t="e">
        <v>#NAME?</v>
      </c>
      <c r="C142" s="240" t="e">
        <f aca="false">IF(B142/7=0,"",B142/7)</f>
        <v>#NAME?</v>
      </c>
    </row>
    <row r="143" customFormat="false" ht="15.75" hidden="false" customHeight="false" outlineLevel="0" collapsed="false">
      <c r="A143" s="120" t="e">
        <v>#NAME?</v>
      </c>
      <c r="B143" s="120" t="e">
        <v>#NAME?</v>
      </c>
      <c r="C143" s="240" t="e">
        <f aca="false">IF(B143/7=0,"",B143/7)</f>
        <v>#NAME?</v>
      </c>
    </row>
    <row r="144" customFormat="false" ht="15.75" hidden="false" customHeight="false" outlineLevel="0" collapsed="false">
      <c r="A144" s="120" t="e">
        <v>#NAME?</v>
      </c>
      <c r="B144" s="120" t="e">
        <v>#NAME?</v>
      </c>
      <c r="C144" s="240" t="e">
        <f aca="false">IF(B144/7=0,"",B144/7)</f>
        <v>#NAME?</v>
      </c>
    </row>
    <row r="145" customFormat="false" ht="15.75" hidden="false" customHeight="false" outlineLevel="0" collapsed="false">
      <c r="A145" s="120" t="e">
        <v>#NAME?</v>
      </c>
      <c r="B145" s="120" t="e">
        <v>#NAME?</v>
      </c>
      <c r="C145" s="240" t="e">
        <f aca="false">IF(B145/7=0,"",B145/7)</f>
        <v>#NAME?</v>
      </c>
    </row>
    <row r="146" customFormat="false" ht="15.75" hidden="false" customHeight="false" outlineLevel="0" collapsed="false">
      <c r="A146" s="120" t="e">
        <v>#NAME?</v>
      </c>
      <c r="B146" s="120" t="e">
        <v>#NAME?</v>
      </c>
      <c r="C146" s="240" t="e">
        <f aca="false">IF(B146/7=0,"",B146/7)</f>
        <v>#NAME?</v>
      </c>
    </row>
    <row r="147" customFormat="false" ht="15.75" hidden="false" customHeight="false" outlineLevel="0" collapsed="false">
      <c r="A147" s="120" t="e">
        <v>#NAME?</v>
      </c>
      <c r="B147" s="120" t="e">
        <v>#NAME?</v>
      </c>
      <c r="C147" s="240" t="e">
        <f aca="false">IF(B147/7=0,"",B147/7)</f>
        <v>#NAME?</v>
      </c>
    </row>
    <row r="148" customFormat="false" ht="15.75" hidden="false" customHeight="false" outlineLevel="0" collapsed="false">
      <c r="A148" s="120" t="e">
        <v>#NAME?</v>
      </c>
      <c r="B148" s="120" t="e">
        <v>#NAME?</v>
      </c>
      <c r="C148" s="240" t="e">
        <f aca="false">IF(B148/7=0,"",B148/7)</f>
        <v>#NAME?</v>
      </c>
    </row>
    <row r="149" customFormat="false" ht="15.75" hidden="false" customHeight="false" outlineLevel="0" collapsed="false">
      <c r="A149" s="120" t="e">
        <v>#NAME?</v>
      </c>
      <c r="B149" s="120" t="e">
        <v>#NAME?</v>
      </c>
      <c r="C149" s="240" t="e">
        <f aca="false">IF(B149/7=0,"",B149/7)</f>
        <v>#NAME?</v>
      </c>
    </row>
    <row r="150" customFormat="false" ht="15.75" hidden="false" customHeight="false" outlineLevel="0" collapsed="false">
      <c r="A150" s="120" t="e">
        <v>#NAME?</v>
      </c>
      <c r="B150" s="120" t="e">
        <v>#NAME?</v>
      </c>
      <c r="C150" s="240" t="e">
        <f aca="false">IF(B150/7=0,"",B150/7)</f>
        <v>#NAME?</v>
      </c>
    </row>
    <row r="151" customFormat="false" ht="15.75" hidden="false" customHeight="false" outlineLevel="0" collapsed="false">
      <c r="A151" s="120" t="e">
        <v>#NAME?</v>
      </c>
      <c r="B151" s="120" t="e">
        <v>#NAME?</v>
      </c>
      <c r="C151" s="240" t="e">
        <f aca="false">IF(B151/7=0,"",B151/7)</f>
        <v>#NAME?</v>
      </c>
    </row>
    <row r="152" customFormat="false" ht="15.75" hidden="false" customHeight="false" outlineLevel="0" collapsed="false">
      <c r="A152" s="120" t="e">
        <v>#NAME?</v>
      </c>
      <c r="B152" s="120" t="e">
        <v>#NAME?</v>
      </c>
      <c r="C152" s="240" t="e">
        <f aca="false">IF(B152/7=0,"",B152/7)</f>
        <v>#NAME?</v>
      </c>
    </row>
    <row r="153" customFormat="false" ht="15.75" hidden="false" customHeight="false" outlineLevel="0" collapsed="false">
      <c r="A153" s="120" t="e">
        <v>#NAME?</v>
      </c>
      <c r="B153" s="120" t="e">
        <v>#NAME?</v>
      </c>
      <c r="C153" s="240" t="e">
        <f aca="false">IF(B153/7=0,"",B153/7)</f>
        <v>#NAME?</v>
      </c>
    </row>
    <row r="154" customFormat="false" ht="15.75" hidden="false" customHeight="false" outlineLevel="0" collapsed="false">
      <c r="A154" s="120" t="e">
        <v>#NAME?</v>
      </c>
      <c r="B154" s="120" t="e">
        <v>#NAME?</v>
      </c>
      <c r="C154" s="240" t="e">
        <f aca="false">IF(B154/7=0,"",B154/7)</f>
        <v>#NAME?</v>
      </c>
    </row>
    <row r="155" customFormat="false" ht="15.75" hidden="false" customHeight="false" outlineLevel="0" collapsed="false">
      <c r="A155" s="120" t="e">
        <v>#NAME?</v>
      </c>
      <c r="B155" s="120" t="e">
        <v>#NAME?</v>
      </c>
      <c r="C155" s="240" t="e">
        <f aca="false">IF(B155/7=0,"",B155/7)</f>
        <v>#NAME?</v>
      </c>
    </row>
    <row r="156" customFormat="false" ht="15.75" hidden="false" customHeight="false" outlineLevel="0" collapsed="false">
      <c r="A156" s="120" t="e">
        <v>#NAME?</v>
      </c>
      <c r="B156" s="120" t="e">
        <v>#NAME?</v>
      </c>
      <c r="C156" s="240" t="e">
        <f aca="false">IF(B156/7=0,"",B156/7)</f>
        <v>#NAME?</v>
      </c>
    </row>
    <row r="157" customFormat="false" ht="15.75" hidden="false" customHeight="false" outlineLevel="0" collapsed="false">
      <c r="A157" s="120" t="e">
        <v>#NAME?</v>
      </c>
      <c r="B157" s="120" t="e">
        <v>#NAME?</v>
      </c>
      <c r="C157" s="240" t="e">
        <f aca="false">IF(B157/7=0,"",B157/7)</f>
        <v>#NAME?</v>
      </c>
    </row>
    <row r="158" customFormat="false" ht="15.75" hidden="false" customHeight="false" outlineLevel="0" collapsed="false">
      <c r="A158" s="120" t="e">
        <v>#NAME?</v>
      </c>
      <c r="B158" s="120" t="e">
        <v>#NAME?</v>
      </c>
      <c r="C158" s="240" t="e">
        <f aca="false">IF(B158/7=0,"",B158/7)</f>
        <v>#NAME?</v>
      </c>
    </row>
    <row r="159" customFormat="false" ht="15.75" hidden="false" customHeight="false" outlineLevel="0" collapsed="false">
      <c r="A159" s="120" t="e">
        <v>#NAME?</v>
      </c>
      <c r="B159" s="120" t="e">
        <v>#NAME?</v>
      </c>
      <c r="C159" s="240" t="e">
        <f aca="false">IF(B159/7=0,"",B159/7)</f>
        <v>#NAME?</v>
      </c>
    </row>
    <row r="160" customFormat="false" ht="15.75" hidden="false" customHeight="false" outlineLevel="0" collapsed="false">
      <c r="A160" s="120" t="e">
        <v>#NAME?</v>
      </c>
      <c r="B160" s="120" t="e">
        <v>#NAME?</v>
      </c>
      <c r="C160" s="240" t="e">
        <f aca="false">IF(B160/7=0,"",B160/7)</f>
        <v>#NAME?</v>
      </c>
    </row>
    <row r="161" customFormat="false" ht="15.75" hidden="false" customHeight="false" outlineLevel="0" collapsed="false">
      <c r="A161" s="120" t="e">
        <v>#NAME?</v>
      </c>
      <c r="B161" s="120" t="e">
        <v>#NAME?</v>
      </c>
      <c r="C161" s="240" t="e">
        <f aca="false">IF(B161/7=0,"",B161/7)</f>
        <v>#NAME?</v>
      </c>
    </row>
    <row r="162" customFormat="false" ht="15.75" hidden="false" customHeight="false" outlineLevel="0" collapsed="false">
      <c r="A162" s="120" t="e">
        <v>#NAME?</v>
      </c>
      <c r="B162" s="120" t="e">
        <v>#NAME?</v>
      </c>
      <c r="C162" s="240" t="e">
        <f aca="false">IF(B162/7=0,"",B162/7)</f>
        <v>#NAME?</v>
      </c>
    </row>
    <row r="163" customFormat="false" ht="15.75" hidden="false" customHeight="false" outlineLevel="0" collapsed="false">
      <c r="A163" s="120" t="e">
        <v>#NAME?</v>
      </c>
      <c r="B163" s="120" t="e">
        <v>#NAME?</v>
      </c>
      <c r="C163" s="240" t="e">
        <f aca="false">IF(B163/7=0,"",B163/7)</f>
        <v>#NAME?</v>
      </c>
    </row>
    <row r="164" customFormat="false" ht="15.75" hidden="false" customHeight="false" outlineLevel="0" collapsed="false">
      <c r="A164" s="120" t="e">
        <v>#NAME?</v>
      </c>
      <c r="B164" s="120" t="e">
        <v>#NAME?</v>
      </c>
      <c r="C164" s="240" t="e">
        <f aca="false">IF(B164/7=0,"",B164/7)</f>
        <v>#NAME?</v>
      </c>
    </row>
    <row r="165" customFormat="false" ht="15.75" hidden="false" customHeight="false" outlineLevel="0" collapsed="false">
      <c r="A165" s="120" t="e">
        <v>#NAME?</v>
      </c>
      <c r="B165" s="120" t="e">
        <v>#NAME?</v>
      </c>
      <c r="C165" s="240" t="e">
        <f aca="false">IF(B165/7=0,"",B165/7)</f>
        <v>#NAME?</v>
      </c>
    </row>
    <row r="166" customFormat="false" ht="15.75" hidden="false" customHeight="false" outlineLevel="0" collapsed="false">
      <c r="A166" s="120" t="e">
        <v>#NAME?</v>
      </c>
      <c r="B166" s="120" t="e">
        <v>#NAME?</v>
      </c>
      <c r="C166" s="240" t="e">
        <f aca="false">IF(B166/7=0,"",B166/7)</f>
        <v>#NAME?</v>
      </c>
    </row>
    <row r="167" customFormat="false" ht="15.75" hidden="false" customHeight="false" outlineLevel="0" collapsed="false">
      <c r="A167" s="120" t="e">
        <v>#NAME?</v>
      </c>
      <c r="B167" s="120" t="e">
        <v>#NAME?</v>
      </c>
      <c r="C167" s="240" t="e">
        <f aca="false">IF(B167/7=0,"",B167/7)</f>
        <v>#NAME?</v>
      </c>
    </row>
    <row r="168" customFormat="false" ht="15.75" hidden="false" customHeight="false" outlineLevel="0" collapsed="false">
      <c r="A168" s="120" t="e">
        <v>#NAME?</v>
      </c>
      <c r="B168" s="120" t="e">
        <v>#NAME?</v>
      </c>
      <c r="C168" s="240" t="e">
        <f aca="false">IF(B168/7=0,"",B168/7)</f>
        <v>#NAME?</v>
      </c>
    </row>
    <row r="169" customFormat="false" ht="15.75" hidden="false" customHeight="false" outlineLevel="0" collapsed="false">
      <c r="A169" s="120" t="e">
        <v>#NAME?</v>
      </c>
      <c r="B169" s="120" t="e">
        <v>#NAME?</v>
      </c>
      <c r="C169" s="240" t="e">
        <f aca="false">IF(B169/7=0,"",B169/7)</f>
        <v>#NAME?</v>
      </c>
    </row>
    <row r="170" customFormat="false" ht="15.75" hidden="false" customHeight="false" outlineLevel="0" collapsed="false">
      <c r="A170" s="120" t="e">
        <v>#NAME?</v>
      </c>
      <c r="B170" s="120" t="e">
        <v>#NAME?</v>
      </c>
      <c r="C170" s="240" t="e">
        <f aca="false">IF(B170/7=0,"",B170/7)</f>
        <v>#NAME?</v>
      </c>
    </row>
    <row r="171" customFormat="false" ht="15.75" hidden="false" customHeight="false" outlineLevel="0" collapsed="false">
      <c r="A171" s="120" t="e">
        <v>#NAME?</v>
      </c>
      <c r="B171" s="120" t="e">
        <v>#NAME?</v>
      </c>
      <c r="C171" s="240" t="e">
        <f aca="false">IF(B171/7=0,"",B171/7)</f>
        <v>#NAME?</v>
      </c>
    </row>
    <row r="172" customFormat="false" ht="15.75" hidden="false" customHeight="false" outlineLevel="0" collapsed="false">
      <c r="A172" s="120" t="e">
        <v>#NAME?</v>
      </c>
      <c r="B172" s="120" t="e">
        <v>#NAME?</v>
      </c>
      <c r="C172" s="240" t="e">
        <f aca="false">IF(B172/7=0,"",B172/7)</f>
        <v>#NAME?</v>
      </c>
    </row>
    <row r="173" customFormat="false" ht="15.75" hidden="false" customHeight="false" outlineLevel="0" collapsed="false">
      <c r="A173" s="120" t="e">
        <v>#NAME?</v>
      </c>
      <c r="B173" s="120" t="e">
        <v>#NAME?</v>
      </c>
      <c r="C173" s="240" t="e">
        <f aca="false">IF(B173/7=0,"",B173/7)</f>
        <v>#NAME?</v>
      </c>
    </row>
    <row r="174" customFormat="false" ht="15.75" hidden="false" customHeight="false" outlineLevel="0" collapsed="false">
      <c r="A174" s="120" t="e">
        <v>#NAME?</v>
      </c>
      <c r="B174" s="120" t="e">
        <v>#NAME?</v>
      </c>
      <c r="C174" s="240" t="e">
        <f aca="false">IF(B174/7=0,"",B174/7)</f>
        <v>#NAME?</v>
      </c>
    </row>
    <row r="175" customFormat="false" ht="15.75" hidden="false" customHeight="false" outlineLevel="0" collapsed="false">
      <c r="A175" s="120" t="e">
        <v>#NAME?</v>
      </c>
      <c r="B175" s="120" t="e">
        <v>#NAME?</v>
      </c>
      <c r="C175" s="240" t="e">
        <f aca="false">IF(B175/7=0,"",B175/7)</f>
        <v>#NAME?</v>
      </c>
    </row>
    <row r="176" customFormat="false" ht="15.75" hidden="false" customHeight="false" outlineLevel="0" collapsed="false">
      <c r="A176" s="120" t="e">
        <v>#NAME?</v>
      </c>
      <c r="B176" s="120" t="e">
        <v>#NAME?</v>
      </c>
      <c r="C176" s="240" t="e">
        <f aca="false">IF(B176/7=0,"",B176/7)</f>
        <v>#NAME?</v>
      </c>
    </row>
    <row r="177" customFormat="false" ht="15.75" hidden="false" customHeight="false" outlineLevel="0" collapsed="false">
      <c r="A177" s="120" t="e">
        <v>#NAME?</v>
      </c>
      <c r="B177" s="120" t="e">
        <v>#NAME?</v>
      </c>
      <c r="C177" s="240" t="e">
        <f aca="false">IF(B177/7=0,"",B177/7)</f>
        <v>#NAME?</v>
      </c>
    </row>
    <row r="178" customFormat="false" ht="15.75" hidden="false" customHeight="false" outlineLevel="0" collapsed="false">
      <c r="A178" s="120" t="e">
        <v>#NAME?</v>
      </c>
      <c r="B178" s="120" t="e">
        <v>#NAME?</v>
      </c>
      <c r="C178" s="240" t="e">
        <f aca="false">IF(B178/7=0,"",B178/7)</f>
        <v>#NAME?</v>
      </c>
    </row>
    <row r="179" customFormat="false" ht="15.75" hidden="false" customHeight="false" outlineLevel="0" collapsed="false">
      <c r="A179" s="120" t="e">
        <v>#NAME?</v>
      </c>
      <c r="B179" s="120" t="e">
        <v>#NAME?</v>
      </c>
      <c r="C179" s="240"/>
    </row>
    <row r="180" customFormat="false" ht="15.75" hidden="false" customHeight="false" outlineLevel="0" collapsed="false">
      <c r="A180" s="120" t="e">
        <v>#NAME?</v>
      </c>
      <c r="B180" s="120" t="e">
        <v>#NAME?</v>
      </c>
      <c r="C180" s="240"/>
    </row>
    <row r="181" customFormat="false" ht="15.75" hidden="false" customHeight="false" outlineLevel="0" collapsed="false">
      <c r="A181" s="120" t="e">
        <v>#NAME?</v>
      </c>
      <c r="B181" s="120" t="e">
        <v>#NAME?</v>
      </c>
      <c r="C181" s="240"/>
    </row>
    <row r="182" customFormat="false" ht="15.75" hidden="false" customHeight="false" outlineLevel="0" collapsed="false">
      <c r="A182" s="120" t="e">
        <v>#NAME?</v>
      </c>
      <c r="B182" s="120" t="e">
        <v>#NAME?</v>
      </c>
      <c r="C182" s="240"/>
    </row>
    <row r="183" customFormat="false" ht="15.75" hidden="false" customHeight="false" outlineLevel="0" collapsed="false">
      <c r="A183" s="120" t="e">
        <v>#NAME?</v>
      </c>
      <c r="B183" s="120" t="e">
        <v>#NAME?</v>
      </c>
      <c r="C183" s="240"/>
    </row>
    <row r="184" customFormat="false" ht="15.75" hidden="false" customHeight="false" outlineLevel="0" collapsed="false">
      <c r="A184" s="120" t="e">
        <v>#NAME?</v>
      </c>
      <c r="B184" s="120" t="e">
        <v>#NAME?</v>
      </c>
      <c r="C184" s="240"/>
    </row>
    <row r="185" customFormat="false" ht="15.75" hidden="false" customHeight="false" outlineLevel="0" collapsed="false">
      <c r="A185" s="120" t="e">
        <v>#NAME?</v>
      </c>
      <c r="B185" s="120" t="e">
        <v>#NAME?</v>
      </c>
      <c r="C185" s="240"/>
    </row>
    <row r="186" customFormat="false" ht="15.75" hidden="false" customHeight="false" outlineLevel="0" collapsed="false">
      <c r="A186" s="120" t="e">
        <v>#NAME?</v>
      </c>
      <c r="B186" s="120" t="e">
        <v>#NAME?</v>
      </c>
      <c r="C186" s="240"/>
    </row>
    <row r="187" customFormat="false" ht="15.75" hidden="false" customHeight="false" outlineLevel="0" collapsed="false">
      <c r="A187" s="120" t="e">
        <v>#NAME?</v>
      </c>
      <c r="B187" s="120" t="e">
        <v>#NAME?</v>
      </c>
      <c r="C187" s="240"/>
    </row>
    <row r="188" customFormat="false" ht="15.75" hidden="false" customHeight="false" outlineLevel="0" collapsed="false">
      <c r="A188" s="120" t="e">
        <v>#NAME?</v>
      </c>
      <c r="B188" s="120" t="e">
        <v>#NAME?</v>
      </c>
      <c r="C188" s="240"/>
    </row>
    <row r="189" customFormat="false" ht="15.75" hidden="false" customHeight="false" outlineLevel="0" collapsed="false">
      <c r="A189" s="120" t="e">
        <v>#NAME?</v>
      </c>
      <c r="B189" s="120" t="e">
        <v>#NAME?</v>
      </c>
      <c r="C189" s="240"/>
    </row>
    <row r="190" customFormat="false" ht="15.75" hidden="false" customHeight="false" outlineLevel="0" collapsed="false">
      <c r="A190" s="120" t="e">
        <v>#NAME?</v>
      </c>
      <c r="B190" s="120" t="e">
        <v>#NAME?</v>
      </c>
      <c r="C190" s="240"/>
    </row>
    <row r="191" customFormat="false" ht="15.75" hidden="false" customHeight="false" outlineLevel="0" collapsed="false">
      <c r="A191" s="120" t="e">
        <v>#NAME?</v>
      </c>
      <c r="B191" s="120" t="e">
        <v>#NAME?</v>
      </c>
      <c r="C191" s="240"/>
    </row>
    <row r="192" customFormat="false" ht="15.75" hidden="false" customHeight="false" outlineLevel="0" collapsed="false">
      <c r="A192" s="120" t="e">
        <v>#NAME?</v>
      </c>
      <c r="B192" s="120" t="e">
        <v>#NAME?</v>
      </c>
      <c r="C192" s="240"/>
    </row>
    <row r="193" customFormat="false" ht="15.75" hidden="false" customHeight="false" outlineLevel="0" collapsed="false">
      <c r="A193" s="120" t="e">
        <v>#NAME?</v>
      </c>
      <c r="B193" s="120" t="e">
        <v>#NAME?</v>
      </c>
      <c r="C193" s="240"/>
    </row>
    <row r="194" customFormat="false" ht="15.75" hidden="false" customHeight="false" outlineLevel="0" collapsed="false">
      <c r="A194" s="120" t="e">
        <v>#NAME?</v>
      </c>
      <c r="B194" s="120" t="e">
        <v>#NAME?</v>
      </c>
      <c r="C194" s="240"/>
    </row>
    <row r="195" customFormat="false" ht="15.75" hidden="false" customHeight="false" outlineLevel="0" collapsed="false">
      <c r="A195" s="120" t="e">
        <v>#NAME?</v>
      </c>
      <c r="B195" s="120" t="e">
        <v>#NAME?</v>
      </c>
      <c r="C195" s="240"/>
    </row>
    <row r="196" customFormat="false" ht="15.75" hidden="false" customHeight="false" outlineLevel="0" collapsed="false">
      <c r="A196" s="120" t="e">
        <v>#NAME?</v>
      </c>
      <c r="B196" s="120" t="e">
        <v>#NAME?</v>
      </c>
      <c r="C196" s="240"/>
    </row>
    <row r="197" customFormat="false" ht="15.75" hidden="false" customHeight="false" outlineLevel="0" collapsed="false">
      <c r="A197" s="120" t="e">
        <v>#NAME?</v>
      </c>
      <c r="B197" s="120" t="e">
        <v>#NAME?</v>
      </c>
      <c r="C197" s="240"/>
    </row>
    <row r="198" customFormat="false" ht="15.75" hidden="false" customHeight="false" outlineLevel="0" collapsed="false">
      <c r="A198" s="120" t="e">
        <v>#NAME?</v>
      </c>
      <c r="B198" s="120" t="e">
        <v>#NAME?</v>
      </c>
      <c r="C198" s="240"/>
    </row>
    <row r="199" customFormat="false" ht="15.75" hidden="false" customHeight="false" outlineLevel="0" collapsed="false">
      <c r="A199" s="120" t="e">
        <v>#NAME?</v>
      </c>
      <c r="B199" s="120" t="e">
        <v>#NAME?</v>
      </c>
      <c r="C199" s="240"/>
    </row>
    <row r="200" customFormat="false" ht="15.75" hidden="false" customHeight="false" outlineLevel="0" collapsed="false">
      <c r="A200" s="120" t="e">
        <v>#NAME?</v>
      </c>
      <c r="B200" s="120" t="e">
        <v>#NAME?</v>
      </c>
      <c r="C200" s="240"/>
    </row>
    <row r="201" customFormat="false" ht="15.75" hidden="false" customHeight="false" outlineLevel="0" collapsed="false">
      <c r="A201" s="120" t="e">
        <v>#NAME?</v>
      </c>
      <c r="B201" s="120" t="e">
        <v>#NAME?</v>
      </c>
      <c r="C201" s="240"/>
    </row>
    <row r="202" customFormat="false" ht="15.75" hidden="false" customHeight="false" outlineLevel="0" collapsed="false">
      <c r="A202" s="120" t="e">
        <v>#NAME?</v>
      </c>
      <c r="B202" s="120" t="e">
        <v>#NAME?</v>
      </c>
      <c r="C202" s="240"/>
    </row>
    <row r="203" customFormat="false" ht="15.75" hidden="false" customHeight="false" outlineLevel="0" collapsed="false">
      <c r="A203" s="120" t="e">
        <v>#NAME?</v>
      </c>
      <c r="B203" s="120" t="e">
        <v>#NAME?</v>
      </c>
      <c r="C203" s="240"/>
    </row>
    <row r="204" customFormat="false" ht="15.75" hidden="false" customHeight="false" outlineLevel="0" collapsed="false">
      <c r="A204" s="120" t="e">
        <v>#NAME?</v>
      </c>
      <c r="B204" s="120" t="e">
        <v>#NAME?</v>
      </c>
      <c r="C204" s="240"/>
    </row>
    <row r="205" customFormat="false" ht="15.75" hidden="false" customHeight="false" outlineLevel="0" collapsed="false">
      <c r="A205" s="120" t="e">
        <v>#NAME?</v>
      </c>
      <c r="B205" s="120" t="e">
        <v>#NAME?</v>
      </c>
      <c r="C205" s="240"/>
    </row>
    <row r="206" customFormat="false" ht="15.75" hidden="false" customHeight="false" outlineLevel="0" collapsed="false">
      <c r="A206" s="120" t="e">
        <v>#NAME?</v>
      </c>
      <c r="B206" s="120" t="e">
        <v>#NAME?</v>
      </c>
      <c r="C206" s="240"/>
    </row>
    <row r="207" customFormat="false" ht="15.75" hidden="false" customHeight="false" outlineLevel="0" collapsed="false">
      <c r="A207" s="120" t="e">
        <v>#NAME?</v>
      </c>
      <c r="B207" s="120" t="e">
        <v>#NAME?</v>
      </c>
      <c r="C207" s="240"/>
    </row>
    <row r="208" customFormat="false" ht="15.75" hidden="false" customHeight="false" outlineLevel="0" collapsed="false">
      <c r="A208" s="120" t="e">
        <v>#NAME?</v>
      </c>
      <c r="B208" s="120" t="e">
        <v>#NAME?</v>
      </c>
      <c r="C208" s="240"/>
    </row>
    <row r="209" customFormat="false" ht="15.75" hidden="false" customHeight="false" outlineLevel="0" collapsed="false">
      <c r="A209" s="120" t="e">
        <v>#NAME?</v>
      </c>
      <c r="B209" s="120" t="e">
        <v>#NAME?</v>
      </c>
      <c r="C209" s="240"/>
    </row>
    <row r="210" customFormat="false" ht="15.75" hidden="false" customHeight="false" outlineLevel="0" collapsed="false">
      <c r="A210" s="120" t="e">
        <v>#NAME?</v>
      </c>
      <c r="B210" s="120" t="e">
        <v>#NAME?</v>
      </c>
      <c r="C210" s="240"/>
    </row>
    <row r="211" customFormat="false" ht="15.75" hidden="false" customHeight="false" outlineLevel="0" collapsed="false">
      <c r="A211" s="120" t="e">
        <v>#NAME?</v>
      </c>
      <c r="B211" s="120" t="e">
        <v>#NAME?</v>
      </c>
      <c r="C211" s="240"/>
    </row>
    <row r="212" customFormat="false" ht="15.75" hidden="false" customHeight="false" outlineLevel="0" collapsed="false">
      <c r="A212" s="120" t="e">
        <v>#NAME?</v>
      </c>
      <c r="B212" s="120" t="e">
        <v>#NAME?</v>
      </c>
      <c r="C212" s="240"/>
    </row>
    <row r="213" customFormat="false" ht="15.75" hidden="false" customHeight="false" outlineLevel="0" collapsed="false">
      <c r="A213" s="120" t="e">
        <v>#NAME?</v>
      </c>
      <c r="B213" s="120" t="e">
        <v>#NAME?</v>
      </c>
      <c r="C213" s="240"/>
    </row>
    <row r="214" customFormat="false" ht="15.75" hidden="false" customHeight="false" outlineLevel="0" collapsed="false">
      <c r="A214" s="120" t="e">
        <v>#NAME?</v>
      </c>
      <c r="B214" s="120" t="e">
        <v>#NAME?</v>
      </c>
      <c r="C214" s="240"/>
    </row>
    <row r="215" customFormat="false" ht="15.75" hidden="false" customHeight="false" outlineLevel="0" collapsed="false">
      <c r="A215" s="120" t="e">
        <v>#NAME?</v>
      </c>
      <c r="B215" s="120" t="e">
        <v>#NAME?</v>
      </c>
      <c r="C215" s="240"/>
    </row>
    <row r="216" customFormat="false" ht="15.75" hidden="false" customHeight="false" outlineLevel="0" collapsed="false">
      <c r="A216" s="120" t="e">
        <v>#NAME?</v>
      </c>
      <c r="B216" s="120" t="e">
        <v>#NAME?</v>
      </c>
      <c r="C216" s="240"/>
    </row>
    <row r="217" customFormat="false" ht="15.75" hidden="false" customHeight="false" outlineLevel="0" collapsed="false">
      <c r="A217" s="120" t="e">
        <v>#NAME?</v>
      </c>
      <c r="B217" s="120" t="e">
        <v>#NAME?</v>
      </c>
      <c r="C217" s="240"/>
    </row>
    <row r="218" customFormat="false" ht="15.75" hidden="false" customHeight="false" outlineLevel="0" collapsed="false">
      <c r="A218" s="120" t="e">
        <v>#NAME?</v>
      </c>
      <c r="B218" s="120" t="e">
        <v>#NAME?</v>
      </c>
      <c r="C218" s="240"/>
    </row>
    <row r="219" customFormat="false" ht="15.75" hidden="false" customHeight="false" outlineLevel="0" collapsed="false">
      <c r="A219" s="120" t="e">
        <v>#NAME?</v>
      </c>
      <c r="B219" s="120" t="e">
        <v>#NAME?</v>
      </c>
      <c r="C219" s="240"/>
    </row>
    <row r="220" customFormat="false" ht="15.75" hidden="false" customHeight="false" outlineLevel="0" collapsed="false">
      <c r="A220" s="120" t="e">
        <v>#NAME?</v>
      </c>
      <c r="B220" s="120" t="e">
        <v>#NAME?</v>
      </c>
      <c r="C220" s="240"/>
    </row>
    <row r="221" customFormat="false" ht="15.75" hidden="false" customHeight="false" outlineLevel="0" collapsed="false">
      <c r="A221" s="120" t="e">
        <v>#NAME?</v>
      </c>
      <c r="B221" s="120" t="e">
        <v>#NAME?</v>
      </c>
      <c r="C221" s="240"/>
    </row>
    <row r="222" customFormat="false" ht="15.75" hidden="false" customHeight="false" outlineLevel="0" collapsed="false">
      <c r="A222" s="120" t="e">
        <v>#NAME?</v>
      </c>
      <c r="B222" s="120" t="e">
        <v>#NAME?</v>
      </c>
      <c r="C222" s="240"/>
    </row>
    <row r="223" customFormat="false" ht="15.75" hidden="false" customHeight="false" outlineLevel="0" collapsed="false">
      <c r="A223" s="120" t="e">
        <v>#NAME?</v>
      </c>
      <c r="B223" s="120" t="e">
        <v>#NAME?</v>
      </c>
      <c r="C223" s="240"/>
    </row>
    <row r="224" customFormat="false" ht="15.75" hidden="false" customHeight="false" outlineLevel="0" collapsed="false">
      <c r="A224" s="120" t="e">
        <v>#NAME?</v>
      </c>
      <c r="B224" s="120" t="e">
        <v>#NAME?</v>
      </c>
      <c r="C224" s="240"/>
    </row>
    <row r="225" customFormat="false" ht="15.75" hidden="false" customHeight="false" outlineLevel="0" collapsed="false">
      <c r="A225" s="120" t="e">
        <v>#NAME?</v>
      </c>
      <c r="B225" s="120" t="e">
        <v>#NAME?</v>
      </c>
      <c r="C225" s="240"/>
    </row>
    <row r="226" customFormat="false" ht="15.75" hidden="false" customHeight="false" outlineLevel="0" collapsed="false">
      <c r="A226" s="120" t="e">
        <v>#NAME?</v>
      </c>
      <c r="B226" s="120" t="e">
        <v>#NAME?</v>
      </c>
      <c r="C226" s="240"/>
    </row>
    <row r="227" customFormat="false" ht="15.75" hidden="false" customHeight="false" outlineLevel="0" collapsed="false">
      <c r="A227" s="120" t="e">
        <v>#NAME?</v>
      </c>
      <c r="B227" s="120" t="e">
        <v>#NAME?</v>
      </c>
      <c r="C227" s="240"/>
    </row>
    <row r="228" customFormat="false" ht="15.75" hidden="false" customHeight="false" outlineLevel="0" collapsed="false">
      <c r="A228" s="120" t="e">
        <v>#NAME?</v>
      </c>
      <c r="B228" s="120" t="e">
        <v>#NAME?</v>
      </c>
      <c r="C228" s="240"/>
    </row>
    <row r="229" customFormat="false" ht="15.75" hidden="false" customHeight="false" outlineLevel="0" collapsed="false">
      <c r="A229" s="120" t="e">
        <v>#NAME?</v>
      </c>
      <c r="B229" s="120" t="e">
        <v>#NAME?</v>
      </c>
      <c r="C229" s="240"/>
    </row>
    <row r="230" customFormat="false" ht="15.75" hidden="false" customHeight="false" outlineLevel="0" collapsed="false">
      <c r="A230" s="120" t="e">
        <v>#NAME?</v>
      </c>
      <c r="B230" s="120" t="e">
        <v>#NAME?</v>
      </c>
      <c r="C230" s="240"/>
    </row>
    <row r="231" customFormat="false" ht="15.75" hidden="false" customHeight="false" outlineLevel="0" collapsed="false">
      <c r="A231" s="120" t="e">
        <v>#NAME?</v>
      </c>
      <c r="B231" s="120" t="e">
        <v>#NAME?</v>
      </c>
      <c r="C231" s="240"/>
    </row>
    <row r="232" customFormat="false" ht="15.75" hidden="false" customHeight="false" outlineLevel="0" collapsed="false">
      <c r="A232" s="120" t="e">
        <v>#NAME?</v>
      </c>
      <c r="B232" s="120" t="e">
        <v>#NAME?</v>
      </c>
      <c r="C232" s="240"/>
    </row>
    <row r="233" customFormat="false" ht="15.75" hidden="false" customHeight="false" outlineLevel="0" collapsed="false">
      <c r="A233" s="120" t="e">
        <v>#NAME?</v>
      </c>
      <c r="B233" s="120" t="e">
        <v>#NAME?</v>
      </c>
      <c r="C233" s="240"/>
    </row>
    <row r="234" customFormat="false" ht="15.75" hidden="false" customHeight="false" outlineLevel="0" collapsed="false">
      <c r="A234" s="120" t="e">
        <v>#NAME?</v>
      </c>
      <c r="B234" s="120" t="e">
        <v>#NAME?</v>
      </c>
      <c r="C234" s="240"/>
    </row>
    <row r="235" customFormat="false" ht="15.75" hidden="false" customHeight="false" outlineLevel="0" collapsed="false">
      <c r="A235" s="120" t="e">
        <v>#NAME?</v>
      </c>
      <c r="B235" s="120" t="e">
        <v>#NAME?</v>
      </c>
      <c r="C235" s="240"/>
    </row>
    <row r="236" customFormat="false" ht="15.75" hidden="false" customHeight="false" outlineLevel="0" collapsed="false">
      <c r="A236" s="120" t="e">
        <v>#NAME?</v>
      </c>
      <c r="B236" s="120" t="e">
        <v>#NAME?</v>
      </c>
      <c r="C236" s="240"/>
    </row>
    <row r="237" customFormat="false" ht="15.75" hidden="false" customHeight="false" outlineLevel="0" collapsed="false">
      <c r="A237" s="120" t="e">
        <v>#NAME?</v>
      </c>
      <c r="B237" s="120" t="e">
        <v>#NAME?</v>
      </c>
      <c r="C237" s="240"/>
    </row>
    <row r="238" customFormat="false" ht="15.75" hidden="false" customHeight="false" outlineLevel="0" collapsed="false">
      <c r="A238" s="120" t="e">
        <v>#NAME?</v>
      </c>
      <c r="B238" s="120" t="e">
        <v>#NAME?</v>
      </c>
      <c r="C238" s="240"/>
    </row>
    <row r="239" customFormat="false" ht="15.75" hidden="false" customHeight="false" outlineLevel="0" collapsed="false">
      <c r="A239" s="120" t="e">
        <v>#NAME?</v>
      </c>
      <c r="B239" s="120" t="e">
        <v>#NAME?</v>
      </c>
      <c r="C239" s="240"/>
    </row>
    <row r="240" customFormat="false" ht="15.75" hidden="false" customHeight="false" outlineLevel="0" collapsed="false">
      <c r="A240" s="120" t="e">
        <v>#NAME?</v>
      </c>
      <c r="B240" s="120" t="e">
        <v>#NAME?</v>
      </c>
      <c r="C240" s="240"/>
    </row>
    <row r="241" customFormat="false" ht="15.75" hidden="false" customHeight="false" outlineLevel="0" collapsed="false">
      <c r="A241" s="120" t="e">
        <v>#NAME?</v>
      </c>
      <c r="B241" s="120" t="e">
        <v>#NAME?</v>
      </c>
      <c r="C241" s="240"/>
    </row>
    <row r="242" customFormat="false" ht="15.75" hidden="false" customHeight="false" outlineLevel="0" collapsed="false">
      <c r="A242" s="120" t="e">
        <v>#NAME?</v>
      </c>
      <c r="B242" s="120" t="e">
        <v>#NAME?</v>
      </c>
      <c r="C242" s="240"/>
    </row>
    <row r="243" customFormat="false" ht="15.75" hidden="false" customHeight="false" outlineLevel="0" collapsed="false">
      <c r="A243" s="120" t="e">
        <v>#NAME?</v>
      </c>
      <c r="B243" s="120" t="e">
        <v>#NAME?</v>
      </c>
      <c r="C243" s="240"/>
    </row>
    <row r="244" customFormat="false" ht="15.75" hidden="false" customHeight="false" outlineLevel="0" collapsed="false">
      <c r="A244" s="120" t="e">
        <v>#NAME?</v>
      </c>
      <c r="B244" s="120" t="e">
        <v>#NAME?</v>
      </c>
      <c r="C244" s="240"/>
    </row>
    <row r="245" customFormat="false" ht="15.75" hidden="false" customHeight="false" outlineLevel="0" collapsed="false">
      <c r="A245" s="120" t="e">
        <v>#NAME?</v>
      </c>
      <c r="B245" s="120" t="e">
        <v>#NAME?</v>
      </c>
      <c r="C245" s="240"/>
    </row>
    <row r="246" customFormat="false" ht="15.75" hidden="false" customHeight="false" outlineLevel="0" collapsed="false">
      <c r="A246" s="120" t="e">
        <v>#NAME?</v>
      </c>
      <c r="B246" s="120" t="e">
        <v>#NAME?</v>
      </c>
      <c r="C246" s="240"/>
    </row>
    <row r="247" customFormat="false" ht="15.75" hidden="false" customHeight="false" outlineLevel="0" collapsed="false">
      <c r="A247" s="120" t="e">
        <v>#NAME?</v>
      </c>
      <c r="B247" s="120" t="e">
        <v>#NAME?</v>
      </c>
      <c r="C247" s="240"/>
    </row>
    <row r="248" customFormat="false" ht="15.75" hidden="false" customHeight="false" outlineLevel="0" collapsed="false">
      <c r="A248" s="120" t="e">
        <v>#NAME?</v>
      </c>
      <c r="B248" s="120" t="e">
        <v>#NAME?</v>
      </c>
      <c r="C248" s="240"/>
    </row>
    <row r="249" customFormat="false" ht="15.75" hidden="false" customHeight="false" outlineLevel="0" collapsed="false">
      <c r="A249" s="120" t="e">
        <v>#NAME?</v>
      </c>
      <c r="B249" s="120" t="e">
        <v>#NAME?</v>
      </c>
      <c r="C249" s="240"/>
    </row>
    <row r="250" customFormat="false" ht="15.75" hidden="false" customHeight="false" outlineLevel="0" collapsed="false">
      <c r="A250" s="120" t="e">
        <v>#NAME?</v>
      </c>
      <c r="B250" s="120" t="e">
        <v>#NAME?</v>
      </c>
      <c r="C250" s="240"/>
    </row>
    <row r="251" customFormat="false" ht="15.75" hidden="false" customHeight="false" outlineLevel="0" collapsed="false">
      <c r="A251" s="120" t="e">
        <v>#NAME?</v>
      </c>
      <c r="B251" s="120" t="e">
        <v>#NAME?</v>
      </c>
      <c r="C251" s="240"/>
    </row>
    <row r="252" customFormat="false" ht="15.75" hidden="false" customHeight="false" outlineLevel="0" collapsed="false">
      <c r="A252" s="120" t="e">
        <v>#NAME?</v>
      </c>
      <c r="B252" s="120" t="e">
        <v>#NAME?</v>
      </c>
      <c r="C252" s="240"/>
    </row>
    <row r="253" customFormat="false" ht="15.75" hidden="false" customHeight="false" outlineLevel="0" collapsed="false">
      <c r="A253" s="120" t="e">
        <v>#NAME?</v>
      </c>
      <c r="B253" s="120" t="e">
        <v>#NAME?</v>
      </c>
      <c r="C253" s="240"/>
    </row>
    <row r="254" customFormat="false" ht="15.75" hidden="false" customHeight="false" outlineLevel="0" collapsed="false">
      <c r="A254" s="120" t="e">
        <v>#NAME?</v>
      </c>
      <c r="B254" s="120" t="e">
        <v>#NAME?</v>
      </c>
      <c r="C254" s="240"/>
    </row>
    <row r="255" customFormat="false" ht="15.75" hidden="false" customHeight="false" outlineLevel="0" collapsed="false">
      <c r="A255" s="120" t="e">
        <v>#NAME?</v>
      </c>
      <c r="B255" s="120" t="e">
        <v>#NAME?</v>
      </c>
      <c r="C255" s="240"/>
    </row>
    <row r="256" customFormat="false" ht="15.75" hidden="false" customHeight="false" outlineLevel="0" collapsed="false">
      <c r="A256" s="120" t="e">
        <v>#NAME?</v>
      </c>
      <c r="B256" s="120" t="e">
        <v>#NAME?</v>
      </c>
      <c r="C256" s="240"/>
    </row>
    <row r="257" customFormat="false" ht="15.75" hidden="false" customHeight="false" outlineLevel="0" collapsed="false">
      <c r="A257" s="120" t="e">
        <v>#NAME?</v>
      </c>
      <c r="B257" s="120" t="e">
        <v>#NAME?</v>
      </c>
      <c r="C257" s="240"/>
    </row>
    <row r="258" customFormat="false" ht="15.75" hidden="false" customHeight="false" outlineLevel="0" collapsed="false">
      <c r="A258" s="120" t="e">
        <v>#NAME?</v>
      </c>
      <c r="B258" s="120" t="e">
        <v>#NAME?</v>
      </c>
      <c r="C258" s="240"/>
    </row>
    <row r="259" customFormat="false" ht="15.75" hidden="false" customHeight="false" outlineLevel="0" collapsed="false">
      <c r="A259" s="120" t="e">
        <v>#NAME?</v>
      </c>
      <c r="B259" s="120" t="e">
        <v>#NAME?</v>
      </c>
      <c r="C259" s="240"/>
    </row>
    <row r="260" customFormat="false" ht="15.75" hidden="false" customHeight="false" outlineLevel="0" collapsed="false">
      <c r="A260" s="120" t="e">
        <v>#NAME?</v>
      </c>
      <c r="B260" s="120" t="e">
        <v>#NAME?</v>
      </c>
      <c r="C260" s="240"/>
    </row>
    <row r="261" customFormat="false" ht="15.75" hidden="false" customHeight="false" outlineLevel="0" collapsed="false">
      <c r="A261" s="120" t="e">
        <v>#NAME?</v>
      </c>
      <c r="B261" s="120" t="e">
        <v>#NAME?</v>
      </c>
      <c r="C261" s="240"/>
    </row>
    <row r="262" customFormat="false" ht="15.75" hidden="false" customHeight="false" outlineLevel="0" collapsed="false">
      <c r="A262" s="120" t="e">
        <v>#NAME?</v>
      </c>
      <c r="B262" s="120" t="e">
        <v>#NAME?</v>
      </c>
      <c r="C262" s="240"/>
    </row>
    <row r="263" customFormat="false" ht="15.75" hidden="false" customHeight="false" outlineLevel="0" collapsed="false">
      <c r="A263" s="120" t="e">
        <v>#NAME?</v>
      </c>
      <c r="B263" s="120" t="e">
        <v>#NAME?</v>
      </c>
      <c r="C263" s="240"/>
    </row>
    <row r="264" customFormat="false" ht="15.75" hidden="false" customHeight="false" outlineLevel="0" collapsed="false">
      <c r="A264" s="120" t="e">
        <v>#NAME?</v>
      </c>
      <c r="B264" s="120" t="e">
        <v>#NAME?</v>
      </c>
      <c r="C264" s="240"/>
    </row>
    <row r="265" customFormat="false" ht="15.75" hidden="false" customHeight="false" outlineLevel="0" collapsed="false">
      <c r="A265" s="120" t="e">
        <v>#NAME?</v>
      </c>
      <c r="B265" s="120" t="e">
        <v>#NAME?</v>
      </c>
      <c r="C265" s="240"/>
    </row>
    <row r="266" customFormat="false" ht="15.75" hidden="false" customHeight="false" outlineLevel="0" collapsed="false">
      <c r="A266" s="120" t="e">
        <v>#NAME?</v>
      </c>
      <c r="B266" s="120" t="e">
        <v>#NAME?</v>
      </c>
      <c r="C266" s="240"/>
    </row>
    <row r="267" customFormat="false" ht="15.75" hidden="false" customHeight="false" outlineLevel="0" collapsed="false">
      <c r="A267" s="120" t="e">
        <v>#NAME?</v>
      </c>
      <c r="B267" s="120" t="e">
        <v>#NAME?</v>
      </c>
      <c r="C267" s="240"/>
    </row>
    <row r="268" customFormat="false" ht="15.75" hidden="false" customHeight="false" outlineLevel="0" collapsed="false">
      <c r="A268" s="120" t="e">
        <v>#NAME?</v>
      </c>
      <c r="B268" s="120" t="e">
        <v>#NAME?</v>
      </c>
      <c r="C268" s="240"/>
    </row>
    <row r="269" customFormat="false" ht="15.75" hidden="false" customHeight="false" outlineLevel="0" collapsed="false">
      <c r="A269" s="120" t="e">
        <v>#NAME?</v>
      </c>
      <c r="B269" s="120" t="e">
        <v>#NAME?</v>
      </c>
      <c r="C269" s="240"/>
    </row>
    <row r="270" customFormat="false" ht="15.75" hidden="false" customHeight="false" outlineLevel="0" collapsed="false">
      <c r="A270" s="120" t="e">
        <v>#NAME?</v>
      </c>
      <c r="B270" s="120" t="e">
        <v>#NAME?</v>
      </c>
      <c r="C270" s="240"/>
    </row>
    <row r="271" customFormat="false" ht="15.75" hidden="false" customHeight="false" outlineLevel="0" collapsed="false">
      <c r="A271" s="120" t="e">
        <v>#NAME?</v>
      </c>
      <c r="B271" s="120" t="e">
        <v>#NAME?</v>
      </c>
      <c r="C271" s="240"/>
    </row>
    <row r="272" customFormat="false" ht="15.75" hidden="false" customHeight="false" outlineLevel="0" collapsed="false">
      <c r="A272" s="120" t="e">
        <v>#NAME?</v>
      </c>
      <c r="B272" s="120" t="e">
        <v>#NAME?</v>
      </c>
      <c r="C272" s="240"/>
    </row>
    <row r="273" customFormat="false" ht="15.75" hidden="false" customHeight="false" outlineLevel="0" collapsed="false">
      <c r="A273" s="120" t="e">
        <v>#NAME?</v>
      </c>
      <c r="B273" s="120" t="e">
        <v>#NAME?</v>
      </c>
      <c r="C273" s="240"/>
    </row>
    <row r="274" customFormat="false" ht="15.75" hidden="false" customHeight="false" outlineLevel="0" collapsed="false">
      <c r="A274" s="120" t="e">
        <v>#NAME?</v>
      </c>
      <c r="B274" s="120" t="e">
        <v>#NAME?</v>
      </c>
      <c r="C274" s="240"/>
    </row>
    <row r="275" customFormat="false" ht="15.75" hidden="false" customHeight="false" outlineLevel="0" collapsed="false">
      <c r="A275" s="120" t="e">
        <v>#NAME?</v>
      </c>
      <c r="B275" s="120" t="e">
        <v>#NAME?</v>
      </c>
      <c r="C275" s="240"/>
    </row>
    <row r="276" customFormat="false" ht="15.75" hidden="false" customHeight="false" outlineLevel="0" collapsed="false">
      <c r="A276" s="120" t="e">
        <v>#NAME?</v>
      </c>
      <c r="B276" s="120" t="e">
        <v>#NAME?</v>
      </c>
      <c r="C276" s="240"/>
    </row>
    <row r="277" customFormat="false" ht="15.75" hidden="false" customHeight="false" outlineLevel="0" collapsed="false">
      <c r="A277" s="120" t="e">
        <v>#NAME?</v>
      </c>
      <c r="B277" s="120" t="e">
        <v>#NAME?</v>
      </c>
      <c r="C277" s="240"/>
    </row>
    <row r="278" customFormat="false" ht="15.75" hidden="false" customHeight="false" outlineLevel="0" collapsed="false">
      <c r="A278" s="120" t="e">
        <v>#NAME?</v>
      </c>
      <c r="B278" s="120" t="e">
        <v>#NAME?</v>
      </c>
      <c r="C278" s="240"/>
    </row>
    <row r="279" customFormat="false" ht="15.75" hidden="false" customHeight="false" outlineLevel="0" collapsed="false">
      <c r="A279" s="120" t="e">
        <v>#NAME?</v>
      </c>
      <c r="B279" s="120" t="e">
        <v>#NAME?</v>
      </c>
      <c r="C279" s="240"/>
    </row>
    <row r="280" customFormat="false" ht="15.75" hidden="false" customHeight="false" outlineLevel="0" collapsed="false">
      <c r="A280" s="120" t="e">
        <v>#NAME?</v>
      </c>
      <c r="B280" s="120" t="e">
        <v>#NAME?</v>
      </c>
      <c r="C280" s="240"/>
    </row>
    <row r="281" customFormat="false" ht="15.75" hidden="false" customHeight="false" outlineLevel="0" collapsed="false">
      <c r="A281" s="120" t="e">
        <v>#NAME?</v>
      </c>
      <c r="B281" s="120" t="e">
        <v>#NAME?</v>
      </c>
      <c r="C281" s="240"/>
    </row>
    <row r="282" customFormat="false" ht="15.75" hidden="false" customHeight="false" outlineLevel="0" collapsed="false">
      <c r="A282" s="120" t="e">
        <v>#NAME?</v>
      </c>
      <c r="B282" s="120" t="e">
        <v>#NAME?</v>
      </c>
      <c r="C282" s="240"/>
    </row>
    <row r="283" customFormat="false" ht="15.75" hidden="false" customHeight="false" outlineLevel="0" collapsed="false">
      <c r="A283" s="120" t="e">
        <v>#NAME?</v>
      </c>
      <c r="B283" s="120" t="e">
        <v>#NAME?</v>
      </c>
      <c r="C283" s="240"/>
    </row>
    <row r="284" customFormat="false" ht="15.75" hidden="false" customHeight="false" outlineLevel="0" collapsed="false">
      <c r="A284" s="120" t="e">
        <v>#NAME?</v>
      </c>
      <c r="B284" s="120" t="e">
        <v>#NAME?</v>
      </c>
      <c r="C284" s="240"/>
    </row>
    <row r="285" customFormat="false" ht="15.75" hidden="false" customHeight="false" outlineLevel="0" collapsed="false">
      <c r="A285" s="120" t="e">
        <v>#NAME?</v>
      </c>
      <c r="B285" s="120" t="e">
        <v>#NAME?</v>
      </c>
      <c r="C285" s="240"/>
    </row>
    <row r="286" customFormat="false" ht="15.75" hidden="false" customHeight="false" outlineLevel="0" collapsed="false">
      <c r="A286" s="120" t="e">
        <v>#NAME?</v>
      </c>
      <c r="B286" s="120" t="e">
        <v>#NAME?</v>
      </c>
      <c r="C286" s="240"/>
    </row>
    <row r="287" customFormat="false" ht="15.75" hidden="false" customHeight="false" outlineLevel="0" collapsed="false">
      <c r="A287" s="120" t="e">
        <v>#NAME?</v>
      </c>
      <c r="B287" s="120" t="e">
        <v>#NAME?</v>
      </c>
      <c r="C287" s="240"/>
    </row>
    <row r="288" customFormat="false" ht="15.75" hidden="false" customHeight="false" outlineLevel="0" collapsed="false">
      <c r="A288" s="120" t="e">
        <v>#NAME?</v>
      </c>
      <c r="B288" s="120" t="e">
        <v>#NAME?</v>
      </c>
      <c r="C288" s="240"/>
    </row>
    <row r="289" customFormat="false" ht="15.75" hidden="false" customHeight="false" outlineLevel="0" collapsed="false">
      <c r="A289" s="120" t="e">
        <v>#NAME?</v>
      </c>
      <c r="B289" s="120" t="e">
        <v>#NAME?</v>
      </c>
      <c r="C289" s="240"/>
    </row>
    <row r="290" customFormat="false" ht="15.75" hidden="false" customHeight="false" outlineLevel="0" collapsed="false">
      <c r="A290" s="120" t="e">
        <v>#NAME?</v>
      </c>
      <c r="B290" s="120" t="e">
        <v>#NAME?</v>
      </c>
      <c r="C290" s="240"/>
    </row>
    <row r="291" customFormat="false" ht="15.75" hidden="false" customHeight="false" outlineLevel="0" collapsed="false">
      <c r="A291" s="120" t="e">
        <v>#NAME?</v>
      </c>
      <c r="B291" s="120" t="e">
        <v>#NAME?</v>
      </c>
      <c r="C291" s="240"/>
    </row>
    <row r="292" customFormat="false" ht="15.75" hidden="false" customHeight="false" outlineLevel="0" collapsed="false">
      <c r="A292" s="120" t="e">
        <v>#NAME?</v>
      </c>
      <c r="B292" s="120" t="e">
        <v>#NAME?</v>
      </c>
      <c r="C292" s="240"/>
    </row>
    <row r="293" customFormat="false" ht="15.75" hidden="false" customHeight="false" outlineLevel="0" collapsed="false">
      <c r="A293" s="120" t="e">
        <v>#NAME?</v>
      </c>
      <c r="B293" s="120" t="e">
        <v>#NAME?</v>
      </c>
      <c r="C293" s="240"/>
    </row>
    <row r="294" customFormat="false" ht="15.75" hidden="false" customHeight="false" outlineLevel="0" collapsed="false">
      <c r="A294" s="120" t="e">
        <v>#NAME?</v>
      </c>
      <c r="B294" s="120" t="e">
        <v>#NAME?</v>
      </c>
      <c r="C294" s="240"/>
    </row>
    <row r="295" customFormat="false" ht="15.75" hidden="false" customHeight="false" outlineLevel="0" collapsed="false">
      <c r="A295" s="120" t="e">
        <v>#NAME?</v>
      </c>
      <c r="B295" s="120" t="e">
        <v>#NAME?</v>
      </c>
      <c r="C295" s="240"/>
    </row>
    <row r="296" customFormat="false" ht="15.75" hidden="false" customHeight="false" outlineLevel="0" collapsed="false">
      <c r="A296" s="120" t="e">
        <v>#NAME?</v>
      </c>
      <c r="B296" s="120" t="e">
        <v>#NAME?</v>
      </c>
      <c r="C296" s="240"/>
    </row>
    <row r="297" customFormat="false" ht="15.75" hidden="false" customHeight="false" outlineLevel="0" collapsed="false">
      <c r="A297" s="120" t="e">
        <v>#NAME?</v>
      </c>
      <c r="B297" s="120" t="e">
        <v>#NAME?</v>
      </c>
      <c r="C297" s="240"/>
    </row>
    <row r="298" customFormat="false" ht="15.75" hidden="false" customHeight="false" outlineLevel="0" collapsed="false">
      <c r="A298" s="120" t="e">
        <v>#NAME?</v>
      </c>
      <c r="B298" s="120" t="e">
        <v>#NAME?</v>
      </c>
      <c r="C298" s="240"/>
    </row>
    <row r="299" customFormat="false" ht="15.75" hidden="false" customHeight="false" outlineLevel="0" collapsed="false">
      <c r="A299" s="120" t="e">
        <v>#NAME?</v>
      </c>
      <c r="B299" s="120" t="e">
        <v>#NAME?</v>
      </c>
      <c r="C299" s="240"/>
    </row>
    <row r="300" customFormat="false" ht="15.75" hidden="false" customHeight="false" outlineLevel="0" collapsed="false">
      <c r="A300" s="120" t="e">
        <v>#NAME?</v>
      </c>
      <c r="B300" s="120" t="e">
        <v>#NAME?</v>
      </c>
      <c r="C300" s="240"/>
    </row>
    <row r="301" customFormat="false" ht="15.75" hidden="false" customHeight="false" outlineLevel="0" collapsed="false">
      <c r="A301" s="120" t="e">
        <v>#NAME?</v>
      </c>
      <c r="B301" s="120" t="e">
        <v>#NAME?</v>
      </c>
      <c r="C301" s="240"/>
    </row>
    <row r="302" customFormat="false" ht="15.75" hidden="false" customHeight="false" outlineLevel="0" collapsed="false">
      <c r="A302" s="120" t="e">
        <v>#NAME?</v>
      </c>
      <c r="B302" s="120" t="e">
        <v>#NAME?</v>
      </c>
      <c r="C302" s="240"/>
    </row>
    <row r="303" customFormat="false" ht="15.75" hidden="false" customHeight="false" outlineLevel="0" collapsed="false">
      <c r="A303" s="120" t="e">
        <v>#NAME?</v>
      </c>
      <c r="B303" s="120" t="e">
        <v>#NAME?</v>
      </c>
      <c r="C303" s="240"/>
    </row>
    <row r="304" customFormat="false" ht="15.75" hidden="false" customHeight="false" outlineLevel="0" collapsed="false">
      <c r="A304" s="120" t="e">
        <v>#NAME?</v>
      </c>
      <c r="B304" s="120" t="e">
        <v>#NAME?</v>
      </c>
      <c r="C304" s="240"/>
    </row>
    <row r="305" customFormat="false" ht="15.75" hidden="false" customHeight="false" outlineLevel="0" collapsed="false">
      <c r="A305" s="120" t="e">
        <v>#NAME?</v>
      </c>
      <c r="B305" s="120" t="e">
        <v>#NAME?</v>
      </c>
      <c r="C305" s="240"/>
    </row>
    <row r="306" customFormat="false" ht="15.75" hidden="false" customHeight="false" outlineLevel="0" collapsed="false">
      <c r="A306" s="120" t="e">
        <v>#NAME?</v>
      </c>
      <c r="B306" s="120" t="e">
        <v>#NAME?</v>
      </c>
      <c r="C306" s="240"/>
    </row>
    <row r="307" customFormat="false" ht="15.75" hidden="false" customHeight="false" outlineLevel="0" collapsed="false">
      <c r="A307" s="120" t="e">
        <v>#NAME?</v>
      </c>
      <c r="B307" s="120" t="e">
        <v>#NAME?</v>
      </c>
      <c r="C307" s="240"/>
    </row>
    <row r="308" customFormat="false" ht="15.75" hidden="false" customHeight="false" outlineLevel="0" collapsed="false">
      <c r="A308" s="120" t="e">
        <v>#NAME?</v>
      </c>
      <c r="B308" s="120" t="e">
        <v>#NAME?</v>
      </c>
      <c r="C308" s="240"/>
    </row>
    <row r="309" customFormat="false" ht="15.75" hidden="false" customHeight="false" outlineLevel="0" collapsed="false">
      <c r="A309" s="120" t="e">
        <v>#NAME?</v>
      </c>
      <c r="B309" s="120" t="e">
        <v>#NAME?</v>
      </c>
      <c r="C309" s="240"/>
    </row>
    <row r="310" customFormat="false" ht="15.75" hidden="false" customHeight="false" outlineLevel="0" collapsed="false">
      <c r="A310" s="120" t="e">
        <v>#NAME?</v>
      </c>
      <c r="B310" s="120" t="e">
        <v>#NAME?</v>
      </c>
      <c r="C310" s="240"/>
    </row>
    <row r="311" customFormat="false" ht="15.75" hidden="false" customHeight="false" outlineLevel="0" collapsed="false">
      <c r="A311" s="120" t="e">
        <v>#NAME?</v>
      </c>
      <c r="B311" s="120" t="e">
        <v>#NAME?</v>
      </c>
      <c r="C311" s="240"/>
    </row>
    <row r="312" customFormat="false" ht="15.75" hidden="false" customHeight="false" outlineLevel="0" collapsed="false">
      <c r="A312" s="120" t="e">
        <v>#NAME?</v>
      </c>
      <c r="B312" s="120" t="e">
        <v>#NAME?</v>
      </c>
      <c r="C312" s="240"/>
    </row>
    <row r="313" customFormat="false" ht="15.75" hidden="false" customHeight="false" outlineLevel="0" collapsed="false">
      <c r="A313" s="120" t="e">
        <v>#NAME?</v>
      </c>
      <c r="B313" s="120" t="e">
        <v>#NAME?</v>
      </c>
      <c r="C313" s="240"/>
    </row>
    <row r="314" customFormat="false" ht="15.75" hidden="false" customHeight="false" outlineLevel="0" collapsed="false">
      <c r="A314" s="120" t="e">
        <v>#NAME?</v>
      </c>
      <c r="B314" s="120" t="e">
        <v>#NAME?</v>
      </c>
      <c r="C314" s="240"/>
    </row>
    <row r="315" customFormat="false" ht="15.75" hidden="false" customHeight="false" outlineLevel="0" collapsed="false">
      <c r="A315" s="120" t="e">
        <v>#NAME?</v>
      </c>
      <c r="B315" s="120" t="e">
        <v>#NAME?</v>
      </c>
      <c r="C315" s="240"/>
    </row>
    <row r="316" customFormat="false" ht="15.75" hidden="false" customHeight="false" outlineLevel="0" collapsed="false">
      <c r="A316" s="120" t="e">
        <v>#NAME?</v>
      </c>
      <c r="B316" s="120" t="e">
        <v>#NAME?</v>
      </c>
      <c r="C316" s="240"/>
    </row>
    <row r="317" customFormat="false" ht="15.75" hidden="false" customHeight="false" outlineLevel="0" collapsed="false">
      <c r="A317" s="120" t="e">
        <v>#NAME?</v>
      </c>
      <c r="B317" s="120" t="e">
        <v>#NAME?</v>
      </c>
      <c r="C317" s="240"/>
    </row>
    <row r="318" customFormat="false" ht="15.75" hidden="false" customHeight="false" outlineLevel="0" collapsed="false">
      <c r="A318" s="120" t="e">
        <v>#NAME?</v>
      </c>
      <c r="B318" s="120" t="e">
        <v>#NAME?</v>
      </c>
      <c r="C318" s="240"/>
    </row>
    <row r="319" customFormat="false" ht="15.75" hidden="false" customHeight="false" outlineLevel="0" collapsed="false">
      <c r="A319" s="120" t="e">
        <v>#NAME?</v>
      </c>
      <c r="B319" s="120" t="e">
        <v>#NAME?</v>
      </c>
      <c r="C319" s="240"/>
    </row>
    <row r="320" customFormat="false" ht="15.75" hidden="false" customHeight="false" outlineLevel="0" collapsed="false">
      <c r="A320" s="120" t="e">
        <v>#NAME?</v>
      </c>
      <c r="B320" s="120" t="e">
        <v>#NAME?</v>
      </c>
      <c r="C320" s="240"/>
    </row>
    <row r="321" customFormat="false" ht="15.75" hidden="false" customHeight="false" outlineLevel="0" collapsed="false">
      <c r="A321" s="120" t="e">
        <v>#NAME?</v>
      </c>
      <c r="B321" s="120" t="e">
        <v>#NAME?</v>
      </c>
      <c r="C321" s="240"/>
    </row>
    <row r="322" customFormat="false" ht="15.75" hidden="false" customHeight="false" outlineLevel="0" collapsed="false">
      <c r="A322" s="120" t="e">
        <v>#NAME?</v>
      </c>
      <c r="B322" s="120" t="e">
        <v>#NAME?</v>
      </c>
      <c r="C322" s="240"/>
    </row>
    <row r="323" customFormat="false" ht="15.75" hidden="false" customHeight="false" outlineLevel="0" collapsed="false">
      <c r="A323" s="120" t="e">
        <v>#NAME?</v>
      </c>
      <c r="B323" s="120" t="e">
        <v>#NAME?</v>
      </c>
      <c r="C323" s="240"/>
    </row>
    <row r="324" customFormat="false" ht="15.75" hidden="false" customHeight="false" outlineLevel="0" collapsed="false">
      <c r="A324" s="120" t="e">
        <v>#NAME?</v>
      </c>
      <c r="B324" s="120" t="e">
        <v>#NAME?</v>
      </c>
      <c r="C324" s="240"/>
    </row>
    <row r="325" customFormat="false" ht="15.75" hidden="false" customHeight="false" outlineLevel="0" collapsed="false">
      <c r="A325" s="120" t="e">
        <v>#NAME?</v>
      </c>
      <c r="B325" s="120" t="e">
        <v>#NAME?</v>
      </c>
      <c r="C325" s="240"/>
    </row>
    <row r="326" customFormat="false" ht="15.75" hidden="false" customHeight="false" outlineLevel="0" collapsed="false">
      <c r="A326" s="120" t="e">
        <v>#NAME?</v>
      </c>
      <c r="B326" s="120" t="e">
        <v>#NAME?</v>
      </c>
      <c r="C326" s="240"/>
    </row>
    <row r="327" customFormat="false" ht="15.75" hidden="false" customHeight="false" outlineLevel="0" collapsed="false">
      <c r="A327" s="120" t="e">
        <v>#NAME?</v>
      </c>
      <c r="B327" s="120" t="e">
        <v>#NAME?</v>
      </c>
      <c r="C327" s="240"/>
    </row>
    <row r="328" customFormat="false" ht="15.75" hidden="false" customHeight="false" outlineLevel="0" collapsed="false">
      <c r="A328" s="120" t="e">
        <v>#NAME?</v>
      </c>
      <c r="B328" s="120" t="e">
        <v>#NAME?</v>
      </c>
      <c r="C328" s="240"/>
    </row>
    <row r="329" customFormat="false" ht="15.75" hidden="false" customHeight="false" outlineLevel="0" collapsed="false">
      <c r="A329" s="120" t="e">
        <v>#NAME?</v>
      </c>
      <c r="B329" s="120" t="e">
        <v>#NAME?</v>
      </c>
      <c r="C329" s="240"/>
    </row>
    <row r="330" customFormat="false" ht="15.75" hidden="false" customHeight="false" outlineLevel="0" collapsed="false">
      <c r="A330" s="120" t="e">
        <v>#NAME?</v>
      </c>
      <c r="B330" s="120" t="e">
        <v>#NAME?</v>
      </c>
      <c r="C330" s="240"/>
    </row>
    <row r="331" customFormat="false" ht="15.75" hidden="false" customHeight="false" outlineLevel="0" collapsed="false">
      <c r="A331" s="120" t="e">
        <v>#NAME?</v>
      </c>
      <c r="B331" s="120" t="e">
        <v>#NAME?</v>
      </c>
      <c r="C331" s="240"/>
    </row>
    <row r="332" customFormat="false" ht="15.75" hidden="false" customHeight="false" outlineLevel="0" collapsed="false">
      <c r="A332" s="120" t="e">
        <v>#NAME?</v>
      </c>
      <c r="B332" s="120" t="e">
        <v>#NAME?</v>
      </c>
      <c r="C332" s="240"/>
    </row>
    <row r="333" customFormat="false" ht="15.75" hidden="false" customHeight="false" outlineLevel="0" collapsed="false">
      <c r="A333" s="120" t="e">
        <v>#NAME?</v>
      </c>
      <c r="B333" s="120" t="e">
        <v>#NAME?</v>
      </c>
      <c r="C333" s="240"/>
    </row>
    <row r="334" customFormat="false" ht="15.75" hidden="false" customHeight="false" outlineLevel="0" collapsed="false">
      <c r="A334" s="120" t="e">
        <v>#NAME?</v>
      </c>
      <c r="B334" s="120" t="e">
        <v>#NAME?</v>
      </c>
      <c r="C334" s="240"/>
    </row>
    <row r="335" customFormat="false" ht="15.75" hidden="false" customHeight="false" outlineLevel="0" collapsed="false">
      <c r="A335" s="120" t="e">
        <v>#NAME?</v>
      </c>
      <c r="B335" s="120" t="e">
        <v>#NAME?</v>
      </c>
      <c r="C335" s="240"/>
    </row>
    <row r="336" customFormat="false" ht="15.75" hidden="false" customHeight="false" outlineLevel="0" collapsed="false">
      <c r="A336" s="120" t="e">
        <v>#NAME?</v>
      </c>
      <c r="B336" s="120" t="e">
        <v>#NAME?</v>
      </c>
      <c r="C336" s="240"/>
    </row>
    <row r="337" customFormat="false" ht="15.75" hidden="false" customHeight="false" outlineLevel="0" collapsed="false">
      <c r="A337" s="120" t="e">
        <v>#NAME?</v>
      </c>
      <c r="B337" s="120" t="e">
        <v>#NAME?</v>
      </c>
      <c r="C337" s="240"/>
    </row>
    <row r="338" customFormat="false" ht="15.75" hidden="false" customHeight="false" outlineLevel="0" collapsed="false">
      <c r="A338" s="120" t="e">
        <v>#NAME?</v>
      </c>
      <c r="B338" s="120" t="e">
        <v>#NAME?</v>
      </c>
      <c r="C338" s="240"/>
    </row>
    <row r="339" customFormat="false" ht="15.75" hidden="false" customHeight="false" outlineLevel="0" collapsed="false">
      <c r="A339" s="120" t="e">
        <v>#NAME?</v>
      </c>
      <c r="B339" s="120" t="e">
        <v>#NAME?</v>
      </c>
      <c r="C339" s="240"/>
    </row>
    <row r="340" customFormat="false" ht="15.75" hidden="false" customHeight="false" outlineLevel="0" collapsed="false">
      <c r="A340" s="120" t="e">
        <v>#NAME?</v>
      </c>
      <c r="B340" s="120" t="e">
        <v>#NAME?</v>
      </c>
      <c r="C340" s="240"/>
    </row>
    <row r="341" customFormat="false" ht="15.75" hidden="false" customHeight="false" outlineLevel="0" collapsed="false">
      <c r="A341" s="120" t="e">
        <v>#NAME?</v>
      </c>
      <c r="B341" s="120" t="e">
        <v>#NAME?</v>
      </c>
      <c r="C341" s="240"/>
    </row>
    <row r="342" customFormat="false" ht="15.75" hidden="false" customHeight="false" outlineLevel="0" collapsed="false">
      <c r="A342" s="120" t="e">
        <v>#NAME?</v>
      </c>
      <c r="B342" s="120" t="e">
        <v>#NAME?</v>
      </c>
      <c r="C342" s="240"/>
    </row>
    <row r="343" customFormat="false" ht="15.75" hidden="false" customHeight="false" outlineLevel="0" collapsed="false">
      <c r="A343" s="120" t="e">
        <v>#NAME?</v>
      </c>
      <c r="B343" s="120" t="e">
        <v>#NAME?</v>
      </c>
      <c r="C343" s="240"/>
    </row>
    <row r="344" customFormat="false" ht="15.75" hidden="false" customHeight="false" outlineLevel="0" collapsed="false">
      <c r="A344" s="120" t="e">
        <v>#NAME?</v>
      </c>
      <c r="B344" s="120" t="e">
        <v>#NAME?</v>
      </c>
      <c r="C344" s="240"/>
    </row>
    <row r="345" customFormat="false" ht="15.75" hidden="false" customHeight="false" outlineLevel="0" collapsed="false">
      <c r="A345" s="120" t="e">
        <v>#NAME?</v>
      </c>
      <c r="B345" s="120" t="e">
        <v>#NAME?</v>
      </c>
      <c r="C345" s="240"/>
    </row>
    <row r="346" customFormat="false" ht="15.75" hidden="false" customHeight="false" outlineLevel="0" collapsed="false">
      <c r="A346" s="120" t="e">
        <v>#NAME?</v>
      </c>
      <c r="B346" s="120" t="e">
        <v>#NAME?</v>
      </c>
      <c r="C346" s="240"/>
    </row>
    <row r="347" customFormat="false" ht="15.75" hidden="false" customHeight="false" outlineLevel="0" collapsed="false">
      <c r="A347" s="120" t="e">
        <v>#NAME?</v>
      </c>
      <c r="B347" s="120" t="e">
        <v>#NAME?</v>
      </c>
      <c r="C347" s="240"/>
    </row>
    <row r="348" customFormat="false" ht="15.75" hidden="false" customHeight="false" outlineLevel="0" collapsed="false">
      <c r="A348" s="120" t="e">
        <v>#NAME?</v>
      </c>
      <c r="B348" s="120" t="e">
        <v>#NAME?</v>
      </c>
      <c r="C348" s="240"/>
    </row>
    <row r="349" customFormat="false" ht="15.75" hidden="false" customHeight="false" outlineLevel="0" collapsed="false">
      <c r="A349" s="120" t="e">
        <v>#NAME?</v>
      </c>
      <c r="B349" s="120" t="e">
        <v>#NAME?</v>
      </c>
      <c r="C349" s="240"/>
    </row>
    <row r="350" customFormat="false" ht="15.75" hidden="false" customHeight="false" outlineLevel="0" collapsed="false">
      <c r="A350" s="120" t="e">
        <v>#NAME?</v>
      </c>
      <c r="B350" s="120" t="e">
        <v>#NAME?</v>
      </c>
      <c r="C350" s="240"/>
    </row>
    <row r="351" customFormat="false" ht="15.75" hidden="false" customHeight="false" outlineLevel="0" collapsed="false">
      <c r="A351" s="120" t="e">
        <v>#NAME?</v>
      </c>
      <c r="B351" s="120" t="e">
        <v>#NAME?</v>
      </c>
      <c r="C351" s="240"/>
    </row>
    <row r="352" customFormat="false" ht="15.75" hidden="false" customHeight="false" outlineLevel="0" collapsed="false">
      <c r="A352" s="120" t="e">
        <v>#NAME?</v>
      </c>
      <c r="B352" s="120" t="e">
        <v>#NAME?</v>
      </c>
      <c r="C352" s="240"/>
    </row>
    <row r="353" customFormat="false" ht="15.75" hidden="false" customHeight="false" outlineLevel="0" collapsed="false">
      <c r="A353" s="120" t="e">
        <v>#NAME?</v>
      </c>
      <c r="B353" s="120" t="e">
        <v>#NAME?</v>
      </c>
      <c r="C353" s="240"/>
    </row>
    <row r="354" customFormat="false" ht="15.75" hidden="false" customHeight="false" outlineLevel="0" collapsed="false">
      <c r="A354" s="120" t="e">
        <v>#NAME?</v>
      </c>
      <c r="B354" s="120" t="e">
        <v>#NAME?</v>
      </c>
      <c r="C354" s="240"/>
    </row>
    <row r="355" customFormat="false" ht="15.75" hidden="false" customHeight="false" outlineLevel="0" collapsed="false">
      <c r="A355" s="120" t="e">
        <v>#NAME?</v>
      </c>
      <c r="B355" s="120" t="e">
        <v>#NAME?</v>
      </c>
      <c r="C355" s="240"/>
    </row>
    <row r="356" customFormat="false" ht="15.75" hidden="false" customHeight="false" outlineLevel="0" collapsed="false">
      <c r="A356" s="120" t="e">
        <v>#NAME?</v>
      </c>
      <c r="B356" s="120" t="e">
        <v>#NAME?</v>
      </c>
      <c r="C356" s="240"/>
    </row>
    <row r="357" customFormat="false" ht="15.75" hidden="false" customHeight="false" outlineLevel="0" collapsed="false">
      <c r="A357" s="120" t="e">
        <v>#NAME?</v>
      </c>
      <c r="B357" s="120" t="e">
        <v>#NAME?</v>
      </c>
      <c r="C357" s="240"/>
    </row>
    <row r="358" customFormat="false" ht="15.75" hidden="false" customHeight="false" outlineLevel="0" collapsed="false">
      <c r="A358" s="120" t="e">
        <v>#NAME?</v>
      </c>
      <c r="B358" s="120" t="e">
        <v>#NAME?</v>
      </c>
      <c r="C358" s="240"/>
    </row>
    <row r="359" customFormat="false" ht="15.75" hidden="false" customHeight="false" outlineLevel="0" collapsed="false">
      <c r="A359" s="120" t="e">
        <v>#NAME?</v>
      </c>
      <c r="B359" s="120" t="e">
        <v>#NAME?</v>
      </c>
      <c r="C359" s="240"/>
    </row>
    <row r="360" customFormat="false" ht="15.75" hidden="false" customHeight="false" outlineLevel="0" collapsed="false">
      <c r="A360" s="120" t="e">
        <v>#NAME?</v>
      </c>
      <c r="B360" s="120" t="e">
        <v>#NAME?</v>
      </c>
      <c r="C360" s="240"/>
    </row>
    <row r="361" customFormat="false" ht="15.75" hidden="false" customHeight="false" outlineLevel="0" collapsed="false">
      <c r="A361" s="120" t="e">
        <v>#NAME?</v>
      </c>
      <c r="B361" s="120" t="e">
        <v>#NAME?</v>
      </c>
      <c r="C361" s="240"/>
    </row>
    <row r="362" customFormat="false" ht="15.75" hidden="false" customHeight="false" outlineLevel="0" collapsed="false">
      <c r="A362" s="120" t="e">
        <v>#NAME?</v>
      </c>
      <c r="B362" s="120" t="e">
        <v>#NAME?</v>
      </c>
      <c r="C362" s="240"/>
    </row>
    <row r="363" customFormat="false" ht="15.75" hidden="false" customHeight="false" outlineLevel="0" collapsed="false">
      <c r="A363" s="120" t="e">
        <v>#NAME?</v>
      </c>
      <c r="B363" s="120" t="e">
        <v>#NAME?</v>
      </c>
      <c r="C363" s="240"/>
    </row>
    <row r="364" customFormat="false" ht="15.75" hidden="false" customHeight="false" outlineLevel="0" collapsed="false">
      <c r="A364" s="120" t="e">
        <v>#NAME?</v>
      </c>
      <c r="B364" s="120" t="e">
        <v>#NAME?</v>
      </c>
      <c r="C364" s="240"/>
    </row>
    <row r="365" customFormat="false" ht="15.75" hidden="false" customHeight="false" outlineLevel="0" collapsed="false">
      <c r="A365" s="120" t="e">
        <v>#NAME?</v>
      </c>
      <c r="B365" s="120" t="e">
        <v>#NAME?</v>
      </c>
      <c r="C365" s="240"/>
    </row>
    <row r="366" customFormat="false" ht="15.75" hidden="false" customHeight="false" outlineLevel="0" collapsed="false">
      <c r="A366" s="120" t="e">
        <v>#NAME?</v>
      </c>
      <c r="B366" s="120" t="e">
        <v>#NAME?</v>
      </c>
      <c r="C366" s="240"/>
    </row>
    <row r="367" customFormat="false" ht="15.75" hidden="false" customHeight="false" outlineLevel="0" collapsed="false">
      <c r="A367" s="120" t="e">
        <v>#NAME?</v>
      </c>
      <c r="B367" s="120" t="e">
        <v>#NAME?</v>
      </c>
      <c r="C367" s="240"/>
    </row>
    <row r="368" customFormat="false" ht="15.75" hidden="false" customHeight="false" outlineLevel="0" collapsed="false">
      <c r="A368" s="120" t="e">
        <v>#NAME?</v>
      </c>
      <c r="B368" s="120" t="e">
        <v>#NAME?</v>
      </c>
      <c r="C368" s="240"/>
    </row>
    <row r="369" customFormat="false" ht="15.75" hidden="false" customHeight="false" outlineLevel="0" collapsed="false">
      <c r="A369" s="120" t="e">
        <v>#NAME?</v>
      </c>
      <c r="B369" s="120" t="e">
        <v>#NAME?</v>
      </c>
      <c r="C369" s="240"/>
    </row>
    <row r="370" customFormat="false" ht="15.75" hidden="false" customHeight="false" outlineLevel="0" collapsed="false">
      <c r="A370" s="120" t="e">
        <v>#NAME?</v>
      </c>
      <c r="B370" s="120" t="e">
        <v>#NAME?</v>
      </c>
      <c r="C370" s="240"/>
    </row>
    <row r="371" customFormat="false" ht="15.75" hidden="false" customHeight="false" outlineLevel="0" collapsed="false">
      <c r="A371" s="120" t="e">
        <v>#NAME?</v>
      </c>
      <c r="B371" s="120" t="e">
        <v>#NAME?</v>
      </c>
      <c r="C371" s="240"/>
    </row>
    <row r="372" customFormat="false" ht="15.75" hidden="false" customHeight="false" outlineLevel="0" collapsed="false">
      <c r="A372" s="120" t="e">
        <v>#NAME?</v>
      </c>
      <c r="B372" s="120" t="e">
        <v>#NAME?</v>
      </c>
      <c r="C372" s="240"/>
    </row>
    <row r="373" customFormat="false" ht="15.75" hidden="false" customHeight="false" outlineLevel="0" collapsed="false">
      <c r="A373" s="120" t="e">
        <v>#NAME?</v>
      </c>
      <c r="B373" s="120" t="e">
        <v>#NAME?</v>
      </c>
      <c r="C373" s="240"/>
    </row>
    <row r="374" customFormat="false" ht="15.75" hidden="false" customHeight="false" outlineLevel="0" collapsed="false">
      <c r="A374" s="120" t="e">
        <v>#NAME?</v>
      </c>
      <c r="B374" s="120" t="e">
        <v>#NAME?</v>
      </c>
      <c r="C374" s="240"/>
    </row>
    <row r="375" customFormat="false" ht="15.75" hidden="false" customHeight="false" outlineLevel="0" collapsed="false">
      <c r="A375" s="120" t="e">
        <v>#NAME?</v>
      </c>
      <c r="B375" s="120" t="e">
        <v>#NAME?</v>
      </c>
      <c r="C375" s="240"/>
    </row>
    <row r="376" customFormat="false" ht="15.75" hidden="false" customHeight="false" outlineLevel="0" collapsed="false">
      <c r="A376" s="120" t="e">
        <v>#NAME?</v>
      </c>
      <c r="B376" s="120" t="e">
        <v>#NAME?</v>
      </c>
      <c r="C376" s="240"/>
    </row>
    <row r="377" customFormat="false" ht="15.75" hidden="false" customHeight="false" outlineLevel="0" collapsed="false">
      <c r="A377" s="120" t="e">
        <v>#NAME?</v>
      </c>
      <c r="B377" s="120" t="e">
        <v>#NAME?</v>
      </c>
      <c r="C377" s="240"/>
    </row>
    <row r="378" customFormat="false" ht="15.75" hidden="false" customHeight="false" outlineLevel="0" collapsed="false">
      <c r="A378" s="120" t="e">
        <v>#NAME?</v>
      </c>
      <c r="B378" s="120" t="e">
        <v>#NAME?</v>
      </c>
      <c r="C378" s="240"/>
    </row>
    <row r="379" customFormat="false" ht="15.75" hidden="false" customHeight="false" outlineLevel="0" collapsed="false">
      <c r="A379" s="120" t="e">
        <v>#NAME?</v>
      </c>
      <c r="B379" s="120" t="e">
        <v>#NAME?</v>
      </c>
      <c r="C379" s="240"/>
    </row>
    <row r="380" customFormat="false" ht="15.75" hidden="false" customHeight="false" outlineLevel="0" collapsed="false">
      <c r="A380" s="120" t="e">
        <v>#NAME?</v>
      </c>
      <c r="B380" s="120" t="e">
        <v>#NAME?</v>
      </c>
      <c r="C380" s="240"/>
    </row>
    <row r="381" customFormat="false" ht="15.75" hidden="false" customHeight="false" outlineLevel="0" collapsed="false">
      <c r="A381" s="120" t="e">
        <v>#NAME?</v>
      </c>
      <c r="B381" s="120" t="e">
        <v>#NAME?</v>
      </c>
      <c r="C381" s="240"/>
    </row>
    <row r="382" customFormat="false" ht="15.75" hidden="false" customHeight="false" outlineLevel="0" collapsed="false">
      <c r="A382" s="120" t="e">
        <v>#NAME?</v>
      </c>
      <c r="B382" s="120" t="e">
        <v>#NAME?</v>
      </c>
      <c r="C382" s="240"/>
    </row>
    <row r="383" customFormat="false" ht="15.75" hidden="false" customHeight="false" outlineLevel="0" collapsed="false">
      <c r="A383" s="120" t="e">
        <v>#NAME?</v>
      </c>
      <c r="B383" s="120" t="e">
        <v>#NAME?</v>
      </c>
      <c r="C383" s="240"/>
    </row>
    <row r="384" customFormat="false" ht="15.75" hidden="false" customHeight="false" outlineLevel="0" collapsed="false">
      <c r="A384" s="120" t="e">
        <v>#NAME?</v>
      </c>
      <c r="B384" s="120" t="e">
        <v>#NAME?</v>
      </c>
      <c r="C384" s="240"/>
    </row>
    <row r="385" customFormat="false" ht="15.75" hidden="false" customHeight="false" outlineLevel="0" collapsed="false">
      <c r="A385" s="120" t="e">
        <v>#NAME?</v>
      </c>
      <c r="B385" s="120" t="e">
        <v>#NAME?</v>
      </c>
      <c r="C385" s="240"/>
    </row>
    <row r="386" customFormat="false" ht="15.75" hidden="false" customHeight="false" outlineLevel="0" collapsed="false">
      <c r="A386" s="120" t="e">
        <v>#NAME?</v>
      </c>
      <c r="B386" s="120" t="e">
        <v>#NAME?</v>
      </c>
      <c r="C386" s="240"/>
    </row>
    <row r="387" customFormat="false" ht="15.75" hidden="false" customHeight="false" outlineLevel="0" collapsed="false">
      <c r="A387" s="120" t="e">
        <v>#NAME?</v>
      </c>
      <c r="B387" s="120" t="e">
        <v>#NAME?</v>
      </c>
      <c r="C387" s="240"/>
    </row>
    <row r="388" customFormat="false" ht="15.75" hidden="false" customHeight="false" outlineLevel="0" collapsed="false">
      <c r="A388" s="120" t="e">
        <v>#NAME?</v>
      </c>
      <c r="B388" s="120" t="e">
        <v>#NAME?</v>
      </c>
      <c r="C388" s="240"/>
    </row>
    <row r="389" customFormat="false" ht="15.75" hidden="false" customHeight="false" outlineLevel="0" collapsed="false">
      <c r="A389" s="120" t="e">
        <v>#NAME?</v>
      </c>
      <c r="B389" s="120" t="e">
        <v>#NAME?</v>
      </c>
      <c r="C389" s="240"/>
    </row>
    <row r="390" customFormat="false" ht="15.75" hidden="false" customHeight="false" outlineLevel="0" collapsed="false">
      <c r="A390" s="120" t="e">
        <v>#NAME?</v>
      </c>
      <c r="B390" s="120" t="e">
        <v>#NAME?</v>
      </c>
      <c r="C390" s="240"/>
    </row>
    <row r="391" customFormat="false" ht="15.75" hidden="false" customHeight="false" outlineLevel="0" collapsed="false">
      <c r="A391" s="120" t="e">
        <v>#NAME?</v>
      </c>
      <c r="B391" s="120" t="e">
        <v>#NAME?</v>
      </c>
      <c r="C391" s="240"/>
    </row>
    <row r="392" customFormat="false" ht="15.75" hidden="false" customHeight="false" outlineLevel="0" collapsed="false">
      <c r="A392" s="120" t="e">
        <v>#NAME?</v>
      </c>
      <c r="B392" s="120" t="e">
        <v>#NAME?</v>
      </c>
      <c r="C392" s="240"/>
    </row>
    <row r="393" customFormat="false" ht="15.75" hidden="false" customHeight="false" outlineLevel="0" collapsed="false">
      <c r="A393" s="120" t="e">
        <v>#NAME?</v>
      </c>
      <c r="B393" s="120" t="e">
        <v>#NAME?</v>
      </c>
      <c r="C393" s="240"/>
    </row>
    <row r="394" customFormat="false" ht="15.75" hidden="false" customHeight="false" outlineLevel="0" collapsed="false">
      <c r="A394" s="120" t="e">
        <v>#NAME?</v>
      </c>
      <c r="B394" s="120" t="e">
        <v>#NAME?</v>
      </c>
      <c r="C394" s="240"/>
    </row>
    <row r="395" customFormat="false" ht="15.75" hidden="false" customHeight="false" outlineLevel="0" collapsed="false">
      <c r="A395" s="120" t="e">
        <v>#NAME?</v>
      </c>
      <c r="B395" s="120" t="e">
        <v>#NAME?</v>
      </c>
      <c r="C395" s="240"/>
    </row>
    <row r="396" customFormat="false" ht="15.75" hidden="false" customHeight="false" outlineLevel="0" collapsed="false">
      <c r="A396" s="120" t="e">
        <v>#NAME?</v>
      </c>
      <c r="B396" s="120" t="e">
        <v>#NAME?</v>
      </c>
      <c r="C396" s="240"/>
    </row>
    <row r="397" customFormat="false" ht="15.75" hidden="false" customHeight="false" outlineLevel="0" collapsed="false">
      <c r="A397" s="120" t="e">
        <v>#NAME?</v>
      </c>
      <c r="B397" s="120" t="e">
        <v>#NAME?</v>
      </c>
      <c r="C397" s="240"/>
    </row>
    <row r="398" customFormat="false" ht="15.75" hidden="false" customHeight="false" outlineLevel="0" collapsed="false">
      <c r="A398" s="120" t="e">
        <v>#NAME?</v>
      </c>
      <c r="B398" s="120" t="e">
        <v>#NAME?</v>
      </c>
      <c r="C398" s="240"/>
    </row>
    <row r="399" customFormat="false" ht="15.75" hidden="false" customHeight="false" outlineLevel="0" collapsed="false">
      <c r="A399" s="120" t="e">
        <v>#NAME?</v>
      </c>
      <c r="B399" s="120" t="e">
        <v>#NAME?</v>
      </c>
      <c r="C399" s="240"/>
    </row>
    <row r="400" customFormat="false" ht="15.75" hidden="false" customHeight="false" outlineLevel="0" collapsed="false">
      <c r="A400" s="120" t="e">
        <v>#NAME?</v>
      </c>
      <c r="B400" s="120" t="e">
        <v>#NAME?</v>
      </c>
      <c r="C400" s="240"/>
    </row>
    <row r="401" customFormat="false" ht="15.75" hidden="false" customHeight="false" outlineLevel="0" collapsed="false">
      <c r="A401" s="120" t="e">
        <v>#NAME?</v>
      </c>
      <c r="B401" s="120" t="e">
        <v>#NAME?</v>
      </c>
      <c r="C401" s="240"/>
    </row>
    <row r="402" customFormat="false" ht="15.75" hidden="false" customHeight="false" outlineLevel="0" collapsed="false">
      <c r="A402" s="120" t="e">
        <v>#NAME?</v>
      </c>
      <c r="B402" s="120" t="e">
        <v>#NAME?</v>
      </c>
      <c r="C402" s="240"/>
    </row>
    <row r="403" customFormat="false" ht="15.75" hidden="false" customHeight="false" outlineLevel="0" collapsed="false">
      <c r="A403" s="120" t="e">
        <v>#NAME?</v>
      </c>
      <c r="B403" s="120" t="e">
        <v>#NAME?</v>
      </c>
      <c r="C403" s="240"/>
    </row>
    <row r="404" customFormat="false" ht="15.75" hidden="false" customHeight="false" outlineLevel="0" collapsed="false">
      <c r="A404" s="120" t="e">
        <v>#NAME?</v>
      </c>
      <c r="B404" s="120" t="e">
        <v>#NAME?</v>
      </c>
      <c r="C404" s="240"/>
    </row>
    <row r="405" customFormat="false" ht="15.75" hidden="false" customHeight="false" outlineLevel="0" collapsed="false">
      <c r="A405" s="120" t="e">
        <v>#NAME?</v>
      </c>
      <c r="B405" s="120" t="e">
        <v>#NAME?</v>
      </c>
      <c r="C405" s="240"/>
    </row>
    <row r="406" customFormat="false" ht="15.75" hidden="false" customHeight="false" outlineLevel="0" collapsed="false">
      <c r="A406" s="120" t="e">
        <v>#NAME?</v>
      </c>
      <c r="B406" s="120" t="e">
        <v>#NAME?</v>
      </c>
      <c r="C406" s="240"/>
    </row>
    <row r="407" customFormat="false" ht="15.75" hidden="false" customHeight="false" outlineLevel="0" collapsed="false">
      <c r="A407" s="120" t="e">
        <v>#NAME?</v>
      </c>
      <c r="B407" s="120" t="e">
        <v>#NAME?</v>
      </c>
      <c r="C407" s="240"/>
    </row>
    <row r="408" customFormat="false" ht="15.75" hidden="false" customHeight="false" outlineLevel="0" collapsed="false">
      <c r="A408" s="120" t="e">
        <v>#NAME?</v>
      </c>
      <c r="B408" s="120" t="e">
        <v>#NAME?</v>
      </c>
      <c r="C408" s="240"/>
    </row>
    <row r="409" customFormat="false" ht="15.75" hidden="false" customHeight="false" outlineLevel="0" collapsed="false">
      <c r="A409" s="120" t="e">
        <v>#NAME?</v>
      </c>
      <c r="B409" s="120" t="e">
        <v>#NAME?</v>
      </c>
      <c r="C409" s="240"/>
    </row>
    <row r="410" customFormat="false" ht="15.75" hidden="false" customHeight="false" outlineLevel="0" collapsed="false">
      <c r="A410" s="120" t="e">
        <v>#NAME?</v>
      </c>
      <c r="B410" s="120" t="e">
        <v>#NAME?</v>
      </c>
      <c r="C410" s="240"/>
    </row>
    <row r="411" customFormat="false" ht="15.75" hidden="false" customHeight="false" outlineLevel="0" collapsed="false">
      <c r="A411" s="120" t="e">
        <v>#NAME?</v>
      </c>
      <c r="B411" s="120" t="e">
        <v>#NAME?</v>
      </c>
      <c r="C411" s="240"/>
    </row>
    <row r="412" customFormat="false" ht="15.75" hidden="false" customHeight="false" outlineLevel="0" collapsed="false">
      <c r="A412" s="120" t="e">
        <v>#NAME?</v>
      </c>
      <c r="B412" s="120" t="e">
        <v>#NAME?</v>
      </c>
      <c r="C412" s="240"/>
    </row>
    <row r="413" customFormat="false" ht="15.75" hidden="false" customHeight="false" outlineLevel="0" collapsed="false">
      <c r="A413" s="120" t="e">
        <v>#NAME?</v>
      </c>
      <c r="B413" s="120" t="e">
        <v>#NAME?</v>
      </c>
      <c r="C413" s="240"/>
    </row>
    <row r="414" customFormat="false" ht="15.75" hidden="false" customHeight="false" outlineLevel="0" collapsed="false">
      <c r="A414" s="120" t="e">
        <v>#NAME?</v>
      </c>
      <c r="B414" s="120" t="e">
        <v>#NAME?</v>
      </c>
      <c r="C414" s="240"/>
    </row>
    <row r="415" customFormat="false" ht="15.75" hidden="false" customHeight="false" outlineLevel="0" collapsed="false">
      <c r="A415" s="120" t="e">
        <v>#NAME?</v>
      </c>
      <c r="B415" s="120" t="e">
        <v>#NAME?</v>
      </c>
      <c r="C415" s="240"/>
    </row>
    <row r="416" customFormat="false" ht="15.75" hidden="false" customHeight="false" outlineLevel="0" collapsed="false">
      <c r="A416" s="120" t="e">
        <v>#NAME?</v>
      </c>
      <c r="B416" s="120" t="e">
        <v>#NAME?</v>
      </c>
      <c r="C416" s="240"/>
    </row>
    <row r="417" customFormat="false" ht="15.75" hidden="false" customHeight="false" outlineLevel="0" collapsed="false">
      <c r="A417" s="120" t="e">
        <v>#NAME?</v>
      </c>
      <c r="B417" s="120" t="e">
        <v>#NAME?</v>
      </c>
      <c r="C417" s="240"/>
    </row>
    <row r="418" customFormat="false" ht="15.75" hidden="false" customHeight="false" outlineLevel="0" collapsed="false">
      <c r="A418" s="120" t="e">
        <v>#NAME?</v>
      </c>
      <c r="B418" s="120" t="e">
        <v>#NAME?</v>
      </c>
      <c r="C418" s="240"/>
    </row>
    <row r="419" customFormat="false" ht="15.75" hidden="false" customHeight="false" outlineLevel="0" collapsed="false">
      <c r="A419" s="120" t="e">
        <v>#NAME?</v>
      </c>
      <c r="B419" s="120" t="e">
        <v>#NAME?</v>
      </c>
      <c r="C419" s="240"/>
    </row>
    <row r="420" customFormat="false" ht="15.75" hidden="false" customHeight="false" outlineLevel="0" collapsed="false">
      <c r="A420" s="120" t="e">
        <v>#NAME?</v>
      </c>
      <c r="B420" s="120" t="e">
        <v>#NAME?</v>
      </c>
      <c r="C420" s="240"/>
    </row>
    <row r="421" customFormat="false" ht="15.75" hidden="false" customHeight="false" outlineLevel="0" collapsed="false">
      <c r="A421" s="120" t="e">
        <v>#NAME?</v>
      </c>
      <c r="B421" s="120" t="e">
        <v>#NAME?</v>
      </c>
      <c r="C421" s="240"/>
    </row>
    <row r="422" customFormat="false" ht="15.75" hidden="false" customHeight="false" outlineLevel="0" collapsed="false">
      <c r="A422" s="120" t="e">
        <v>#NAME?</v>
      </c>
      <c r="B422" s="120" t="e">
        <v>#NAME?</v>
      </c>
      <c r="C422" s="240"/>
    </row>
    <row r="423" customFormat="false" ht="15.75" hidden="false" customHeight="false" outlineLevel="0" collapsed="false">
      <c r="A423" s="120" t="e">
        <v>#NAME?</v>
      </c>
      <c r="B423" s="120" t="e">
        <v>#NAME?</v>
      </c>
      <c r="C423" s="240"/>
    </row>
    <row r="424" customFormat="false" ht="15.75" hidden="false" customHeight="false" outlineLevel="0" collapsed="false">
      <c r="A424" s="120" t="e">
        <v>#NAME?</v>
      </c>
      <c r="B424" s="120" t="e">
        <v>#NAME?</v>
      </c>
      <c r="C424" s="240"/>
    </row>
    <row r="425" customFormat="false" ht="15.75" hidden="false" customHeight="false" outlineLevel="0" collapsed="false">
      <c r="A425" s="120" t="e">
        <v>#NAME?</v>
      </c>
      <c r="B425" s="120" t="e">
        <v>#NAME?</v>
      </c>
      <c r="C425" s="240"/>
    </row>
    <row r="426" customFormat="false" ht="15.75" hidden="false" customHeight="false" outlineLevel="0" collapsed="false">
      <c r="A426" s="120" t="e">
        <v>#NAME?</v>
      </c>
      <c r="B426" s="120" t="e">
        <v>#NAME?</v>
      </c>
      <c r="C426" s="240"/>
    </row>
    <row r="427" customFormat="false" ht="15.75" hidden="false" customHeight="false" outlineLevel="0" collapsed="false">
      <c r="A427" s="120" t="e">
        <v>#NAME?</v>
      </c>
      <c r="B427" s="120" t="e">
        <v>#NAME?</v>
      </c>
      <c r="C427" s="240"/>
    </row>
    <row r="428" customFormat="false" ht="15.75" hidden="false" customHeight="false" outlineLevel="0" collapsed="false">
      <c r="A428" s="120" t="e">
        <v>#NAME?</v>
      </c>
      <c r="B428" s="120" t="e">
        <v>#NAME?</v>
      </c>
      <c r="C428" s="240"/>
    </row>
    <row r="429" customFormat="false" ht="15.75" hidden="false" customHeight="false" outlineLevel="0" collapsed="false">
      <c r="A429" s="120" t="e">
        <v>#NAME?</v>
      </c>
      <c r="B429" s="120" t="e">
        <v>#NAME?</v>
      </c>
      <c r="C429" s="240"/>
    </row>
    <row r="430" customFormat="false" ht="15.75" hidden="false" customHeight="false" outlineLevel="0" collapsed="false">
      <c r="A430" s="120" t="e">
        <v>#NAME?</v>
      </c>
      <c r="B430" s="120" t="e">
        <v>#NAME?</v>
      </c>
      <c r="C430" s="240"/>
    </row>
    <row r="431" customFormat="false" ht="15.75" hidden="false" customHeight="false" outlineLevel="0" collapsed="false">
      <c r="A431" s="120" t="e">
        <v>#NAME?</v>
      </c>
      <c r="B431" s="120" t="e">
        <v>#NAME?</v>
      </c>
      <c r="C431" s="240"/>
    </row>
    <row r="432" customFormat="false" ht="15.75" hidden="false" customHeight="false" outlineLevel="0" collapsed="false">
      <c r="A432" s="120" t="e">
        <v>#NAME?</v>
      </c>
      <c r="B432" s="120" t="e">
        <v>#NAME?</v>
      </c>
      <c r="C432" s="240"/>
    </row>
    <row r="433" customFormat="false" ht="15.75" hidden="false" customHeight="false" outlineLevel="0" collapsed="false">
      <c r="A433" s="120" t="e">
        <v>#NAME?</v>
      </c>
      <c r="B433" s="120" t="e">
        <v>#NAME?</v>
      </c>
      <c r="C433" s="240"/>
    </row>
    <row r="434" customFormat="false" ht="15.75" hidden="false" customHeight="false" outlineLevel="0" collapsed="false">
      <c r="A434" s="120" t="e">
        <v>#NAME?</v>
      </c>
      <c r="B434" s="120" t="e">
        <v>#NAME?</v>
      </c>
      <c r="C434" s="240"/>
    </row>
    <row r="435" customFormat="false" ht="15.75" hidden="false" customHeight="false" outlineLevel="0" collapsed="false">
      <c r="A435" s="120" t="e">
        <v>#NAME?</v>
      </c>
      <c r="B435" s="120" t="e">
        <v>#NAME?</v>
      </c>
      <c r="C435" s="240"/>
    </row>
    <row r="436" customFormat="false" ht="15.75" hidden="false" customHeight="false" outlineLevel="0" collapsed="false">
      <c r="A436" s="120" t="e">
        <v>#NAME?</v>
      </c>
      <c r="B436" s="120" t="e">
        <v>#NAME?</v>
      </c>
      <c r="C436" s="240"/>
    </row>
    <row r="437" customFormat="false" ht="15.75" hidden="false" customHeight="false" outlineLevel="0" collapsed="false">
      <c r="A437" s="120" t="e">
        <v>#NAME?</v>
      </c>
      <c r="B437" s="120" t="e">
        <v>#NAME?</v>
      </c>
      <c r="C437" s="240"/>
    </row>
    <row r="438" customFormat="false" ht="15.75" hidden="false" customHeight="false" outlineLevel="0" collapsed="false">
      <c r="A438" s="120" t="e">
        <v>#NAME?</v>
      </c>
      <c r="B438" s="120" t="e">
        <v>#NAME?</v>
      </c>
      <c r="C438" s="240"/>
    </row>
    <row r="439" customFormat="false" ht="15.75" hidden="false" customHeight="false" outlineLevel="0" collapsed="false">
      <c r="A439" s="120" t="e">
        <v>#NAME?</v>
      </c>
      <c r="B439" s="120" t="e">
        <v>#NAME?</v>
      </c>
      <c r="C439" s="240"/>
    </row>
    <row r="440" customFormat="false" ht="15.75" hidden="false" customHeight="false" outlineLevel="0" collapsed="false">
      <c r="A440" s="120" t="e">
        <v>#NAME?</v>
      </c>
      <c r="B440" s="120" t="e">
        <v>#NAME?</v>
      </c>
      <c r="C440" s="240"/>
    </row>
    <row r="441" customFormat="false" ht="15.75" hidden="false" customHeight="false" outlineLevel="0" collapsed="false">
      <c r="A441" s="120" t="e">
        <v>#NAME?</v>
      </c>
      <c r="B441" s="120" t="e">
        <v>#NAME?</v>
      </c>
      <c r="C441" s="240"/>
    </row>
    <row r="442" customFormat="false" ht="15.75" hidden="false" customHeight="false" outlineLevel="0" collapsed="false">
      <c r="A442" s="120" t="e">
        <v>#NAME?</v>
      </c>
      <c r="B442" s="120" t="e">
        <v>#NAME?</v>
      </c>
      <c r="C442" s="240"/>
    </row>
    <row r="443" customFormat="false" ht="15.75" hidden="false" customHeight="false" outlineLevel="0" collapsed="false">
      <c r="A443" s="120" t="e">
        <v>#NAME?</v>
      </c>
      <c r="B443" s="120" t="e">
        <v>#NAME?</v>
      </c>
      <c r="C443" s="240"/>
    </row>
    <row r="444" customFormat="false" ht="15.75" hidden="false" customHeight="false" outlineLevel="0" collapsed="false">
      <c r="A444" s="120" t="e">
        <v>#NAME?</v>
      </c>
      <c r="B444" s="120" t="e">
        <v>#NAME?</v>
      </c>
      <c r="C444" s="240"/>
    </row>
    <row r="445" customFormat="false" ht="15.75" hidden="false" customHeight="false" outlineLevel="0" collapsed="false">
      <c r="A445" s="120" t="e">
        <v>#NAME?</v>
      </c>
      <c r="B445" s="120" t="e">
        <v>#NAME?</v>
      </c>
      <c r="C445" s="240"/>
    </row>
    <row r="446" customFormat="false" ht="15.75" hidden="false" customHeight="false" outlineLevel="0" collapsed="false">
      <c r="A446" s="120" t="e">
        <v>#NAME?</v>
      </c>
      <c r="B446" s="120" t="e">
        <v>#NAME?</v>
      </c>
      <c r="C446" s="240"/>
    </row>
    <row r="447" customFormat="false" ht="15.75" hidden="false" customHeight="false" outlineLevel="0" collapsed="false">
      <c r="A447" s="120" t="e">
        <v>#NAME?</v>
      </c>
      <c r="B447" s="120" t="e">
        <v>#NAME?</v>
      </c>
      <c r="C447" s="240"/>
    </row>
    <row r="448" customFormat="false" ht="15.75" hidden="false" customHeight="false" outlineLevel="0" collapsed="false">
      <c r="A448" s="120" t="e">
        <v>#NAME?</v>
      </c>
      <c r="B448" s="120" t="e">
        <v>#NAME?</v>
      </c>
      <c r="C448" s="240"/>
    </row>
    <row r="449" customFormat="false" ht="15.75" hidden="false" customHeight="false" outlineLevel="0" collapsed="false">
      <c r="A449" s="120" t="e">
        <v>#NAME?</v>
      </c>
      <c r="B449" s="120" t="e">
        <v>#NAME?</v>
      </c>
      <c r="C449" s="240"/>
    </row>
    <row r="450" customFormat="false" ht="15.75" hidden="false" customHeight="false" outlineLevel="0" collapsed="false">
      <c r="A450" s="120" t="e">
        <v>#NAME?</v>
      </c>
      <c r="B450" s="120" t="e">
        <v>#NAME?</v>
      </c>
      <c r="C450" s="240"/>
    </row>
    <row r="451" customFormat="false" ht="15.75" hidden="false" customHeight="false" outlineLevel="0" collapsed="false">
      <c r="A451" s="120" t="e">
        <v>#NAME?</v>
      </c>
      <c r="B451" s="120" t="e">
        <v>#NAME?</v>
      </c>
      <c r="C451" s="240"/>
    </row>
    <row r="452" customFormat="false" ht="15.75" hidden="false" customHeight="false" outlineLevel="0" collapsed="false">
      <c r="A452" s="120" t="e">
        <v>#NAME?</v>
      </c>
      <c r="B452" s="120" t="e">
        <v>#NAME?</v>
      </c>
      <c r="C452" s="240"/>
    </row>
    <row r="453" customFormat="false" ht="15.75" hidden="false" customHeight="false" outlineLevel="0" collapsed="false">
      <c r="A453" s="120" t="e">
        <v>#NAME?</v>
      </c>
      <c r="B453" s="120" t="e">
        <v>#NAME?</v>
      </c>
      <c r="C453" s="240"/>
    </row>
    <row r="454" customFormat="false" ht="15.75" hidden="false" customHeight="false" outlineLevel="0" collapsed="false">
      <c r="A454" s="120" t="e">
        <v>#NAME?</v>
      </c>
      <c r="B454" s="120" t="e">
        <v>#NAME?</v>
      </c>
      <c r="C454" s="240"/>
    </row>
    <row r="455" customFormat="false" ht="15.75" hidden="false" customHeight="false" outlineLevel="0" collapsed="false">
      <c r="A455" s="120" t="e">
        <v>#NAME?</v>
      </c>
      <c r="B455" s="120" t="e">
        <v>#NAME?</v>
      </c>
      <c r="C455" s="240"/>
    </row>
    <row r="456" customFormat="false" ht="15.75" hidden="false" customHeight="false" outlineLevel="0" collapsed="false">
      <c r="A456" s="120" t="e">
        <v>#NAME?</v>
      </c>
      <c r="B456" s="120" t="e">
        <v>#NAME?</v>
      </c>
      <c r="C456" s="240"/>
    </row>
    <row r="457" customFormat="false" ht="15.75" hidden="false" customHeight="false" outlineLevel="0" collapsed="false">
      <c r="A457" s="120" t="e">
        <v>#NAME?</v>
      </c>
      <c r="B457" s="120" t="e">
        <v>#NAME?</v>
      </c>
      <c r="C457" s="240"/>
    </row>
    <row r="458" customFormat="false" ht="15.75" hidden="false" customHeight="false" outlineLevel="0" collapsed="false">
      <c r="A458" s="120" t="e">
        <v>#NAME?</v>
      </c>
      <c r="B458" s="120" t="e">
        <v>#NAME?</v>
      </c>
      <c r="C458" s="240"/>
    </row>
    <row r="459" customFormat="false" ht="15.75" hidden="false" customHeight="false" outlineLevel="0" collapsed="false">
      <c r="A459" s="120" t="e">
        <v>#NAME?</v>
      </c>
      <c r="B459" s="120" t="e">
        <v>#NAME?</v>
      </c>
      <c r="C459" s="240"/>
    </row>
    <row r="460" customFormat="false" ht="15.75" hidden="false" customHeight="false" outlineLevel="0" collapsed="false">
      <c r="A460" s="120" t="e">
        <v>#NAME?</v>
      </c>
      <c r="B460" s="120" t="e">
        <v>#NAME?</v>
      </c>
      <c r="C460" s="240"/>
    </row>
    <row r="461" customFormat="false" ht="15.75" hidden="false" customHeight="false" outlineLevel="0" collapsed="false">
      <c r="A461" s="120" t="e">
        <v>#NAME?</v>
      </c>
      <c r="B461" s="120" t="e">
        <v>#NAME?</v>
      </c>
      <c r="C461" s="240"/>
    </row>
    <row r="462" customFormat="false" ht="15.75" hidden="false" customHeight="false" outlineLevel="0" collapsed="false">
      <c r="A462" s="120" t="e">
        <v>#NAME?</v>
      </c>
      <c r="B462" s="120" t="e">
        <v>#NAME?</v>
      </c>
      <c r="C462" s="240"/>
    </row>
    <row r="463" customFormat="false" ht="15.75" hidden="false" customHeight="false" outlineLevel="0" collapsed="false">
      <c r="A463" s="120" t="e">
        <v>#NAME?</v>
      </c>
      <c r="B463" s="120" t="e">
        <v>#NAME?</v>
      </c>
      <c r="C463" s="240"/>
    </row>
    <row r="464" customFormat="false" ht="15.75" hidden="false" customHeight="false" outlineLevel="0" collapsed="false">
      <c r="A464" s="120" t="e">
        <v>#NAME?</v>
      </c>
      <c r="B464" s="120" t="e">
        <v>#NAME?</v>
      </c>
      <c r="C464" s="240"/>
    </row>
    <row r="465" customFormat="false" ht="15.75" hidden="false" customHeight="false" outlineLevel="0" collapsed="false">
      <c r="A465" s="120" t="e">
        <v>#NAME?</v>
      </c>
      <c r="B465" s="120" t="e">
        <v>#NAME?</v>
      </c>
      <c r="C465" s="240"/>
    </row>
    <row r="466" customFormat="false" ht="15.75" hidden="false" customHeight="false" outlineLevel="0" collapsed="false">
      <c r="A466" s="120" t="e">
        <v>#NAME?</v>
      </c>
      <c r="B466" s="120" t="e">
        <v>#NAME?</v>
      </c>
      <c r="C466" s="240"/>
    </row>
    <row r="467" customFormat="false" ht="15.75" hidden="false" customHeight="false" outlineLevel="0" collapsed="false">
      <c r="A467" s="120" t="e">
        <v>#NAME?</v>
      </c>
      <c r="B467" s="120" t="e">
        <v>#NAME?</v>
      </c>
      <c r="C467" s="240"/>
    </row>
    <row r="468" customFormat="false" ht="15.75" hidden="false" customHeight="false" outlineLevel="0" collapsed="false">
      <c r="A468" s="120" t="e">
        <v>#NAME?</v>
      </c>
      <c r="B468" s="120" t="e">
        <v>#NAME?</v>
      </c>
      <c r="C468" s="240"/>
    </row>
    <row r="469" customFormat="false" ht="15.75" hidden="false" customHeight="false" outlineLevel="0" collapsed="false">
      <c r="A469" s="120" t="e">
        <v>#NAME?</v>
      </c>
      <c r="B469" s="120" t="e">
        <v>#NAME?</v>
      </c>
      <c r="C469" s="240"/>
    </row>
    <row r="470" customFormat="false" ht="15.75" hidden="false" customHeight="false" outlineLevel="0" collapsed="false">
      <c r="A470" s="120" t="e">
        <v>#NAME?</v>
      </c>
      <c r="B470" s="120" t="e">
        <v>#NAME?</v>
      </c>
      <c r="C470" s="240"/>
    </row>
    <row r="471" customFormat="false" ht="15.75" hidden="false" customHeight="false" outlineLevel="0" collapsed="false">
      <c r="A471" s="120" t="e">
        <v>#NAME?</v>
      </c>
      <c r="B471" s="120" t="e">
        <v>#NAME?</v>
      </c>
      <c r="C471" s="240"/>
    </row>
    <row r="472" customFormat="false" ht="15.75" hidden="false" customHeight="false" outlineLevel="0" collapsed="false">
      <c r="A472" s="120" t="e">
        <v>#NAME?</v>
      </c>
      <c r="B472" s="120" t="e">
        <v>#NAME?</v>
      </c>
      <c r="C472" s="240"/>
    </row>
    <row r="473" customFormat="false" ht="15.75" hidden="false" customHeight="false" outlineLevel="0" collapsed="false">
      <c r="A473" s="120" t="e">
        <v>#NAME?</v>
      </c>
      <c r="B473" s="120" t="e">
        <v>#NAME?</v>
      </c>
      <c r="C473" s="240"/>
    </row>
    <row r="474" customFormat="false" ht="15.75" hidden="false" customHeight="false" outlineLevel="0" collapsed="false">
      <c r="A474" s="120" t="e">
        <v>#NAME?</v>
      </c>
      <c r="B474" s="120" t="e">
        <v>#NAME?</v>
      </c>
      <c r="C474" s="240"/>
    </row>
    <row r="475" customFormat="false" ht="15.75" hidden="false" customHeight="false" outlineLevel="0" collapsed="false">
      <c r="A475" s="120" t="e">
        <v>#NAME?</v>
      </c>
      <c r="B475" s="120" t="e">
        <v>#NAME?</v>
      </c>
      <c r="C475" s="240"/>
    </row>
    <row r="476" customFormat="false" ht="15.75" hidden="false" customHeight="false" outlineLevel="0" collapsed="false">
      <c r="A476" s="120" t="e">
        <v>#NAME?</v>
      </c>
      <c r="B476" s="120" t="e">
        <v>#NAME?</v>
      </c>
      <c r="C476" s="240"/>
    </row>
    <row r="477" customFormat="false" ht="15.75" hidden="false" customHeight="false" outlineLevel="0" collapsed="false">
      <c r="A477" s="120" t="e">
        <v>#NAME?</v>
      </c>
      <c r="B477" s="120" t="e">
        <v>#NAME?</v>
      </c>
      <c r="C477" s="240"/>
    </row>
    <row r="478" customFormat="false" ht="15.75" hidden="false" customHeight="false" outlineLevel="0" collapsed="false">
      <c r="A478" s="120" t="e">
        <v>#NAME?</v>
      </c>
      <c r="B478" s="120" t="e">
        <v>#NAME?</v>
      </c>
      <c r="C478" s="240"/>
    </row>
    <row r="479" customFormat="false" ht="15.75" hidden="false" customHeight="false" outlineLevel="0" collapsed="false">
      <c r="A479" s="120" t="e">
        <v>#NAME?</v>
      </c>
      <c r="B479" s="120" t="e">
        <v>#NAME?</v>
      </c>
      <c r="C479" s="240"/>
    </row>
    <row r="480" customFormat="false" ht="15.75" hidden="false" customHeight="false" outlineLevel="0" collapsed="false">
      <c r="A480" s="120" t="e">
        <v>#NAME?</v>
      </c>
      <c r="B480" s="120" t="e">
        <v>#NAME?</v>
      </c>
      <c r="C480" s="240"/>
    </row>
    <row r="481" customFormat="false" ht="15.75" hidden="false" customHeight="false" outlineLevel="0" collapsed="false">
      <c r="A481" s="120" t="e">
        <v>#NAME?</v>
      </c>
      <c r="B481" s="120" t="e">
        <v>#NAME?</v>
      </c>
      <c r="C481" s="240"/>
    </row>
    <row r="482" customFormat="false" ht="15.75" hidden="false" customHeight="false" outlineLevel="0" collapsed="false">
      <c r="A482" s="120" t="e">
        <v>#NAME?</v>
      </c>
      <c r="B482" s="120" t="e">
        <v>#NAME?</v>
      </c>
      <c r="C482" s="240"/>
    </row>
    <row r="483" customFormat="false" ht="15.75" hidden="false" customHeight="false" outlineLevel="0" collapsed="false">
      <c r="A483" s="120" t="e">
        <v>#NAME?</v>
      </c>
      <c r="B483" s="120" t="e">
        <v>#NAME?</v>
      </c>
      <c r="C483" s="240"/>
    </row>
    <row r="484" customFormat="false" ht="15.75" hidden="false" customHeight="false" outlineLevel="0" collapsed="false">
      <c r="A484" s="120" t="e">
        <v>#NAME?</v>
      </c>
      <c r="B484" s="120" t="e">
        <v>#NAME?</v>
      </c>
      <c r="C484" s="240"/>
    </row>
    <row r="485" customFormat="false" ht="15.75" hidden="false" customHeight="false" outlineLevel="0" collapsed="false">
      <c r="A485" s="120" t="e">
        <v>#NAME?</v>
      </c>
      <c r="B485" s="120" t="e">
        <v>#NAME?</v>
      </c>
      <c r="C485" s="240"/>
    </row>
    <row r="486" customFormat="false" ht="15.75" hidden="false" customHeight="false" outlineLevel="0" collapsed="false">
      <c r="A486" s="120" t="e">
        <v>#NAME?</v>
      </c>
      <c r="B486" s="120" t="e">
        <v>#NAME?</v>
      </c>
      <c r="C486" s="240"/>
    </row>
    <row r="487" customFormat="false" ht="15.75" hidden="false" customHeight="false" outlineLevel="0" collapsed="false">
      <c r="A487" s="120" t="e">
        <v>#NAME?</v>
      </c>
      <c r="B487" s="120" t="e">
        <v>#NAME?</v>
      </c>
      <c r="C487" s="240"/>
    </row>
    <row r="488" customFormat="false" ht="15.75" hidden="false" customHeight="false" outlineLevel="0" collapsed="false">
      <c r="A488" s="120" t="e">
        <v>#NAME?</v>
      </c>
      <c r="B488" s="120" t="e">
        <v>#NAME?</v>
      </c>
      <c r="C488" s="240"/>
    </row>
    <row r="489" customFormat="false" ht="15.75" hidden="false" customHeight="false" outlineLevel="0" collapsed="false">
      <c r="A489" s="120" t="e">
        <v>#NAME?</v>
      </c>
      <c r="B489" s="120" t="e">
        <v>#NAME?</v>
      </c>
      <c r="C489" s="240"/>
    </row>
    <row r="490" customFormat="false" ht="15.75" hidden="false" customHeight="false" outlineLevel="0" collapsed="false">
      <c r="A490" s="120" t="e">
        <v>#NAME?</v>
      </c>
      <c r="B490" s="120" t="e">
        <v>#NAME?</v>
      </c>
      <c r="C490" s="240"/>
    </row>
    <row r="491" customFormat="false" ht="15.75" hidden="false" customHeight="false" outlineLevel="0" collapsed="false">
      <c r="A491" s="120" t="e">
        <v>#NAME?</v>
      </c>
      <c r="B491" s="120" t="e">
        <v>#NAME?</v>
      </c>
      <c r="C491" s="240"/>
    </row>
    <row r="492" customFormat="false" ht="15.75" hidden="false" customHeight="false" outlineLevel="0" collapsed="false">
      <c r="A492" s="120" t="e">
        <v>#NAME?</v>
      </c>
      <c r="B492" s="120" t="e">
        <v>#NAME?</v>
      </c>
      <c r="C492" s="240"/>
    </row>
    <row r="493" customFormat="false" ht="15.75" hidden="false" customHeight="false" outlineLevel="0" collapsed="false">
      <c r="A493" s="120" t="e">
        <v>#NAME?</v>
      </c>
      <c r="B493" s="120" t="e">
        <v>#NAME?</v>
      </c>
      <c r="C493" s="240"/>
    </row>
    <row r="494" customFormat="false" ht="15.75" hidden="false" customHeight="false" outlineLevel="0" collapsed="false">
      <c r="A494" s="120" t="e">
        <v>#NAME?</v>
      </c>
      <c r="B494" s="120" t="e">
        <v>#NAME?</v>
      </c>
      <c r="C494" s="240"/>
    </row>
    <row r="495" customFormat="false" ht="15.75" hidden="false" customHeight="false" outlineLevel="0" collapsed="false">
      <c r="A495" s="120" t="e">
        <v>#NAME?</v>
      </c>
      <c r="B495" s="120" t="e">
        <v>#NAME?</v>
      </c>
      <c r="C495" s="240"/>
    </row>
    <row r="496" customFormat="false" ht="15.75" hidden="false" customHeight="false" outlineLevel="0" collapsed="false">
      <c r="A496" s="120" t="e">
        <v>#NAME?</v>
      </c>
      <c r="B496" s="120" t="e">
        <v>#NAME?</v>
      </c>
      <c r="C496" s="240"/>
    </row>
    <row r="497" customFormat="false" ht="15.75" hidden="false" customHeight="false" outlineLevel="0" collapsed="false">
      <c r="A497" s="120" t="e">
        <v>#NAME?</v>
      </c>
      <c r="B497" s="120" t="e">
        <v>#NAME?</v>
      </c>
      <c r="C497" s="240"/>
    </row>
    <row r="498" customFormat="false" ht="15.75" hidden="false" customHeight="false" outlineLevel="0" collapsed="false">
      <c r="A498" s="120" t="e">
        <v>#NAME?</v>
      </c>
      <c r="B498" s="120" t="e">
        <v>#NAME?</v>
      </c>
      <c r="C498" s="240"/>
    </row>
    <row r="499" customFormat="false" ht="15.75" hidden="false" customHeight="false" outlineLevel="0" collapsed="false">
      <c r="A499" s="120" t="e">
        <v>#NAME?</v>
      </c>
      <c r="B499" s="120" t="e">
        <v>#NAME?</v>
      </c>
      <c r="C499" s="240"/>
    </row>
    <row r="500" customFormat="false" ht="15.75" hidden="false" customHeight="false" outlineLevel="0" collapsed="false">
      <c r="A500" s="120" t="e">
        <v>#NAME?</v>
      </c>
      <c r="B500" s="120" t="e">
        <v>#NAME?</v>
      </c>
      <c r="C500" s="240"/>
    </row>
    <row r="501" customFormat="false" ht="15.75" hidden="false" customHeight="false" outlineLevel="0" collapsed="false">
      <c r="A501" s="120" t="e">
        <v>#NAME?</v>
      </c>
      <c r="B501" s="120" t="e">
        <v>#NAME?</v>
      </c>
      <c r="C501" s="240"/>
    </row>
    <row r="502" customFormat="false" ht="15.75" hidden="false" customHeight="false" outlineLevel="0" collapsed="false">
      <c r="A502" s="120" t="e">
        <v>#NAME?</v>
      </c>
      <c r="B502" s="120" t="e">
        <v>#NAME?</v>
      </c>
      <c r="C502" s="240"/>
    </row>
    <row r="503" customFormat="false" ht="15.75" hidden="false" customHeight="false" outlineLevel="0" collapsed="false">
      <c r="A503" s="120" t="e">
        <v>#NAME?</v>
      </c>
      <c r="B503" s="120" t="e">
        <v>#NAME?</v>
      </c>
      <c r="C503" s="240"/>
    </row>
    <row r="504" customFormat="false" ht="15.75" hidden="false" customHeight="false" outlineLevel="0" collapsed="false">
      <c r="A504" s="120" t="e">
        <v>#NAME?</v>
      </c>
      <c r="B504" s="120" t="e">
        <v>#NAME?</v>
      </c>
      <c r="C504" s="240"/>
    </row>
    <row r="505" customFormat="false" ht="15.75" hidden="false" customHeight="false" outlineLevel="0" collapsed="false">
      <c r="A505" s="120" t="e">
        <v>#NAME?</v>
      </c>
      <c r="B505" s="120" t="e">
        <v>#NAME?</v>
      </c>
      <c r="C505" s="240"/>
    </row>
    <row r="506" customFormat="false" ht="15.75" hidden="false" customHeight="false" outlineLevel="0" collapsed="false">
      <c r="A506" s="120" t="e">
        <v>#NAME?</v>
      </c>
      <c r="B506" s="120" t="e">
        <v>#NAME?</v>
      </c>
      <c r="C506" s="240"/>
    </row>
    <row r="507" customFormat="false" ht="15.75" hidden="false" customHeight="false" outlineLevel="0" collapsed="false">
      <c r="A507" s="120" t="e">
        <v>#NAME?</v>
      </c>
      <c r="B507" s="120" t="e">
        <v>#NAME?</v>
      </c>
      <c r="C507" s="240"/>
    </row>
    <row r="508" customFormat="false" ht="15.75" hidden="false" customHeight="false" outlineLevel="0" collapsed="false">
      <c r="A508" s="120" t="e">
        <v>#NAME?</v>
      </c>
      <c r="B508" s="120" t="e">
        <v>#NAME?</v>
      </c>
      <c r="C508" s="240"/>
    </row>
    <row r="509" customFormat="false" ht="15.75" hidden="false" customHeight="false" outlineLevel="0" collapsed="false">
      <c r="A509" s="120" t="e">
        <v>#NAME?</v>
      </c>
      <c r="B509" s="120" t="e">
        <v>#NAME?</v>
      </c>
      <c r="C509" s="240"/>
    </row>
    <row r="510" customFormat="false" ht="15.75" hidden="false" customHeight="false" outlineLevel="0" collapsed="false">
      <c r="A510" s="120" t="e">
        <v>#NAME?</v>
      </c>
      <c r="B510" s="120" t="e">
        <v>#NAME?</v>
      </c>
      <c r="C510" s="240"/>
    </row>
    <row r="511" customFormat="false" ht="15.75" hidden="false" customHeight="false" outlineLevel="0" collapsed="false">
      <c r="A511" s="120" t="e">
        <v>#NAME?</v>
      </c>
      <c r="B511" s="120" t="e">
        <v>#NAME?</v>
      </c>
      <c r="C511" s="240"/>
    </row>
    <row r="512" customFormat="false" ht="15.75" hidden="false" customHeight="false" outlineLevel="0" collapsed="false">
      <c r="A512" s="120" t="e">
        <v>#NAME?</v>
      </c>
      <c r="B512" s="120" t="e">
        <v>#NAME?</v>
      </c>
      <c r="C512" s="240"/>
    </row>
    <row r="513" customFormat="false" ht="15.75" hidden="false" customHeight="false" outlineLevel="0" collapsed="false">
      <c r="A513" s="120" t="e">
        <v>#NAME?</v>
      </c>
      <c r="B513" s="120" t="e">
        <v>#NAME?</v>
      </c>
      <c r="C513" s="240"/>
    </row>
    <row r="514" customFormat="false" ht="15.75" hidden="false" customHeight="false" outlineLevel="0" collapsed="false">
      <c r="A514" s="120" t="e">
        <v>#NAME?</v>
      </c>
      <c r="B514" s="120" t="e">
        <v>#NAME?</v>
      </c>
      <c r="C514" s="240"/>
    </row>
    <row r="515" customFormat="false" ht="15.75" hidden="false" customHeight="false" outlineLevel="0" collapsed="false">
      <c r="A515" s="120" t="e">
        <v>#NAME?</v>
      </c>
      <c r="B515" s="120" t="e">
        <v>#NAME?</v>
      </c>
      <c r="C515" s="240"/>
    </row>
    <row r="516" customFormat="false" ht="15.75" hidden="false" customHeight="false" outlineLevel="0" collapsed="false">
      <c r="A516" s="120" t="e">
        <v>#NAME?</v>
      </c>
      <c r="B516" s="120" t="e">
        <v>#NAME?</v>
      </c>
      <c r="C516" s="240"/>
    </row>
    <row r="517" customFormat="false" ht="15.75" hidden="false" customHeight="false" outlineLevel="0" collapsed="false">
      <c r="A517" s="120" t="e">
        <v>#NAME?</v>
      </c>
      <c r="B517" s="120" t="e">
        <v>#NAME?</v>
      </c>
      <c r="C517" s="240"/>
    </row>
    <row r="518" customFormat="false" ht="15.75" hidden="false" customHeight="false" outlineLevel="0" collapsed="false">
      <c r="A518" s="120" t="e">
        <v>#NAME?</v>
      </c>
      <c r="B518" s="120" t="e">
        <v>#NAME?</v>
      </c>
      <c r="C518" s="240"/>
    </row>
    <row r="519" customFormat="false" ht="15.75" hidden="false" customHeight="false" outlineLevel="0" collapsed="false">
      <c r="A519" s="120" t="e">
        <v>#NAME?</v>
      </c>
      <c r="B519" s="120" t="e">
        <v>#NAME?</v>
      </c>
      <c r="C519" s="240"/>
    </row>
    <row r="520" customFormat="false" ht="15.75" hidden="false" customHeight="false" outlineLevel="0" collapsed="false">
      <c r="A520" s="120" t="e">
        <v>#NAME?</v>
      </c>
      <c r="B520" s="120" t="e">
        <v>#NAME?</v>
      </c>
      <c r="C520" s="240"/>
    </row>
    <row r="521" customFormat="false" ht="15.75" hidden="false" customHeight="false" outlineLevel="0" collapsed="false">
      <c r="A521" s="120" t="e">
        <v>#NAME?</v>
      </c>
      <c r="B521" s="120" t="e">
        <v>#NAME?</v>
      </c>
      <c r="C521" s="240"/>
    </row>
    <row r="522" customFormat="false" ht="15.75" hidden="false" customHeight="false" outlineLevel="0" collapsed="false">
      <c r="A522" s="120" t="e">
        <v>#NAME?</v>
      </c>
      <c r="B522" s="120" t="e">
        <v>#NAME?</v>
      </c>
      <c r="C522" s="240"/>
    </row>
    <row r="523" customFormat="false" ht="15.75" hidden="false" customHeight="false" outlineLevel="0" collapsed="false">
      <c r="A523" s="120" t="e">
        <v>#NAME?</v>
      </c>
      <c r="B523" s="120" t="e">
        <v>#NAME?</v>
      </c>
      <c r="C523" s="240"/>
    </row>
    <row r="524" customFormat="false" ht="15.75" hidden="false" customHeight="false" outlineLevel="0" collapsed="false">
      <c r="A524" s="120" t="e">
        <v>#NAME?</v>
      </c>
      <c r="B524" s="120" t="e">
        <v>#NAME?</v>
      </c>
      <c r="C524" s="240"/>
    </row>
    <row r="525" customFormat="false" ht="15.75" hidden="false" customHeight="false" outlineLevel="0" collapsed="false">
      <c r="A525" s="120" t="e">
        <v>#NAME?</v>
      </c>
      <c r="B525" s="120" t="e">
        <v>#NAME?</v>
      </c>
      <c r="C525" s="240"/>
    </row>
    <row r="526" customFormat="false" ht="15.75" hidden="false" customHeight="false" outlineLevel="0" collapsed="false">
      <c r="A526" s="120" t="e">
        <v>#NAME?</v>
      </c>
      <c r="B526" s="120" t="e">
        <v>#NAME?</v>
      </c>
      <c r="C526" s="240"/>
    </row>
    <row r="527" customFormat="false" ht="15.75" hidden="false" customHeight="false" outlineLevel="0" collapsed="false">
      <c r="A527" s="120" t="e">
        <v>#NAME?</v>
      </c>
      <c r="B527" s="120" t="e">
        <v>#NAME?</v>
      </c>
      <c r="C527" s="240"/>
    </row>
    <row r="528" customFormat="false" ht="15.75" hidden="false" customHeight="false" outlineLevel="0" collapsed="false">
      <c r="A528" s="120" t="e">
        <v>#NAME?</v>
      </c>
      <c r="B528" s="120" t="e">
        <v>#NAME?</v>
      </c>
      <c r="C528" s="240"/>
    </row>
    <row r="529" customFormat="false" ht="15.75" hidden="false" customHeight="false" outlineLevel="0" collapsed="false">
      <c r="A529" s="120" t="e">
        <v>#NAME?</v>
      </c>
      <c r="B529" s="120" t="e">
        <v>#NAME?</v>
      </c>
      <c r="C529" s="240"/>
    </row>
    <row r="530" customFormat="false" ht="15.75" hidden="false" customHeight="false" outlineLevel="0" collapsed="false">
      <c r="A530" s="120" t="e">
        <v>#NAME?</v>
      </c>
      <c r="B530" s="120" t="e">
        <v>#NAME?</v>
      </c>
      <c r="C530" s="240"/>
    </row>
    <row r="531" customFormat="false" ht="15.75" hidden="false" customHeight="false" outlineLevel="0" collapsed="false">
      <c r="A531" s="120" t="e">
        <v>#NAME?</v>
      </c>
      <c r="B531" s="120" t="e">
        <v>#NAME?</v>
      </c>
      <c r="C531" s="240"/>
    </row>
    <row r="532" customFormat="false" ht="15.75" hidden="false" customHeight="false" outlineLevel="0" collapsed="false">
      <c r="A532" s="120" t="e">
        <v>#NAME?</v>
      </c>
      <c r="B532" s="120" t="e">
        <v>#NAME?</v>
      </c>
      <c r="C532" s="240"/>
    </row>
    <row r="533" customFormat="false" ht="15.75" hidden="false" customHeight="false" outlineLevel="0" collapsed="false">
      <c r="A533" s="120" t="e">
        <v>#NAME?</v>
      </c>
      <c r="B533" s="120" t="e">
        <v>#NAME?</v>
      </c>
      <c r="C533" s="240"/>
    </row>
    <row r="534" customFormat="false" ht="15.75" hidden="false" customHeight="false" outlineLevel="0" collapsed="false">
      <c r="A534" s="120" t="e">
        <v>#NAME?</v>
      </c>
      <c r="B534" s="120" t="e">
        <v>#NAME?</v>
      </c>
      <c r="C534" s="240"/>
    </row>
    <row r="535" customFormat="false" ht="15.75" hidden="false" customHeight="false" outlineLevel="0" collapsed="false">
      <c r="A535" s="120" t="e">
        <v>#NAME?</v>
      </c>
      <c r="B535" s="120" t="e">
        <v>#NAME?</v>
      </c>
      <c r="C535" s="240"/>
    </row>
    <row r="536" customFormat="false" ht="15.75" hidden="false" customHeight="false" outlineLevel="0" collapsed="false">
      <c r="A536" s="120" t="e">
        <v>#NAME?</v>
      </c>
      <c r="B536" s="120" t="e">
        <v>#NAME?</v>
      </c>
      <c r="C536" s="240"/>
    </row>
    <row r="537" customFormat="false" ht="15.75" hidden="false" customHeight="false" outlineLevel="0" collapsed="false">
      <c r="A537" s="120" t="e">
        <v>#NAME?</v>
      </c>
      <c r="B537" s="120" t="e">
        <v>#NAME?</v>
      </c>
      <c r="C537" s="240"/>
    </row>
    <row r="538" customFormat="false" ht="15.75" hidden="false" customHeight="false" outlineLevel="0" collapsed="false">
      <c r="A538" s="120" t="e">
        <v>#NAME?</v>
      </c>
      <c r="B538" s="120" t="e">
        <v>#NAME?</v>
      </c>
      <c r="C538" s="240"/>
    </row>
    <row r="539" customFormat="false" ht="15.75" hidden="false" customHeight="false" outlineLevel="0" collapsed="false">
      <c r="A539" s="120" t="e">
        <v>#NAME?</v>
      </c>
      <c r="B539" s="120" t="e">
        <v>#NAME?</v>
      </c>
      <c r="C539" s="240"/>
    </row>
    <row r="540" customFormat="false" ht="15.75" hidden="false" customHeight="false" outlineLevel="0" collapsed="false">
      <c r="A540" s="120" t="e">
        <v>#NAME?</v>
      </c>
      <c r="B540" s="120" t="e">
        <v>#NAME?</v>
      </c>
      <c r="C540" s="240"/>
    </row>
    <row r="541" customFormat="false" ht="15.75" hidden="false" customHeight="false" outlineLevel="0" collapsed="false">
      <c r="A541" s="120" t="e">
        <v>#NAME?</v>
      </c>
      <c r="B541" s="120" t="e">
        <v>#NAME?</v>
      </c>
      <c r="C541" s="240"/>
    </row>
    <row r="542" customFormat="false" ht="15.75" hidden="false" customHeight="false" outlineLevel="0" collapsed="false">
      <c r="A542" s="120" t="e">
        <v>#NAME?</v>
      </c>
      <c r="B542" s="120" t="e">
        <v>#NAME?</v>
      </c>
      <c r="C542" s="240"/>
    </row>
    <row r="543" customFormat="false" ht="15.75" hidden="false" customHeight="false" outlineLevel="0" collapsed="false">
      <c r="A543" s="120" t="e">
        <v>#NAME?</v>
      </c>
      <c r="B543" s="120" t="e">
        <v>#NAME?</v>
      </c>
      <c r="C543" s="240"/>
    </row>
    <row r="544" customFormat="false" ht="15.75" hidden="false" customHeight="false" outlineLevel="0" collapsed="false">
      <c r="A544" s="120" t="e">
        <v>#NAME?</v>
      </c>
      <c r="B544" s="120" t="e">
        <v>#NAME?</v>
      </c>
      <c r="C544" s="240"/>
    </row>
    <row r="545" customFormat="false" ht="15.75" hidden="false" customHeight="false" outlineLevel="0" collapsed="false">
      <c r="A545" s="120" t="e">
        <v>#NAME?</v>
      </c>
      <c r="B545" s="120" t="e">
        <v>#NAME?</v>
      </c>
      <c r="C545" s="240"/>
    </row>
    <row r="546" customFormat="false" ht="15.75" hidden="false" customHeight="false" outlineLevel="0" collapsed="false">
      <c r="A546" s="120" t="e">
        <v>#NAME?</v>
      </c>
      <c r="B546" s="120" t="e">
        <v>#NAME?</v>
      </c>
      <c r="C546" s="240"/>
    </row>
    <row r="547" customFormat="false" ht="15.75" hidden="false" customHeight="false" outlineLevel="0" collapsed="false">
      <c r="A547" s="120" t="e">
        <v>#NAME?</v>
      </c>
      <c r="B547" s="120" t="e">
        <v>#NAME?</v>
      </c>
      <c r="C547" s="240"/>
    </row>
    <row r="548" customFormat="false" ht="15.75" hidden="false" customHeight="false" outlineLevel="0" collapsed="false">
      <c r="A548" s="120" t="e">
        <v>#NAME?</v>
      </c>
      <c r="B548" s="120" t="e">
        <v>#NAME?</v>
      </c>
      <c r="C548" s="240"/>
    </row>
    <row r="549" customFormat="false" ht="15.75" hidden="false" customHeight="false" outlineLevel="0" collapsed="false">
      <c r="A549" s="120" t="e">
        <v>#NAME?</v>
      </c>
      <c r="B549" s="120" t="e">
        <v>#NAME?</v>
      </c>
      <c r="C549" s="240"/>
    </row>
    <row r="550" customFormat="false" ht="15.75" hidden="false" customHeight="false" outlineLevel="0" collapsed="false">
      <c r="A550" s="120" t="e">
        <v>#NAME?</v>
      </c>
      <c r="B550" s="120" t="e">
        <v>#NAME?</v>
      </c>
      <c r="C550" s="240"/>
    </row>
    <row r="551" customFormat="false" ht="15.75" hidden="false" customHeight="false" outlineLevel="0" collapsed="false">
      <c r="A551" s="120" t="e">
        <v>#NAME?</v>
      </c>
      <c r="B551" s="120" t="e">
        <v>#NAME?</v>
      </c>
      <c r="C551" s="240"/>
    </row>
    <row r="552" customFormat="false" ht="15.75" hidden="false" customHeight="false" outlineLevel="0" collapsed="false">
      <c r="A552" s="120" t="e">
        <v>#NAME?</v>
      </c>
      <c r="B552" s="120" t="e">
        <v>#NAME?</v>
      </c>
      <c r="C552" s="240"/>
    </row>
    <row r="553" customFormat="false" ht="15.75" hidden="false" customHeight="false" outlineLevel="0" collapsed="false">
      <c r="A553" s="120" t="e">
        <v>#NAME?</v>
      </c>
      <c r="B553" s="120" t="e">
        <v>#NAME?</v>
      </c>
      <c r="C553" s="240"/>
    </row>
    <row r="554" customFormat="false" ht="15.75" hidden="false" customHeight="false" outlineLevel="0" collapsed="false">
      <c r="A554" s="120" t="e">
        <v>#NAME?</v>
      </c>
      <c r="B554" s="120" t="e">
        <v>#NAME?</v>
      </c>
      <c r="C554" s="240"/>
    </row>
    <row r="555" customFormat="false" ht="15.75" hidden="false" customHeight="false" outlineLevel="0" collapsed="false">
      <c r="A555" s="120" t="e">
        <v>#NAME?</v>
      </c>
      <c r="B555" s="120" t="e">
        <v>#NAME?</v>
      </c>
      <c r="C555" s="240"/>
    </row>
    <row r="556" customFormat="false" ht="15.75" hidden="false" customHeight="false" outlineLevel="0" collapsed="false">
      <c r="A556" s="120" t="e">
        <v>#NAME?</v>
      </c>
      <c r="B556" s="120" t="e">
        <v>#NAME?</v>
      </c>
      <c r="C556" s="240"/>
    </row>
    <row r="557" customFormat="false" ht="15.75" hidden="false" customHeight="false" outlineLevel="0" collapsed="false">
      <c r="A557" s="120" t="e">
        <v>#NAME?</v>
      </c>
      <c r="B557" s="120" t="e">
        <v>#NAME?</v>
      </c>
      <c r="C557" s="240"/>
    </row>
    <row r="558" customFormat="false" ht="15.75" hidden="false" customHeight="false" outlineLevel="0" collapsed="false">
      <c r="A558" s="120" t="e">
        <v>#NAME?</v>
      </c>
      <c r="B558" s="120" t="e">
        <v>#NAME?</v>
      </c>
      <c r="C558" s="240"/>
    </row>
    <row r="559" customFormat="false" ht="15.75" hidden="false" customHeight="false" outlineLevel="0" collapsed="false">
      <c r="A559" s="120" t="e">
        <v>#NAME?</v>
      </c>
      <c r="B559" s="120" t="e">
        <v>#NAME?</v>
      </c>
      <c r="C559" s="240"/>
    </row>
    <row r="560" customFormat="false" ht="15.75" hidden="false" customHeight="false" outlineLevel="0" collapsed="false">
      <c r="A560" s="120" t="e">
        <v>#NAME?</v>
      </c>
      <c r="B560" s="120" t="e">
        <v>#NAME?</v>
      </c>
      <c r="C560" s="240"/>
    </row>
    <row r="561" customFormat="false" ht="15.75" hidden="false" customHeight="false" outlineLevel="0" collapsed="false">
      <c r="A561" s="120" t="e">
        <v>#NAME?</v>
      </c>
      <c r="B561" s="120" t="e">
        <v>#NAME?</v>
      </c>
      <c r="C561" s="240"/>
    </row>
    <row r="562" customFormat="false" ht="15.75" hidden="false" customHeight="false" outlineLevel="0" collapsed="false">
      <c r="A562" s="120" t="e">
        <v>#NAME?</v>
      </c>
      <c r="B562" s="120" t="e">
        <v>#NAME?</v>
      </c>
      <c r="C562" s="240"/>
    </row>
    <row r="563" customFormat="false" ht="15.75" hidden="false" customHeight="false" outlineLevel="0" collapsed="false">
      <c r="A563" s="120" t="e">
        <v>#NAME?</v>
      </c>
      <c r="B563" s="120" t="e">
        <v>#NAME?</v>
      </c>
      <c r="C563" s="240"/>
    </row>
    <row r="564" customFormat="false" ht="15.75" hidden="false" customHeight="false" outlineLevel="0" collapsed="false">
      <c r="A564" s="120" t="e">
        <v>#NAME?</v>
      </c>
      <c r="B564" s="120" t="e">
        <v>#NAME?</v>
      </c>
      <c r="C564" s="240"/>
    </row>
    <row r="565" customFormat="false" ht="15.75" hidden="false" customHeight="false" outlineLevel="0" collapsed="false">
      <c r="A565" s="120" t="e">
        <v>#NAME?</v>
      </c>
      <c r="B565" s="120" t="e">
        <v>#NAME?</v>
      </c>
      <c r="C565" s="240"/>
    </row>
    <row r="566" customFormat="false" ht="15.75" hidden="false" customHeight="false" outlineLevel="0" collapsed="false">
      <c r="A566" s="120" t="e">
        <v>#NAME?</v>
      </c>
      <c r="B566" s="120" t="e">
        <v>#NAME?</v>
      </c>
      <c r="C566" s="240"/>
    </row>
    <row r="567" customFormat="false" ht="15.75" hidden="false" customHeight="false" outlineLevel="0" collapsed="false">
      <c r="A567" s="120" t="e">
        <v>#NAME?</v>
      </c>
      <c r="B567" s="120" t="e">
        <v>#NAME?</v>
      </c>
      <c r="C567" s="240"/>
    </row>
    <row r="568" customFormat="false" ht="15.75" hidden="false" customHeight="false" outlineLevel="0" collapsed="false">
      <c r="A568" s="120" t="e">
        <v>#NAME?</v>
      </c>
      <c r="B568" s="120" t="e">
        <v>#NAME?</v>
      </c>
      <c r="C568" s="240"/>
    </row>
    <row r="569" customFormat="false" ht="15.75" hidden="false" customHeight="false" outlineLevel="0" collapsed="false">
      <c r="A569" s="120" t="e">
        <v>#NAME?</v>
      </c>
      <c r="B569" s="120" t="e">
        <v>#NAME?</v>
      </c>
      <c r="C569" s="240"/>
    </row>
    <row r="570" customFormat="false" ht="15.75" hidden="false" customHeight="false" outlineLevel="0" collapsed="false">
      <c r="A570" s="120" t="e">
        <v>#NAME?</v>
      </c>
      <c r="B570" s="120" t="e">
        <v>#NAME?</v>
      </c>
      <c r="C570" s="240"/>
    </row>
    <row r="571" customFormat="false" ht="15.75" hidden="false" customHeight="false" outlineLevel="0" collapsed="false">
      <c r="A571" s="120" t="e">
        <v>#NAME?</v>
      </c>
      <c r="B571" s="120" t="e">
        <v>#NAME?</v>
      </c>
      <c r="C571" s="240"/>
    </row>
    <row r="572" customFormat="false" ht="15.75" hidden="false" customHeight="false" outlineLevel="0" collapsed="false">
      <c r="A572" s="120" t="e">
        <v>#NAME?</v>
      </c>
      <c r="B572" s="120" t="e">
        <v>#NAME?</v>
      </c>
      <c r="C572" s="240"/>
    </row>
    <row r="573" customFormat="false" ht="15.75" hidden="false" customHeight="false" outlineLevel="0" collapsed="false">
      <c r="A573" s="120" t="e">
        <v>#NAME?</v>
      </c>
      <c r="B573" s="120" t="e">
        <v>#NAME?</v>
      </c>
      <c r="C573" s="240"/>
    </row>
    <row r="574" customFormat="false" ht="15.75" hidden="false" customHeight="false" outlineLevel="0" collapsed="false">
      <c r="A574" s="120" t="e">
        <v>#NAME?</v>
      </c>
      <c r="B574" s="120" t="e">
        <v>#NAME?</v>
      </c>
      <c r="C574" s="240"/>
    </row>
    <row r="575" customFormat="false" ht="15.75" hidden="false" customHeight="false" outlineLevel="0" collapsed="false">
      <c r="A575" s="120" t="e">
        <v>#NAME?</v>
      </c>
      <c r="B575" s="120" t="e">
        <v>#NAME?</v>
      </c>
      <c r="C575" s="240"/>
    </row>
    <row r="576" customFormat="false" ht="15.75" hidden="false" customHeight="false" outlineLevel="0" collapsed="false">
      <c r="A576" s="120" t="e">
        <v>#NAME?</v>
      </c>
      <c r="B576" s="120" t="e">
        <v>#NAME?</v>
      </c>
      <c r="C576" s="240"/>
    </row>
    <row r="577" customFormat="false" ht="15.75" hidden="false" customHeight="false" outlineLevel="0" collapsed="false">
      <c r="A577" s="120" t="e">
        <v>#NAME?</v>
      </c>
      <c r="B577" s="120" t="e">
        <v>#NAME?</v>
      </c>
      <c r="C577" s="240"/>
    </row>
    <row r="578" customFormat="false" ht="15.75" hidden="false" customHeight="false" outlineLevel="0" collapsed="false">
      <c r="A578" s="120" t="e">
        <v>#NAME?</v>
      </c>
      <c r="B578" s="120" t="e">
        <v>#NAME?</v>
      </c>
      <c r="C578" s="240"/>
    </row>
    <row r="579" customFormat="false" ht="15.75" hidden="false" customHeight="false" outlineLevel="0" collapsed="false">
      <c r="A579" s="120" t="e">
        <v>#NAME?</v>
      </c>
      <c r="B579" s="120" t="e">
        <v>#NAME?</v>
      </c>
      <c r="C579" s="240"/>
    </row>
    <row r="580" customFormat="false" ht="15.75" hidden="false" customHeight="false" outlineLevel="0" collapsed="false">
      <c r="A580" s="120" t="e">
        <v>#NAME?</v>
      </c>
      <c r="B580" s="120" t="e">
        <v>#NAME?</v>
      </c>
      <c r="C580" s="240"/>
    </row>
    <row r="581" customFormat="false" ht="15.75" hidden="false" customHeight="false" outlineLevel="0" collapsed="false">
      <c r="A581" s="120" t="e">
        <v>#NAME?</v>
      </c>
      <c r="B581" s="120" t="e">
        <v>#NAME?</v>
      </c>
      <c r="C581" s="240"/>
    </row>
    <row r="582" customFormat="false" ht="15.75" hidden="false" customHeight="false" outlineLevel="0" collapsed="false">
      <c r="A582" s="120" t="e">
        <v>#NAME?</v>
      </c>
      <c r="B582" s="120" t="e">
        <v>#NAME?</v>
      </c>
      <c r="C582" s="240"/>
    </row>
    <row r="583" customFormat="false" ht="15.75" hidden="false" customHeight="false" outlineLevel="0" collapsed="false">
      <c r="A583" s="120" t="e">
        <v>#NAME?</v>
      </c>
      <c r="B583" s="120" t="e">
        <v>#NAME?</v>
      </c>
      <c r="C583" s="240"/>
    </row>
    <row r="584" customFormat="false" ht="15.75" hidden="false" customHeight="false" outlineLevel="0" collapsed="false">
      <c r="A584" s="120" t="e">
        <v>#NAME?</v>
      </c>
      <c r="B584" s="120" t="e">
        <v>#NAME?</v>
      </c>
      <c r="C584" s="240"/>
    </row>
    <row r="585" customFormat="false" ht="15.75" hidden="false" customHeight="false" outlineLevel="0" collapsed="false">
      <c r="A585" s="120" t="e">
        <v>#NAME?</v>
      </c>
      <c r="B585" s="120" t="e">
        <v>#NAME?</v>
      </c>
      <c r="C585" s="240"/>
    </row>
    <row r="586" customFormat="false" ht="15.75" hidden="false" customHeight="false" outlineLevel="0" collapsed="false">
      <c r="A586" s="120" t="e">
        <v>#NAME?</v>
      </c>
      <c r="B586" s="120" t="e">
        <v>#NAME?</v>
      </c>
      <c r="C586" s="240"/>
    </row>
    <row r="587" customFormat="false" ht="15.75" hidden="false" customHeight="false" outlineLevel="0" collapsed="false">
      <c r="A587" s="120" t="e">
        <v>#NAME?</v>
      </c>
      <c r="B587" s="120" t="e">
        <v>#NAME?</v>
      </c>
      <c r="C587" s="240"/>
    </row>
    <row r="588" customFormat="false" ht="15.75" hidden="false" customHeight="false" outlineLevel="0" collapsed="false">
      <c r="A588" s="120" t="e">
        <v>#NAME?</v>
      </c>
      <c r="B588" s="120" t="e">
        <v>#NAME?</v>
      </c>
      <c r="C588" s="240"/>
    </row>
    <row r="589" customFormat="false" ht="15.75" hidden="false" customHeight="false" outlineLevel="0" collapsed="false">
      <c r="A589" s="120" t="e">
        <v>#NAME?</v>
      </c>
      <c r="B589" s="120" t="e">
        <v>#NAME?</v>
      </c>
      <c r="C589" s="240"/>
    </row>
    <row r="590" customFormat="false" ht="15.75" hidden="false" customHeight="false" outlineLevel="0" collapsed="false">
      <c r="A590" s="120" t="e">
        <v>#NAME?</v>
      </c>
      <c r="B590" s="120" t="e">
        <v>#NAME?</v>
      </c>
      <c r="C590" s="240"/>
    </row>
    <row r="591" customFormat="false" ht="15.75" hidden="false" customHeight="false" outlineLevel="0" collapsed="false">
      <c r="A591" s="120" t="e">
        <v>#NAME?</v>
      </c>
      <c r="B591" s="120" t="e">
        <v>#NAME?</v>
      </c>
      <c r="C591" s="240"/>
    </row>
    <row r="592" customFormat="false" ht="15.75" hidden="false" customHeight="false" outlineLevel="0" collapsed="false">
      <c r="A592" s="120" t="e">
        <v>#NAME?</v>
      </c>
      <c r="B592" s="120" t="e">
        <v>#NAME?</v>
      </c>
      <c r="C592" s="240"/>
    </row>
    <row r="593" customFormat="false" ht="15.75" hidden="false" customHeight="false" outlineLevel="0" collapsed="false">
      <c r="A593" s="120" t="e">
        <v>#NAME?</v>
      </c>
      <c r="B593" s="120" t="e">
        <v>#NAME?</v>
      </c>
      <c r="C593" s="240"/>
    </row>
    <row r="594" customFormat="false" ht="15.75" hidden="false" customHeight="false" outlineLevel="0" collapsed="false">
      <c r="A594" s="120" t="e">
        <v>#NAME?</v>
      </c>
      <c r="B594" s="120" t="e">
        <v>#NAME?</v>
      </c>
      <c r="C594" s="240"/>
    </row>
    <row r="595" customFormat="false" ht="15.75" hidden="false" customHeight="false" outlineLevel="0" collapsed="false">
      <c r="A595" s="120" t="e">
        <v>#NAME?</v>
      </c>
      <c r="B595" s="120" t="e">
        <v>#NAME?</v>
      </c>
      <c r="C595" s="240"/>
    </row>
    <row r="596" customFormat="false" ht="15.75" hidden="false" customHeight="false" outlineLevel="0" collapsed="false">
      <c r="A596" s="120" t="e">
        <v>#NAME?</v>
      </c>
      <c r="B596" s="120" t="e">
        <v>#NAME?</v>
      </c>
      <c r="C596" s="240"/>
    </row>
    <row r="597" customFormat="false" ht="15.75" hidden="false" customHeight="false" outlineLevel="0" collapsed="false">
      <c r="A597" s="120" t="e">
        <v>#NAME?</v>
      </c>
      <c r="B597" s="120" t="e">
        <v>#NAME?</v>
      </c>
      <c r="C597" s="240"/>
    </row>
    <row r="598" customFormat="false" ht="15.75" hidden="false" customHeight="false" outlineLevel="0" collapsed="false">
      <c r="A598" s="120" t="e">
        <v>#NAME?</v>
      </c>
      <c r="B598" s="120" t="e">
        <v>#NAME?</v>
      </c>
      <c r="C598" s="240"/>
    </row>
    <row r="599" customFormat="false" ht="15.75" hidden="false" customHeight="false" outlineLevel="0" collapsed="false">
      <c r="A599" s="120" t="e">
        <v>#NAME?</v>
      </c>
      <c r="B599" s="120" t="e">
        <v>#NAME?</v>
      </c>
      <c r="C599" s="240"/>
    </row>
    <row r="600" customFormat="false" ht="15.75" hidden="false" customHeight="false" outlineLevel="0" collapsed="false">
      <c r="A600" s="120" t="e">
        <v>#NAME?</v>
      </c>
      <c r="B600" s="120" t="e">
        <v>#NAME?</v>
      </c>
      <c r="C600" s="240"/>
    </row>
    <row r="601" customFormat="false" ht="15.75" hidden="false" customHeight="false" outlineLevel="0" collapsed="false">
      <c r="A601" s="120" t="e">
        <v>#NAME?</v>
      </c>
      <c r="B601" s="120" t="e">
        <v>#NAME?</v>
      </c>
      <c r="C601" s="240"/>
    </row>
    <row r="602" customFormat="false" ht="15.75" hidden="false" customHeight="false" outlineLevel="0" collapsed="false">
      <c r="A602" s="120" t="e">
        <v>#NAME?</v>
      </c>
      <c r="B602" s="120" t="e">
        <v>#NAME?</v>
      </c>
      <c r="C602" s="240"/>
    </row>
    <row r="603" customFormat="false" ht="15.75" hidden="false" customHeight="false" outlineLevel="0" collapsed="false">
      <c r="A603" s="120" t="e">
        <v>#NAME?</v>
      </c>
      <c r="B603" s="120" t="e">
        <v>#NAME?</v>
      </c>
      <c r="C603" s="240"/>
    </row>
    <row r="604" customFormat="false" ht="15.75" hidden="false" customHeight="false" outlineLevel="0" collapsed="false">
      <c r="A604" s="120" t="e">
        <v>#NAME?</v>
      </c>
      <c r="B604" s="120" t="e">
        <v>#NAME?</v>
      </c>
      <c r="C604" s="240"/>
    </row>
    <row r="605" customFormat="false" ht="15.75" hidden="false" customHeight="false" outlineLevel="0" collapsed="false">
      <c r="A605" s="120" t="e">
        <v>#NAME?</v>
      </c>
      <c r="B605" s="120" t="e">
        <v>#NAME?</v>
      </c>
      <c r="C605" s="240"/>
    </row>
    <row r="606" customFormat="false" ht="15.75" hidden="false" customHeight="false" outlineLevel="0" collapsed="false">
      <c r="A606" s="120" t="e">
        <v>#NAME?</v>
      </c>
      <c r="B606" s="120" t="e">
        <v>#NAME?</v>
      </c>
      <c r="C606" s="240"/>
    </row>
    <row r="607" customFormat="false" ht="15.75" hidden="false" customHeight="false" outlineLevel="0" collapsed="false">
      <c r="A607" s="120" t="e">
        <v>#NAME?</v>
      </c>
      <c r="B607" s="120" t="e">
        <v>#NAME?</v>
      </c>
      <c r="C607" s="240"/>
    </row>
    <row r="608" customFormat="false" ht="15.75" hidden="false" customHeight="false" outlineLevel="0" collapsed="false">
      <c r="A608" s="120" t="e">
        <v>#NAME?</v>
      </c>
      <c r="B608" s="120" t="e">
        <v>#NAME?</v>
      </c>
      <c r="C608" s="240"/>
    </row>
    <row r="609" customFormat="false" ht="15.75" hidden="false" customHeight="false" outlineLevel="0" collapsed="false">
      <c r="A609" s="120" t="e">
        <v>#NAME?</v>
      </c>
      <c r="B609" s="120" t="e">
        <v>#NAME?</v>
      </c>
      <c r="C609" s="240"/>
    </row>
    <row r="610" customFormat="false" ht="15.75" hidden="false" customHeight="false" outlineLevel="0" collapsed="false">
      <c r="A610" s="120" t="e">
        <v>#NAME?</v>
      </c>
      <c r="B610" s="120" t="e">
        <v>#NAME?</v>
      </c>
      <c r="C610" s="240"/>
    </row>
    <row r="611" customFormat="false" ht="15.75" hidden="false" customHeight="false" outlineLevel="0" collapsed="false">
      <c r="A611" s="120" t="e">
        <v>#NAME?</v>
      </c>
      <c r="B611" s="120" t="e">
        <v>#NAME?</v>
      </c>
      <c r="C611" s="240"/>
    </row>
    <row r="612" customFormat="false" ht="15.75" hidden="false" customHeight="false" outlineLevel="0" collapsed="false">
      <c r="A612" s="120" t="e">
        <v>#NAME?</v>
      </c>
      <c r="B612" s="120" t="e">
        <v>#NAME?</v>
      </c>
      <c r="C612" s="240"/>
    </row>
    <row r="613" customFormat="false" ht="15.75" hidden="false" customHeight="false" outlineLevel="0" collapsed="false">
      <c r="A613" s="120" t="e">
        <v>#NAME?</v>
      </c>
      <c r="B613" s="120" t="e">
        <v>#NAME?</v>
      </c>
      <c r="C613" s="240"/>
    </row>
    <row r="614" customFormat="false" ht="15.75" hidden="false" customHeight="false" outlineLevel="0" collapsed="false">
      <c r="A614" s="120" t="e">
        <v>#NAME?</v>
      </c>
      <c r="B614" s="120" t="e">
        <v>#NAME?</v>
      </c>
      <c r="C614" s="240"/>
    </row>
    <row r="615" customFormat="false" ht="15.75" hidden="false" customHeight="false" outlineLevel="0" collapsed="false">
      <c r="A615" s="120" t="e">
        <v>#NAME?</v>
      </c>
      <c r="B615" s="120" t="e">
        <v>#NAME?</v>
      </c>
      <c r="C615" s="240"/>
    </row>
    <row r="616" customFormat="false" ht="15.75" hidden="false" customHeight="false" outlineLevel="0" collapsed="false">
      <c r="A616" s="120" t="e">
        <v>#NAME?</v>
      </c>
      <c r="B616" s="120" t="e">
        <v>#NAME?</v>
      </c>
      <c r="C616" s="240"/>
    </row>
    <row r="617" customFormat="false" ht="15.75" hidden="false" customHeight="false" outlineLevel="0" collapsed="false">
      <c r="A617" s="120" t="e">
        <v>#NAME?</v>
      </c>
      <c r="B617" s="120" t="e">
        <v>#NAME?</v>
      </c>
      <c r="C617" s="240"/>
    </row>
    <row r="618" customFormat="false" ht="15.75" hidden="false" customHeight="false" outlineLevel="0" collapsed="false">
      <c r="A618" s="120" t="e">
        <v>#NAME?</v>
      </c>
      <c r="B618" s="120" t="e">
        <v>#NAME?</v>
      </c>
      <c r="C618" s="240"/>
    </row>
    <row r="619" customFormat="false" ht="15.75" hidden="false" customHeight="false" outlineLevel="0" collapsed="false">
      <c r="A619" s="120" t="e">
        <v>#NAME?</v>
      </c>
      <c r="B619" s="120" t="e">
        <v>#NAME?</v>
      </c>
      <c r="C619" s="240"/>
    </row>
    <row r="620" customFormat="false" ht="15.75" hidden="false" customHeight="false" outlineLevel="0" collapsed="false">
      <c r="A620" s="120" t="e">
        <v>#NAME?</v>
      </c>
      <c r="B620" s="120" t="e">
        <v>#NAME?</v>
      </c>
      <c r="C620" s="240"/>
    </row>
    <row r="621" customFormat="false" ht="15.75" hidden="false" customHeight="false" outlineLevel="0" collapsed="false">
      <c r="A621" s="120" t="e">
        <v>#NAME?</v>
      </c>
      <c r="B621" s="120" t="e">
        <v>#NAME?</v>
      </c>
      <c r="C621" s="240"/>
    </row>
    <row r="622" customFormat="false" ht="15.75" hidden="false" customHeight="false" outlineLevel="0" collapsed="false">
      <c r="A622" s="120" t="e">
        <v>#NAME?</v>
      </c>
      <c r="B622" s="120" t="e">
        <v>#NAME?</v>
      </c>
      <c r="C622" s="240"/>
    </row>
    <row r="623" customFormat="false" ht="15.75" hidden="false" customHeight="false" outlineLevel="0" collapsed="false">
      <c r="A623" s="120" t="e">
        <v>#NAME?</v>
      </c>
      <c r="B623" s="120" t="e">
        <v>#NAME?</v>
      </c>
      <c r="C623" s="240"/>
    </row>
    <row r="624" customFormat="false" ht="15.75" hidden="false" customHeight="false" outlineLevel="0" collapsed="false">
      <c r="A624" s="120" t="e">
        <v>#NAME?</v>
      </c>
      <c r="B624" s="120" t="e">
        <v>#NAME?</v>
      </c>
      <c r="C624" s="240"/>
    </row>
    <row r="625" customFormat="false" ht="15.75" hidden="false" customHeight="false" outlineLevel="0" collapsed="false">
      <c r="A625" s="120" t="e">
        <v>#NAME?</v>
      </c>
      <c r="B625" s="120" t="e">
        <v>#NAME?</v>
      </c>
      <c r="C625" s="240"/>
    </row>
    <row r="626" customFormat="false" ht="15.75" hidden="false" customHeight="false" outlineLevel="0" collapsed="false">
      <c r="A626" s="120" t="e">
        <v>#NAME?</v>
      </c>
      <c r="B626" s="120" t="e">
        <v>#NAME?</v>
      </c>
      <c r="C626" s="240"/>
    </row>
    <row r="627" customFormat="false" ht="15.75" hidden="false" customHeight="false" outlineLevel="0" collapsed="false">
      <c r="A627" s="120" t="e">
        <v>#NAME?</v>
      </c>
      <c r="B627" s="120" t="e">
        <v>#NAME?</v>
      </c>
      <c r="C627" s="240"/>
    </row>
    <row r="628" customFormat="false" ht="15.75" hidden="false" customHeight="false" outlineLevel="0" collapsed="false">
      <c r="A628" s="120" t="e">
        <v>#NAME?</v>
      </c>
      <c r="B628" s="120" t="e">
        <v>#NAME?</v>
      </c>
      <c r="C628" s="240"/>
    </row>
    <row r="629" customFormat="false" ht="15.75" hidden="false" customHeight="false" outlineLevel="0" collapsed="false">
      <c r="A629" s="120" t="e">
        <v>#NAME?</v>
      </c>
      <c r="B629" s="120" t="e">
        <v>#NAME?</v>
      </c>
      <c r="C629" s="240"/>
    </row>
    <row r="630" customFormat="false" ht="15.75" hidden="false" customHeight="false" outlineLevel="0" collapsed="false">
      <c r="A630" s="120" t="e">
        <v>#NAME?</v>
      </c>
      <c r="B630" s="120" t="e">
        <v>#NAME?</v>
      </c>
      <c r="C630" s="240"/>
    </row>
    <row r="631" customFormat="false" ht="15.75" hidden="false" customHeight="false" outlineLevel="0" collapsed="false">
      <c r="A631" s="120" t="e">
        <v>#NAME?</v>
      </c>
      <c r="B631" s="120" t="e">
        <v>#NAME?</v>
      </c>
      <c r="C631" s="240"/>
    </row>
    <row r="632" customFormat="false" ht="15.75" hidden="false" customHeight="false" outlineLevel="0" collapsed="false">
      <c r="A632" s="120" t="e">
        <v>#NAME?</v>
      </c>
      <c r="B632" s="120" t="e">
        <v>#NAME?</v>
      </c>
      <c r="C632" s="240"/>
    </row>
    <row r="633" customFormat="false" ht="15.75" hidden="false" customHeight="false" outlineLevel="0" collapsed="false">
      <c r="A633" s="120" t="e">
        <v>#NAME?</v>
      </c>
      <c r="B633" s="120" t="e">
        <v>#NAME?</v>
      </c>
      <c r="C633" s="240"/>
    </row>
    <row r="634" customFormat="false" ht="15.75" hidden="false" customHeight="false" outlineLevel="0" collapsed="false">
      <c r="A634" s="120" t="e">
        <v>#NAME?</v>
      </c>
      <c r="B634" s="120" t="e">
        <v>#NAME?</v>
      </c>
      <c r="C634" s="240"/>
    </row>
    <row r="635" customFormat="false" ht="15.75" hidden="false" customHeight="false" outlineLevel="0" collapsed="false">
      <c r="A635" s="120" t="e">
        <v>#NAME?</v>
      </c>
      <c r="B635" s="120" t="e">
        <v>#NAME?</v>
      </c>
      <c r="C635" s="240"/>
    </row>
    <row r="636" customFormat="false" ht="15.75" hidden="false" customHeight="false" outlineLevel="0" collapsed="false">
      <c r="A636" s="120" t="e">
        <v>#NAME?</v>
      </c>
      <c r="B636" s="120" t="e">
        <v>#NAME?</v>
      </c>
      <c r="C636" s="240"/>
    </row>
    <row r="637" customFormat="false" ht="15.75" hidden="false" customHeight="false" outlineLevel="0" collapsed="false">
      <c r="A637" s="120" t="e">
        <v>#NAME?</v>
      </c>
      <c r="B637" s="120" t="e">
        <v>#NAME?</v>
      </c>
      <c r="C637" s="240"/>
    </row>
    <row r="638" customFormat="false" ht="15.75" hidden="false" customHeight="false" outlineLevel="0" collapsed="false">
      <c r="A638" s="120" t="e">
        <v>#NAME?</v>
      </c>
      <c r="B638" s="120" t="e">
        <v>#NAME?</v>
      </c>
      <c r="C638" s="240"/>
    </row>
    <row r="639" customFormat="false" ht="15.75" hidden="false" customHeight="false" outlineLevel="0" collapsed="false">
      <c r="A639" s="120" t="e">
        <v>#NAME?</v>
      </c>
      <c r="B639" s="120" t="e">
        <v>#NAME?</v>
      </c>
      <c r="C639" s="240"/>
    </row>
    <row r="640" customFormat="false" ht="15.75" hidden="false" customHeight="false" outlineLevel="0" collapsed="false">
      <c r="A640" s="120" t="e">
        <v>#NAME?</v>
      </c>
      <c r="B640" s="120" t="e">
        <v>#NAME?</v>
      </c>
      <c r="C640" s="240"/>
    </row>
    <row r="641" customFormat="false" ht="15.75" hidden="false" customHeight="false" outlineLevel="0" collapsed="false">
      <c r="A641" s="120" t="e">
        <v>#NAME?</v>
      </c>
      <c r="B641" s="120" t="e">
        <v>#NAME?</v>
      </c>
      <c r="C641" s="240"/>
    </row>
    <row r="642" customFormat="false" ht="15.75" hidden="false" customHeight="false" outlineLevel="0" collapsed="false">
      <c r="A642" s="120" t="e">
        <v>#NAME?</v>
      </c>
      <c r="B642" s="120" t="e">
        <v>#NAME?</v>
      </c>
      <c r="C642" s="240"/>
    </row>
    <row r="643" customFormat="false" ht="15.75" hidden="false" customHeight="false" outlineLevel="0" collapsed="false">
      <c r="A643" s="120" t="e">
        <v>#NAME?</v>
      </c>
      <c r="B643" s="120" t="e">
        <v>#NAME?</v>
      </c>
      <c r="C643" s="240"/>
    </row>
    <row r="644" customFormat="false" ht="15.75" hidden="false" customHeight="false" outlineLevel="0" collapsed="false">
      <c r="A644" s="120" t="e">
        <v>#NAME?</v>
      </c>
      <c r="B644" s="120" t="e">
        <v>#NAME?</v>
      </c>
      <c r="C644" s="240"/>
    </row>
    <row r="645" customFormat="false" ht="15.75" hidden="false" customHeight="false" outlineLevel="0" collapsed="false">
      <c r="A645" s="120" t="e">
        <v>#NAME?</v>
      </c>
      <c r="B645" s="120" t="e">
        <v>#NAME?</v>
      </c>
      <c r="C645" s="240"/>
    </row>
    <row r="646" customFormat="false" ht="15.75" hidden="false" customHeight="false" outlineLevel="0" collapsed="false">
      <c r="A646" s="120" t="e">
        <v>#NAME?</v>
      </c>
      <c r="B646" s="120" t="e">
        <v>#NAME?</v>
      </c>
      <c r="C646" s="240"/>
    </row>
    <row r="647" customFormat="false" ht="15.75" hidden="false" customHeight="false" outlineLevel="0" collapsed="false">
      <c r="A647" s="120" t="e">
        <v>#NAME?</v>
      </c>
      <c r="B647" s="120" t="e">
        <v>#NAME?</v>
      </c>
      <c r="C647" s="240"/>
    </row>
    <row r="648" customFormat="false" ht="15.75" hidden="false" customHeight="false" outlineLevel="0" collapsed="false">
      <c r="A648" s="120" t="e">
        <v>#NAME?</v>
      </c>
      <c r="B648" s="120" t="e">
        <v>#NAME?</v>
      </c>
      <c r="C648" s="240"/>
    </row>
    <row r="649" customFormat="false" ht="15.75" hidden="false" customHeight="false" outlineLevel="0" collapsed="false">
      <c r="A649" s="120" t="e">
        <v>#NAME?</v>
      </c>
      <c r="B649" s="120" t="e">
        <v>#NAME?</v>
      </c>
      <c r="C649" s="240"/>
    </row>
    <row r="650" customFormat="false" ht="15.75" hidden="false" customHeight="false" outlineLevel="0" collapsed="false">
      <c r="A650" s="120" t="e">
        <v>#NAME?</v>
      </c>
      <c r="B650" s="120" t="e">
        <v>#NAME?</v>
      </c>
      <c r="C650" s="240"/>
    </row>
    <row r="651" customFormat="false" ht="15.75" hidden="false" customHeight="false" outlineLevel="0" collapsed="false">
      <c r="A651" s="120" t="e">
        <v>#NAME?</v>
      </c>
      <c r="B651" s="120" t="e">
        <v>#NAME?</v>
      </c>
      <c r="C651" s="240"/>
    </row>
    <row r="652" customFormat="false" ht="15.75" hidden="false" customHeight="false" outlineLevel="0" collapsed="false">
      <c r="A652" s="120" t="e">
        <v>#NAME?</v>
      </c>
      <c r="B652" s="120" t="e">
        <v>#NAME?</v>
      </c>
      <c r="C652" s="240"/>
    </row>
    <row r="653" customFormat="false" ht="15.75" hidden="false" customHeight="false" outlineLevel="0" collapsed="false">
      <c r="A653" s="120" t="e">
        <v>#NAME?</v>
      </c>
      <c r="B653" s="120" t="e">
        <v>#NAME?</v>
      </c>
      <c r="C653" s="240"/>
    </row>
    <row r="654" customFormat="false" ht="15.75" hidden="false" customHeight="false" outlineLevel="0" collapsed="false">
      <c r="A654" s="120" t="e">
        <v>#NAME?</v>
      </c>
      <c r="B654" s="120" t="e">
        <v>#NAME?</v>
      </c>
      <c r="C654" s="240"/>
    </row>
    <row r="655" customFormat="false" ht="15.75" hidden="false" customHeight="false" outlineLevel="0" collapsed="false">
      <c r="A655" s="120" t="e">
        <v>#NAME?</v>
      </c>
      <c r="B655" s="120" t="e">
        <v>#NAME?</v>
      </c>
      <c r="C655" s="240"/>
    </row>
    <row r="656" customFormat="false" ht="15.75" hidden="false" customHeight="false" outlineLevel="0" collapsed="false">
      <c r="A656" s="120" t="e">
        <v>#NAME?</v>
      </c>
      <c r="B656" s="120" t="e">
        <v>#NAME?</v>
      </c>
      <c r="C656" s="240"/>
    </row>
    <row r="657" customFormat="false" ht="15.75" hidden="false" customHeight="false" outlineLevel="0" collapsed="false">
      <c r="A657" s="120" t="e">
        <v>#NAME?</v>
      </c>
      <c r="B657" s="120" t="e">
        <v>#NAME?</v>
      </c>
      <c r="C657" s="240"/>
    </row>
    <row r="658" customFormat="false" ht="15.75" hidden="false" customHeight="false" outlineLevel="0" collapsed="false">
      <c r="A658" s="120" t="e">
        <v>#NAME?</v>
      </c>
      <c r="B658" s="120" t="e">
        <v>#NAME?</v>
      </c>
      <c r="C658" s="240"/>
    </row>
    <row r="659" customFormat="false" ht="15.75" hidden="false" customHeight="false" outlineLevel="0" collapsed="false">
      <c r="A659" s="120" t="e">
        <v>#NAME?</v>
      </c>
      <c r="B659" s="120" t="e">
        <v>#NAME?</v>
      </c>
      <c r="C659" s="240"/>
    </row>
    <row r="660" customFormat="false" ht="15.75" hidden="false" customHeight="false" outlineLevel="0" collapsed="false">
      <c r="A660" s="120" t="e">
        <v>#NAME?</v>
      </c>
      <c r="B660" s="120" t="e">
        <v>#NAME?</v>
      </c>
      <c r="C660" s="240"/>
    </row>
    <row r="661" customFormat="false" ht="15.75" hidden="false" customHeight="false" outlineLevel="0" collapsed="false">
      <c r="A661" s="120" t="e">
        <v>#NAME?</v>
      </c>
      <c r="B661" s="120" t="e">
        <v>#NAME?</v>
      </c>
      <c r="C661" s="240"/>
    </row>
    <row r="662" customFormat="false" ht="15.75" hidden="false" customHeight="false" outlineLevel="0" collapsed="false">
      <c r="A662" s="120" t="e">
        <v>#NAME?</v>
      </c>
      <c r="B662" s="120" t="e">
        <v>#NAME?</v>
      </c>
      <c r="C662" s="240"/>
    </row>
    <row r="663" customFormat="false" ht="15.75" hidden="false" customHeight="false" outlineLevel="0" collapsed="false">
      <c r="A663" s="120" t="e">
        <v>#NAME?</v>
      </c>
      <c r="B663" s="120" t="e">
        <v>#NAME?</v>
      </c>
      <c r="C663" s="240"/>
    </row>
    <row r="664" customFormat="false" ht="15.75" hidden="false" customHeight="false" outlineLevel="0" collapsed="false">
      <c r="A664" s="120" t="e">
        <v>#NAME?</v>
      </c>
      <c r="B664" s="120" t="e">
        <v>#NAME?</v>
      </c>
      <c r="C664" s="240"/>
    </row>
    <row r="665" customFormat="false" ht="15.75" hidden="false" customHeight="false" outlineLevel="0" collapsed="false">
      <c r="A665" s="120" t="e">
        <v>#NAME?</v>
      </c>
      <c r="B665" s="120" t="e">
        <v>#NAME?</v>
      </c>
      <c r="C665" s="240"/>
    </row>
    <row r="666" customFormat="false" ht="15.75" hidden="false" customHeight="false" outlineLevel="0" collapsed="false">
      <c r="A666" s="120" t="e">
        <v>#NAME?</v>
      </c>
      <c r="B666" s="120" t="e">
        <v>#NAME?</v>
      </c>
      <c r="C666" s="240"/>
    </row>
    <row r="667" customFormat="false" ht="15.75" hidden="false" customHeight="false" outlineLevel="0" collapsed="false">
      <c r="A667" s="120" t="e">
        <v>#NAME?</v>
      </c>
      <c r="B667" s="120" t="e">
        <v>#NAME?</v>
      </c>
      <c r="C667" s="240"/>
    </row>
    <row r="668" customFormat="false" ht="15.75" hidden="false" customHeight="false" outlineLevel="0" collapsed="false">
      <c r="A668" s="120" t="e">
        <v>#NAME?</v>
      </c>
      <c r="B668" s="120" t="e">
        <v>#NAME?</v>
      </c>
      <c r="C668" s="240"/>
    </row>
    <row r="669" customFormat="false" ht="15.75" hidden="false" customHeight="false" outlineLevel="0" collapsed="false">
      <c r="A669" s="120" t="e">
        <v>#NAME?</v>
      </c>
      <c r="B669" s="120" t="e">
        <v>#NAME?</v>
      </c>
      <c r="C669" s="240"/>
    </row>
    <row r="670" customFormat="false" ht="15.75" hidden="false" customHeight="false" outlineLevel="0" collapsed="false">
      <c r="A670" s="120" t="e">
        <v>#NAME?</v>
      </c>
      <c r="B670" s="120" t="e">
        <v>#NAME?</v>
      </c>
      <c r="C670" s="240"/>
    </row>
    <row r="671" customFormat="false" ht="15.75" hidden="false" customHeight="false" outlineLevel="0" collapsed="false">
      <c r="A671" s="120" t="e">
        <v>#NAME?</v>
      </c>
      <c r="B671" s="120" t="e">
        <v>#NAME?</v>
      </c>
      <c r="C671" s="240"/>
    </row>
    <row r="672" customFormat="false" ht="15.75" hidden="false" customHeight="false" outlineLevel="0" collapsed="false">
      <c r="A672" s="120" t="e">
        <v>#NAME?</v>
      </c>
      <c r="B672" s="120" t="e">
        <v>#NAME?</v>
      </c>
      <c r="C672" s="240"/>
    </row>
    <row r="673" customFormat="false" ht="15.75" hidden="false" customHeight="false" outlineLevel="0" collapsed="false">
      <c r="A673" s="120" t="e">
        <v>#NAME?</v>
      </c>
      <c r="B673" s="120" t="e">
        <v>#NAME?</v>
      </c>
      <c r="C673" s="240"/>
    </row>
    <row r="674" customFormat="false" ht="15.75" hidden="false" customHeight="false" outlineLevel="0" collapsed="false">
      <c r="A674" s="120" t="e">
        <v>#NAME?</v>
      </c>
      <c r="B674" s="120" t="e">
        <v>#NAME?</v>
      </c>
      <c r="C674" s="240"/>
    </row>
    <row r="675" customFormat="false" ht="15.75" hidden="false" customHeight="false" outlineLevel="0" collapsed="false">
      <c r="A675" s="120" t="e">
        <v>#NAME?</v>
      </c>
      <c r="B675" s="120" t="e">
        <v>#NAME?</v>
      </c>
      <c r="C675" s="240"/>
    </row>
    <row r="676" customFormat="false" ht="15.75" hidden="false" customHeight="false" outlineLevel="0" collapsed="false">
      <c r="A676" s="120" t="e">
        <v>#NAME?</v>
      </c>
      <c r="B676" s="120" t="e">
        <v>#NAME?</v>
      </c>
      <c r="C676" s="240"/>
    </row>
    <row r="677" customFormat="false" ht="15.75" hidden="false" customHeight="false" outlineLevel="0" collapsed="false">
      <c r="A677" s="120" t="e">
        <v>#NAME?</v>
      </c>
      <c r="B677" s="120" t="e">
        <v>#NAME?</v>
      </c>
      <c r="C677" s="240"/>
    </row>
    <row r="678" customFormat="false" ht="15.75" hidden="false" customHeight="false" outlineLevel="0" collapsed="false">
      <c r="A678" s="120" t="e">
        <v>#NAME?</v>
      </c>
      <c r="B678" s="120" t="e">
        <v>#NAME?</v>
      </c>
      <c r="C678" s="240"/>
    </row>
    <row r="679" customFormat="false" ht="15.75" hidden="false" customHeight="false" outlineLevel="0" collapsed="false">
      <c r="A679" s="120" t="e">
        <v>#NAME?</v>
      </c>
      <c r="B679" s="120" t="e">
        <v>#NAME?</v>
      </c>
      <c r="C679" s="240"/>
    </row>
    <row r="680" customFormat="false" ht="15.75" hidden="false" customHeight="false" outlineLevel="0" collapsed="false">
      <c r="A680" s="120" t="e">
        <v>#NAME?</v>
      </c>
      <c r="B680" s="120" t="e">
        <v>#NAME?</v>
      </c>
      <c r="C680" s="240"/>
    </row>
    <row r="681" customFormat="false" ht="15.75" hidden="false" customHeight="false" outlineLevel="0" collapsed="false">
      <c r="A681" s="120" t="e">
        <v>#NAME?</v>
      </c>
      <c r="B681" s="120" t="e">
        <v>#NAME?</v>
      </c>
      <c r="C681" s="240"/>
    </row>
    <row r="682" customFormat="false" ht="15.75" hidden="false" customHeight="false" outlineLevel="0" collapsed="false">
      <c r="A682" s="120" t="e">
        <v>#NAME?</v>
      </c>
      <c r="B682" s="120" t="e">
        <v>#NAME?</v>
      </c>
      <c r="C682" s="240"/>
    </row>
    <row r="683" customFormat="false" ht="15.75" hidden="false" customHeight="false" outlineLevel="0" collapsed="false">
      <c r="A683" s="120" t="e">
        <v>#NAME?</v>
      </c>
      <c r="B683" s="120" t="e">
        <v>#NAME?</v>
      </c>
      <c r="C683" s="240"/>
    </row>
    <row r="684" customFormat="false" ht="15.75" hidden="false" customHeight="false" outlineLevel="0" collapsed="false">
      <c r="A684" s="120" t="e">
        <v>#NAME?</v>
      </c>
      <c r="B684" s="120" t="e">
        <v>#NAME?</v>
      </c>
      <c r="C684" s="240"/>
    </row>
    <row r="685" customFormat="false" ht="15.75" hidden="false" customHeight="false" outlineLevel="0" collapsed="false">
      <c r="A685" s="120" t="e">
        <v>#NAME?</v>
      </c>
      <c r="B685" s="120" t="e">
        <v>#NAME?</v>
      </c>
      <c r="C685" s="240"/>
    </row>
    <row r="686" customFormat="false" ht="15.75" hidden="false" customHeight="false" outlineLevel="0" collapsed="false">
      <c r="A686" s="120" t="e">
        <v>#NAME?</v>
      </c>
      <c r="B686" s="120" t="e">
        <v>#NAME?</v>
      </c>
      <c r="C686" s="240"/>
    </row>
    <row r="687" customFormat="false" ht="15.75" hidden="false" customHeight="false" outlineLevel="0" collapsed="false">
      <c r="A687" s="120" t="e">
        <v>#NAME?</v>
      </c>
      <c r="B687" s="120" t="e">
        <v>#NAME?</v>
      </c>
      <c r="C687" s="240"/>
    </row>
    <row r="688" customFormat="false" ht="15.75" hidden="false" customHeight="false" outlineLevel="0" collapsed="false">
      <c r="A688" s="120" t="e">
        <v>#NAME?</v>
      </c>
      <c r="B688" s="120" t="e">
        <v>#NAME?</v>
      </c>
      <c r="C688" s="240"/>
    </row>
    <row r="689" customFormat="false" ht="15.75" hidden="false" customHeight="false" outlineLevel="0" collapsed="false">
      <c r="A689" s="120" t="e">
        <v>#NAME?</v>
      </c>
      <c r="B689" s="120" t="e">
        <v>#NAME?</v>
      </c>
      <c r="C689" s="240"/>
    </row>
    <row r="690" customFormat="false" ht="15.75" hidden="false" customHeight="false" outlineLevel="0" collapsed="false">
      <c r="A690" s="120" t="e">
        <v>#NAME?</v>
      </c>
      <c r="B690" s="120" t="e">
        <v>#NAME?</v>
      </c>
      <c r="C690" s="240"/>
    </row>
    <row r="691" customFormat="false" ht="15.75" hidden="false" customHeight="false" outlineLevel="0" collapsed="false">
      <c r="A691" s="120" t="e">
        <v>#NAME?</v>
      </c>
      <c r="B691" s="120" t="e">
        <v>#NAME?</v>
      </c>
      <c r="C691" s="240"/>
    </row>
    <row r="692" customFormat="false" ht="15.75" hidden="false" customHeight="false" outlineLevel="0" collapsed="false">
      <c r="A692" s="120" t="e">
        <v>#NAME?</v>
      </c>
      <c r="B692" s="120" t="e">
        <v>#NAME?</v>
      </c>
      <c r="C692" s="240"/>
    </row>
    <row r="693" customFormat="false" ht="15.75" hidden="false" customHeight="false" outlineLevel="0" collapsed="false">
      <c r="A693" s="120" t="e">
        <v>#NAME?</v>
      </c>
      <c r="B693" s="120" t="e">
        <v>#NAME?</v>
      </c>
      <c r="C693" s="240"/>
    </row>
    <row r="694" customFormat="false" ht="15.75" hidden="false" customHeight="false" outlineLevel="0" collapsed="false">
      <c r="A694" s="120" t="e">
        <v>#NAME?</v>
      </c>
      <c r="B694" s="120" t="e">
        <v>#NAME?</v>
      </c>
      <c r="C694" s="240"/>
    </row>
    <row r="695" customFormat="false" ht="15.75" hidden="false" customHeight="false" outlineLevel="0" collapsed="false">
      <c r="A695" s="120" t="e">
        <v>#NAME?</v>
      </c>
      <c r="B695" s="120" t="e">
        <v>#NAME?</v>
      </c>
      <c r="C695" s="240"/>
    </row>
    <row r="696" customFormat="false" ht="15.75" hidden="false" customHeight="false" outlineLevel="0" collapsed="false">
      <c r="A696" s="120" t="e">
        <v>#NAME?</v>
      </c>
      <c r="B696" s="120" t="e">
        <v>#NAME?</v>
      </c>
      <c r="C696" s="240"/>
    </row>
    <row r="697" customFormat="false" ht="15.75" hidden="false" customHeight="false" outlineLevel="0" collapsed="false">
      <c r="A697" s="120" t="e">
        <v>#NAME?</v>
      </c>
      <c r="B697" s="120" t="e">
        <v>#NAME?</v>
      </c>
      <c r="C697" s="240"/>
    </row>
    <row r="698" customFormat="false" ht="15.75" hidden="false" customHeight="false" outlineLevel="0" collapsed="false">
      <c r="A698" s="120" t="e">
        <v>#NAME?</v>
      </c>
      <c r="B698" s="120" t="e">
        <v>#NAME?</v>
      </c>
      <c r="C698" s="240"/>
    </row>
    <row r="699" customFormat="false" ht="15.75" hidden="false" customHeight="false" outlineLevel="0" collapsed="false">
      <c r="A699" s="120" t="e">
        <v>#NAME?</v>
      </c>
      <c r="B699" s="120" t="e">
        <v>#NAME?</v>
      </c>
      <c r="C699" s="240"/>
    </row>
    <row r="700" customFormat="false" ht="15.75" hidden="false" customHeight="false" outlineLevel="0" collapsed="false">
      <c r="A700" s="120" t="e">
        <v>#NAME?</v>
      </c>
      <c r="B700" s="120" t="e">
        <v>#NAME?</v>
      </c>
      <c r="C700" s="240"/>
    </row>
    <row r="701" customFormat="false" ht="15.75" hidden="false" customHeight="false" outlineLevel="0" collapsed="false">
      <c r="A701" s="120" t="e">
        <v>#NAME?</v>
      </c>
      <c r="B701" s="120" t="e">
        <v>#NAME?</v>
      </c>
      <c r="C701" s="240"/>
    </row>
    <row r="702" customFormat="false" ht="15.75" hidden="false" customHeight="false" outlineLevel="0" collapsed="false">
      <c r="A702" s="120" t="e">
        <v>#NAME?</v>
      </c>
      <c r="B702" s="120" t="e">
        <v>#NAME?</v>
      </c>
      <c r="C702" s="240"/>
    </row>
    <row r="703" customFormat="false" ht="15.75" hidden="false" customHeight="false" outlineLevel="0" collapsed="false">
      <c r="A703" s="120" t="e">
        <v>#NAME?</v>
      </c>
      <c r="B703" s="120" t="e">
        <v>#NAME?</v>
      </c>
      <c r="C703" s="240"/>
    </row>
    <row r="704" customFormat="false" ht="15.75" hidden="false" customHeight="false" outlineLevel="0" collapsed="false">
      <c r="A704" s="120" t="e">
        <v>#NAME?</v>
      </c>
      <c r="B704" s="120" t="e">
        <v>#NAME?</v>
      </c>
      <c r="C704" s="240"/>
    </row>
    <row r="705" customFormat="false" ht="15.75" hidden="false" customHeight="false" outlineLevel="0" collapsed="false">
      <c r="A705" s="120" t="e">
        <v>#NAME?</v>
      </c>
      <c r="B705" s="120" t="e">
        <v>#NAME?</v>
      </c>
      <c r="C705" s="240"/>
    </row>
    <row r="706" customFormat="false" ht="15.75" hidden="false" customHeight="false" outlineLevel="0" collapsed="false">
      <c r="A706" s="120" t="e">
        <v>#NAME?</v>
      </c>
      <c r="B706" s="120" t="e">
        <v>#NAME?</v>
      </c>
      <c r="C706" s="240"/>
    </row>
    <row r="707" customFormat="false" ht="15.75" hidden="false" customHeight="false" outlineLevel="0" collapsed="false">
      <c r="A707" s="120" t="e">
        <v>#NAME?</v>
      </c>
      <c r="B707" s="120" t="e">
        <v>#NAME?</v>
      </c>
      <c r="C707" s="240"/>
    </row>
    <row r="708" customFormat="false" ht="15.75" hidden="false" customHeight="false" outlineLevel="0" collapsed="false">
      <c r="A708" s="120" t="e">
        <v>#NAME?</v>
      </c>
      <c r="B708" s="120" t="e">
        <v>#NAME?</v>
      </c>
      <c r="C708" s="240"/>
    </row>
    <row r="709" customFormat="false" ht="15.75" hidden="false" customHeight="false" outlineLevel="0" collapsed="false">
      <c r="A709" s="120" t="e">
        <v>#NAME?</v>
      </c>
      <c r="B709" s="120" t="e">
        <v>#NAME?</v>
      </c>
      <c r="C709" s="240"/>
    </row>
    <row r="710" customFormat="false" ht="15.75" hidden="false" customHeight="false" outlineLevel="0" collapsed="false">
      <c r="A710" s="120" t="e">
        <v>#NAME?</v>
      </c>
      <c r="B710" s="120" t="e">
        <v>#NAME?</v>
      </c>
      <c r="C710" s="240"/>
    </row>
    <row r="711" customFormat="false" ht="15.75" hidden="false" customHeight="false" outlineLevel="0" collapsed="false">
      <c r="A711" s="120" t="e">
        <v>#NAME?</v>
      </c>
      <c r="B711" s="120" t="e">
        <v>#NAME?</v>
      </c>
      <c r="C711" s="240"/>
    </row>
    <row r="712" customFormat="false" ht="15.75" hidden="false" customHeight="false" outlineLevel="0" collapsed="false">
      <c r="A712" s="120" t="e">
        <v>#NAME?</v>
      </c>
      <c r="B712" s="120" t="e">
        <v>#NAME?</v>
      </c>
      <c r="C712" s="240"/>
    </row>
    <row r="713" customFormat="false" ht="15.75" hidden="false" customHeight="false" outlineLevel="0" collapsed="false">
      <c r="A713" s="120" t="e">
        <v>#NAME?</v>
      </c>
      <c r="B713" s="120" t="e">
        <v>#NAME?</v>
      </c>
      <c r="C713" s="240"/>
    </row>
    <row r="714" customFormat="false" ht="15.75" hidden="false" customHeight="false" outlineLevel="0" collapsed="false">
      <c r="A714" s="120" t="e">
        <v>#NAME?</v>
      </c>
      <c r="B714" s="120" t="e">
        <v>#NAME?</v>
      </c>
      <c r="C714" s="240"/>
    </row>
    <row r="715" customFormat="false" ht="15.75" hidden="false" customHeight="false" outlineLevel="0" collapsed="false">
      <c r="A715" s="120" t="e">
        <v>#NAME?</v>
      </c>
      <c r="B715" s="120" t="e">
        <v>#NAME?</v>
      </c>
      <c r="C715" s="240"/>
    </row>
    <row r="716" customFormat="false" ht="15.75" hidden="false" customHeight="false" outlineLevel="0" collapsed="false">
      <c r="A716" s="120" t="e">
        <v>#NAME?</v>
      </c>
      <c r="B716" s="120" t="e">
        <v>#NAME?</v>
      </c>
      <c r="C716" s="240"/>
    </row>
    <row r="717" customFormat="false" ht="15.75" hidden="false" customHeight="false" outlineLevel="0" collapsed="false">
      <c r="A717" s="120" t="e">
        <v>#NAME?</v>
      </c>
      <c r="B717" s="120" t="e">
        <v>#NAME?</v>
      </c>
      <c r="C717" s="240"/>
    </row>
    <row r="718" customFormat="false" ht="15.75" hidden="false" customHeight="false" outlineLevel="0" collapsed="false">
      <c r="A718" s="120" t="e">
        <v>#NAME?</v>
      </c>
      <c r="B718" s="120" t="e">
        <v>#NAME?</v>
      </c>
      <c r="C718" s="240"/>
    </row>
    <row r="719" customFormat="false" ht="15.75" hidden="false" customHeight="false" outlineLevel="0" collapsed="false">
      <c r="A719" s="120" t="e">
        <v>#NAME?</v>
      </c>
      <c r="B719" s="120" t="e">
        <v>#NAME?</v>
      </c>
      <c r="C719" s="240"/>
    </row>
    <row r="720" customFormat="false" ht="15.75" hidden="false" customHeight="false" outlineLevel="0" collapsed="false">
      <c r="A720" s="120" t="e">
        <v>#NAME?</v>
      </c>
      <c r="B720" s="120" t="e">
        <v>#NAME?</v>
      </c>
      <c r="C720" s="240"/>
    </row>
    <row r="721" customFormat="false" ht="15.75" hidden="false" customHeight="false" outlineLevel="0" collapsed="false">
      <c r="A721" s="120" t="e">
        <v>#NAME?</v>
      </c>
      <c r="B721" s="120" t="e">
        <v>#NAME?</v>
      </c>
      <c r="C721" s="240"/>
    </row>
    <row r="722" customFormat="false" ht="15.75" hidden="false" customHeight="false" outlineLevel="0" collapsed="false">
      <c r="A722" s="120" t="e">
        <v>#NAME?</v>
      </c>
      <c r="B722" s="120" t="e">
        <v>#NAME?</v>
      </c>
      <c r="C722" s="240"/>
    </row>
    <row r="723" customFormat="false" ht="15.75" hidden="false" customHeight="false" outlineLevel="0" collapsed="false">
      <c r="A723" s="120" t="e">
        <v>#NAME?</v>
      </c>
      <c r="B723" s="120" t="e">
        <v>#NAME?</v>
      </c>
      <c r="C723" s="240"/>
    </row>
    <row r="724" customFormat="false" ht="15.75" hidden="false" customHeight="false" outlineLevel="0" collapsed="false">
      <c r="A724" s="120" t="e">
        <v>#NAME?</v>
      </c>
      <c r="B724" s="120" t="e">
        <v>#NAME?</v>
      </c>
      <c r="C724" s="240"/>
    </row>
    <row r="725" customFormat="false" ht="15.75" hidden="false" customHeight="false" outlineLevel="0" collapsed="false">
      <c r="A725" s="120" t="e">
        <v>#NAME?</v>
      </c>
      <c r="B725" s="120" t="e">
        <v>#NAME?</v>
      </c>
      <c r="C725" s="240"/>
    </row>
    <row r="726" customFormat="false" ht="15.75" hidden="false" customHeight="false" outlineLevel="0" collapsed="false">
      <c r="A726" s="120" t="e">
        <v>#NAME?</v>
      </c>
      <c r="B726" s="120" t="e">
        <v>#NAME?</v>
      </c>
      <c r="C726" s="240"/>
    </row>
    <row r="727" customFormat="false" ht="15.75" hidden="false" customHeight="false" outlineLevel="0" collapsed="false">
      <c r="A727" s="120" t="e">
        <v>#NAME?</v>
      </c>
      <c r="B727" s="120" t="e">
        <v>#NAME?</v>
      </c>
      <c r="C727" s="240"/>
    </row>
    <row r="728" customFormat="false" ht="15.75" hidden="false" customHeight="false" outlineLevel="0" collapsed="false">
      <c r="A728" s="120" t="e">
        <v>#NAME?</v>
      </c>
      <c r="B728" s="120" t="e">
        <v>#NAME?</v>
      </c>
      <c r="C728" s="240"/>
    </row>
    <row r="729" customFormat="false" ht="15.75" hidden="false" customHeight="false" outlineLevel="0" collapsed="false">
      <c r="A729" s="120" t="e">
        <v>#NAME?</v>
      </c>
      <c r="B729" s="120" t="e">
        <v>#NAME?</v>
      </c>
      <c r="C729" s="240"/>
    </row>
    <row r="730" customFormat="false" ht="15.75" hidden="false" customHeight="false" outlineLevel="0" collapsed="false">
      <c r="A730" s="120" t="e">
        <v>#NAME?</v>
      </c>
      <c r="B730" s="120" t="e">
        <v>#NAME?</v>
      </c>
      <c r="C730" s="240"/>
    </row>
    <row r="731" customFormat="false" ht="15.75" hidden="false" customHeight="false" outlineLevel="0" collapsed="false">
      <c r="A731" s="120" t="e">
        <v>#NAME?</v>
      </c>
      <c r="B731" s="120" t="e">
        <v>#NAME?</v>
      </c>
      <c r="C731" s="240"/>
    </row>
    <row r="732" customFormat="false" ht="15.75" hidden="false" customHeight="false" outlineLevel="0" collapsed="false">
      <c r="A732" s="120" t="e">
        <v>#NAME?</v>
      </c>
      <c r="B732" s="120" t="e">
        <v>#NAME?</v>
      </c>
      <c r="C732" s="240"/>
    </row>
    <row r="733" customFormat="false" ht="15.75" hidden="false" customHeight="false" outlineLevel="0" collapsed="false">
      <c r="A733" s="120" t="e">
        <v>#NAME?</v>
      </c>
      <c r="B733" s="120" t="e">
        <v>#NAME?</v>
      </c>
      <c r="C733" s="240"/>
    </row>
    <row r="734" customFormat="false" ht="15.75" hidden="false" customHeight="false" outlineLevel="0" collapsed="false">
      <c r="A734" s="120" t="e">
        <v>#NAME?</v>
      </c>
      <c r="B734" s="120" t="e">
        <v>#NAME?</v>
      </c>
      <c r="C734" s="240"/>
    </row>
    <row r="735" customFormat="false" ht="15.75" hidden="false" customHeight="false" outlineLevel="0" collapsed="false">
      <c r="A735" s="120" t="e">
        <v>#NAME?</v>
      </c>
      <c r="B735" s="120" t="e">
        <v>#NAME?</v>
      </c>
      <c r="C735" s="240"/>
    </row>
    <row r="736" customFormat="false" ht="15.75" hidden="false" customHeight="false" outlineLevel="0" collapsed="false">
      <c r="A736" s="120" t="e">
        <v>#NAME?</v>
      </c>
      <c r="B736" s="120" t="e">
        <v>#NAME?</v>
      </c>
      <c r="C736" s="240"/>
    </row>
    <row r="737" customFormat="false" ht="15.75" hidden="false" customHeight="false" outlineLevel="0" collapsed="false">
      <c r="A737" s="120" t="e">
        <v>#NAME?</v>
      </c>
      <c r="B737" s="120" t="e">
        <v>#NAME?</v>
      </c>
      <c r="C737" s="240"/>
    </row>
    <row r="738" customFormat="false" ht="15.75" hidden="false" customHeight="false" outlineLevel="0" collapsed="false">
      <c r="A738" s="120" t="e">
        <v>#NAME?</v>
      </c>
      <c r="B738" s="120" t="e">
        <v>#NAME?</v>
      </c>
      <c r="C738" s="240"/>
    </row>
    <row r="739" customFormat="false" ht="15.75" hidden="false" customHeight="false" outlineLevel="0" collapsed="false">
      <c r="A739" s="120" t="e">
        <v>#NAME?</v>
      </c>
      <c r="B739" s="120" t="e">
        <v>#NAME?</v>
      </c>
      <c r="C739" s="240"/>
    </row>
    <row r="740" customFormat="false" ht="15.75" hidden="false" customHeight="false" outlineLevel="0" collapsed="false">
      <c r="A740" s="120" t="e">
        <v>#NAME?</v>
      </c>
      <c r="B740" s="120" t="e">
        <v>#NAME?</v>
      </c>
      <c r="C740" s="240"/>
    </row>
    <row r="741" customFormat="false" ht="15.75" hidden="false" customHeight="false" outlineLevel="0" collapsed="false">
      <c r="A741" s="120" t="e">
        <v>#NAME?</v>
      </c>
      <c r="B741" s="120" t="e">
        <v>#NAME?</v>
      </c>
      <c r="C741" s="240"/>
    </row>
    <row r="742" customFormat="false" ht="15.75" hidden="false" customHeight="false" outlineLevel="0" collapsed="false">
      <c r="A742" s="120" t="e">
        <v>#NAME?</v>
      </c>
      <c r="B742" s="120" t="e">
        <v>#NAME?</v>
      </c>
      <c r="C742" s="240"/>
    </row>
    <row r="743" customFormat="false" ht="15.75" hidden="false" customHeight="false" outlineLevel="0" collapsed="false">
      <c r="A743" s="120" t="e">
        <v>#NAME?</v>
      </c>
      <c r="B743" s="120" t="e">
        <v>#NAME?</v>
      </c>
      <c r="C743" s="240"/>
    </row>
    <row r="744" customFormat="false" ht="15.75" hidden="false" customHeight="false" outlineLevel="0" collapsed="false">
      <c r="A744" s="120" t="e">
        <v>#NAME?</v>
      </c>
      <c r="B744" s="120" t="e">
        <v>#NAME?</v>
      </c>
      <c r="C744" s="240"/>
    </row>
    <row r="745" customFormat="false" ht="15.75" hidden="false" customHeight="false" outlineLevel="0" collapsed="false">
      <c r="A745" s="120" t="e">
        <v>#NAME?</v>
      </c>
      <c r="B745" s="120" t="e">
        <v>#NAME?</v>
      </c>
      <c r="C745" s="240"/>
    </row>
    <row r="746" customFormat="false" ht="15.75" hidden="false" customHeight="false" outlineLevel="0" collapsed="false">
      <c r="A746" s="120" t="e">
        <v>#NAME?</v>
      </c>
      <c r="B746" s="120" t="e">
        <v>#NAME?</v>
      </c>
      <c r="C746" s="240"/>
    </row>
    <row r="747" customFormat="false" ht="15.75" hidden="false" customHeight="false" outlineLevel="0" collapsed="false">
      <c r="A747" s="120" t="e">
        <v>#NAME?</v>
      </c>
      <c r="B747" s="120" t="e">
        <v>#NAME?</v>
      </c>
      <c r="C747" s="240"/>
    </row>
    <row r="748" customFormat="false" ht="15.75" hidden="false" customHeight="false" outlineLevel="0" collapsed="false">
      <c r="A748" s="120" t="e">
        <v>#NAME?</v>
      </c>
      <c r="B748" s="120" t="e">
        <v>#NAME?</v>
      </c>
      <c r="C748" s="240"/>
    </row>
    <row r="749" customFormat="false" ht="15.75" hidden="false" customHeight="false" outlineLevel="0" collapsed="false">
      <c r="A749" s="120" t="e">
        <v>#NAME?</v>
      </c>
      <c r="B749" s="120" t="e">
        <v>#NAME?</v>
      </c>
      <c r="C749" s="240"/>
    </row>
    <row r="750" customFormat="false" ht="15.75" hidden="false" customHeight="false" outlineLevel="0" collapsed="false">
      <c r="A750" s="120" t="e">
        <v>#NAME?</v>
      </c>
      <c r="B750" s="120" t="e">
        <v>#NAME?</v>
      </c>
      <c r="C750" s="240"/>
    </row>
    <row r="751" customFormat="false" ht="15.75" hidden="false" customHeight="false" outlineLevel="0" collapsed="false">
      <c r="A751" s="120" t="e">
        <v>#NAME?</v>
      </c>
      <c r="B751" s="120" t="e">
        <v>#NAME?</v>
      </c>
      <c r="C751" s="240"/>
    </row>
    <row r="752" customFormat="false" ht="15.75" hidden="false" customHeight="false" outlineLevel="0" collapsed="false">
      <c r="A752" s="120" t="e">
        <v>#NAME?</v>
      </c>
      <c r="B752" s="120" t="e">
        <v>#NAME?</v>
      </c>
      <c r="C752" s="240"/>
    </row>
    <row r="753" customFormat="false" ht="15.75" hidden="false" customHeight="false" outlineLevel="0" collapsed="false">
      <c r="A753" s="120" t="e">
        <v>#NAME?</v>
      </c>
      <c r="B753" s="120" t="e">
        <v>#NAME?</v>
      </c>
      <c r="C753" s="240"/>
    </row>
    <row r="754" customFormat="false" ht="15.75" hidden="false" customHeight="false" outlineLevel="0" collapsed="false">
      <c r="A754" s="120" t="e">
        <v>#NAME?</v>
      </c>
      <c r="B754" s="120" t="e">
        <v>#NAME?</v>
      </c>
      <c r="C754" s="240"/>
    </row>
    <row r="755" customFormat="false" ht="15.75" hidden="false" customHeight="false" outlineLevel="0" collapsed="false">
      <c r="A755" s="120" t="e">
        <v>#NAME?</v>
      </c>
      <c r="B755" s="120" t="e">
        <v>#NAME?</v>
      </c>
      <c r="C755" s="240"/>
    </row>
    <row r="756" customFormat="false" ht="15.75" hidden="false" customHeight="false" outlineLevel="0" collapsed="false">
      <c r="A756" s="120" t="e">
        <v>#NAME?</v>
      </c>
      <c r="B756" s="120" t="e">
        <v>#NAME?</v>
      </c>
      <c r="C756" s="240"/>
    </row>
    <row r="757" customFormat="false" ht="15.75" hidden="false" customHeight="false" outlineLevel="0" collapsed="false">
      <c r="A757" s="120" t="e">
        <v>#NAME?</v>
      </c>
      <c r="B757" s="120" t="e">
        <v>#NAME?</v>
      </c>
      <c r="C757" s="240"/>
    </row>
    <row r="758" customFormat="false" ht="15.75" hidden="false" customHeight="false" outlineLevel="0" collapsed="false">
      <c r="A758" s="120" t="e">
        <v>#NAME?</v>
      </c>
      <c r="B758" s="120" t="e">
        <v>#NAME?</v>
      </c>
      <c r="C758" s="240"/>
    </row>
    <row r="759" customFormat="false" ht="15.75" hidden="false" customHeight="false" outlineLevel="0" collapsed="false">
      <c r="A759" s="120" t="e">
        <v>#NAME?</v>
      </c>
      <c r="B759" s="120" t="e">
        <v>#NAME?</v>
      </c>
      <c r="C759" s="240"/>
    </row>
    <row r="760" customFormat="false" ht="15.75" hidden="false" customHeight="false" outlineLevel="0" collapsed="false">
      <c r="A760" s="120" t="e">
        <v>#NAME?</v>
      </c>
      <c r="B760" s="120" t="e">
        <v>#NAME?</v>
      </c>
      <c r="C760" s="240"/>
    </row>
    <row r="761" customFormat="false" ht="15.75" hidden="false" customHeight="false" outlineLevel="0" collapsed="false">
      <c r="A761" s="120" t="e">
        <v>#NAME?</v>
      </c>
      <c r="B761" s="120" t="e">
        <v>#NAME?</v>
      </c>
      <c r="C761" s="240"/>
    </row>
    <row r="762" customFormat="false" ht="15.75" hidden="false" customHeight="false" outlineLevel="0" collapsed="false">
      <c r="A762" s="120" t="e">
        <v>#NAME?</v>
      </c>
      <c r="B762" s="120" t="e">
        <v>#NAME?</v>
      </c>
      <c r="C762" s="240"/>
    </row>
    <row r="763" customFormat="false" ht="15.75" hidden="false" customHeight="false" outlineLevel="0" collapsed="false">
      <c r="A763" s="120" t="e">
        <v>#NAME?</v>
      </c>
      <c r="B763" s="120" t="e">
        <v>#NAME?</v>
      </c>
      <c r="C763" s="240"/>
    </row>
    <row r="764" customFormat="false" ht="15.75" hidden="false" customHeight="false" outlineLevel="0" collapsed="false">
      <c r="A764" s="120" t="e">
        <v>#NAME?</v>
      </c>
      <c r="B764" s="120" t="e">
        <v>#NAME?</v>
      </c>
      <c r="C764" s="240"/>
    </row>
    <row r="765" customFormat="false" ht="15.75" hidden="false" customHeight="false" outlineLevel="0" collapsed="false">
      <c r="A765" s="120" t="e">
        <v>#NAME?</v>
      </c>
      <c r="B765" s="120" t="e">
        <v>#NAME?</v>
      </c>
      <c r="C765" s="240"/>
    </row>
    <row r="766" customFormat="false" ht="15.75" hidden="false" customHeight="false" outlineLevel="0" collapsed="false">
      <c r="A766" s="120" t="e">
        <v>#NAME?</v>
      </c>
      <c r="B766" s="120" t="e">
        <v>#NAME?</v>
      </c>
      <c r="C766" s="240"/>
    </row>
    <row r="767" customFormat="false" ht="15.75" hidden="false" customHeight="false" outlineLevel="0" collapsed="false">
      <c r="A767" s="120" t="e">
        <v>#NAME?</v>
      </c>
      <c r="B767" s="120" t="e">
        <v>#NAME?</v>
      </c>
      <c r="C767" s="240"/>
    </row>
    <row r="768" customFormat="false" ht="15.75" hidden="false" customHeight="false" outlineLevel="0" collapsed="false">
      <c r="A768" s="120" t="e">
        <v>#NAME?</v>
      </c>
      <c r="B768" s="120" t="e">
        <v>#NAME?</v>
      </c>
      <c r="C768" s="240"/>
    </row>
    <row r="769" customFormat="false" ht="15.75" hidden="false" customHeight="false" outlineLevel="0" collapsed="false">
      <c r="A769" s="120" t="e">
        <v>#NAME?</v>
      </c>
      <c r="B769" s="120" t="e">
        <v>#NAME?</v>
      </c>
      <c r="C769" s="240"/>
    </row>
    <row r="770" customFormat="false" ht="15.75" hidden="false" customHeight="false" outlineLevel="0" collapsed="false">
      <c r="A770" s="120" t="e">
        <v>#NAME?</v>
      </c>
      <c r="B770" s="120" t="e">
        <v>#NAME?</v>
      </c>
      <c r="C770" s="240"/>
    </row>
    <row r="771" customFormat="false" ht="15.75" hidden="false" customHeight="false" outlineLevel="0" collapsed="false">
      <c r="A771" s="120" t="e">
        <v>#NAME?</v>
      </c>
      <c r="B771" s="120" t="e">
        <v>#NAME?</v>
      </c>
      <c r="C771" s="240"/>
    </row>
    <row r="772" customFormat="false" ht="15.75" hidden="false" customHeight="false" outlineLevel="0" collapsed="false">
      <c r="A772" s="120" t="e">
        <v>#NAME?</v>
      </c>
      <c r="B772" s="120" t="e">
        <v>#NAME?</v>
      </c>
      <c r="C772" s="240"/>
    </row>
    <row r="773" customFormat="false" ht="15.75" hidden="false" customHeight="false" outlineLevel="0" collapsed="false">
      <c r="A773" s="120" t="e">
        <v>#NAME?</v>
      </c>
      <c r="B773" s="120" t="e">
        <v>#NAME?</v>
      </c>
      <c r="C773" s="240"/>
    </row>
    <row r="774" customFormat="false" ht="15.75" hidden="false" customHeight="false" outlineLevel="0" collapsed="false">
      <c r="A774" s="120" t="e">
        <v>#NAME?</v>
      </c>
      <c r="B774" s="120" t="e">
        <v>#NAME?</v>
      </c>
      <c r="C774" s="240"/>
    </row>
    <row r="775" customFormat="false" ht="15.75" hidden="false" customHeight="false" outlineLevel="0" collapsed="false">
      <c r="A775" s="120" t="e">
        <v>#NAME?</v>
      </c>
      <c r="B775" s="120" t="e">
        <v>#NAME?</v>
      </c>
      <c r="C775" s="240"/>
    </row>
    <row r="776" customFormat="false" ht="15.75" hidden="false" customHeight="false" outlineLevel="0" collapsed="false">
      <c r="A776" s="120" t="e">
        <v>#NAME?</v>
      </c>
      <c r="B776" s="120" t="e">
        <v>#NAME?</v>
      </c>
      <c r="C776" s="240"/>
    </row>
    <row r="777" customFormat="false" ht="15.75" hidden="false" customHeight="false" outlineLevel="0" collapsed="false">
      <c r="A777" s="120" t="e">
        <v>#NAME?</v>
      </c>
      <c r="B777" s="120" t="e">
        <v>#NAME?</v>
      </c>
      <c r="C777" s="240"/>
    </row>
    <row r="778" customFormat="false" ht="15.75" hidden="false" customHeight="false" outlineLevel="0" collapsed="false">
      <c r="A778" s="120" t="e">
        <v>#NAME?</v>
      </c>
      <c r="B778" s="120" t="e">
        <v>#NAME?</v>
      </c>
      <c r="C778" s="240"/>
    </row>
    <row r="779" customFormat="false" ht="15.75" hidden="false" customHeight="false" outlineLevel="0" collapsed="false">
      <c r="A779" s="120" t="e">
        <v>#NAME?</v>
      </c>
      <c r="B779" s="120" t="e">
        <v>#NAME?</v>
      </c>
      <c r="C779" s="240"/>
    </row>
    <row r="780" customFormat="false" ht="15.75" hidden="false" customHeight="false" outlineLevel="0" collapsed="false">
      <c r="A780" s="120" t="e">
        <v>#NAME?</v>
      </c>
      <c r="B780" s="120" t="e">
        <v>#NAME?</v>
      </c>
      <c r="C780" s="240"/>
    </row>
    <row r="781" customFormat="false" ht="15.75" hidden="false" customHeight="false" outlineLevel="0" collapsed="false">
      <c r="A781" s="120" t="e">
        <v>#NAME?</v>
      </c>
      <c r="B781" s="120" t="e">
        <v>#NAME?</v>
      </c>
      <c r="C781" s="240"/>
    </row>
    <row r="782" customFormat="false" ht="15.75" hidden="false" customHeight="false" outlineLevel="0" collapsed="false">
      <c r="A782" s="120" t="e">
        <v>#NAME?</v>
      </c>
      <c r="B782" s="120" t="e">
        <v>#NAME?</v>
      </c>
      <c r="C782" s="240"/>
    </row>
    <row r="783" customFormat="false" ht="15.75" hidden="false" customHeight="false" outlineLevel="0" collapsed="false">
      <c r="A783" s="120" t="e">
        <v>#NAME?</v>
      </c>
      <c r="B783" s="120" t="e">
        <v>#NAME?</v>
      </c>
      <c r="C783" s="240"/>
    </row>
    <row r="784" customFormat="false" ht="15.75" hidden="false" customHeight="false" outlineLevel="0" collapsed="false">
      <c r="A784" s="120" t="e">
        <v>#NAME?</v>
      </c>
      <c r="B784" s="120" t="e">
        <v>#NAME?</v>
      </c>
      <c r="C784" s="240"/>
    </row>
    <row r="785" customFormat="false" ht="15.75" hidden="false" customHeight="false" outlineLevel="0" collapsed="false">
      <c r="A785" s="120" t="e">
        <v>#NAME?</v>
      </c>
      <c r="B785" s="120" t="e">
        <v>#NAME?</v>
      </c>
      <c r="C785" s="240"/>
    </row>
    <row r="786" customFormat="false" ht="15.75" hidden="false" customHeight="false" outlineLevel="0" collapsed="false">
      <c r="A786" s="120" t="e">
        <v>#NAME?</v>
      </c>
      <c r="B786" s="120" t="e">
        <v>#NAME?</v>
      </c>
      <c r="C786" s="240"/>
    </row>
    <row r="787" customFormat="false" ht="15.75" hidden="false" customHeight="false" outlineLevel="0" collapsed="false">
      <c r="A787" s="120" t="e">
        <v>#NAME?</v>
      </c>
      <c r="B787" s="120" t="e">
        <v>#NAME?</v>
      </c>
      <c r="C787" s="240"/>
    </row>
    <row r="788" customFormat="false" ht="15.75" hidden="false" customHeight="false" outlineLevel="0" collapsed="false">
      <c r="A788" s="120" t="e">
        <v>#NAME?</v>
      </c>
      <c r="B788" s="120" t="e">
        <v>#NAME?</v>
      </c>
      <c r="C788" s="240"/>
    </row>
    <row r="789" customFormat="false" ht="15.75" hidden="false" customHeight="false" outlineLevel="0" collapsed="false">
      <c r="A789" s="120" t="e">
        <v>#NAME?</v>
      </c>
      <c r="B789" s="120" t="e">
        <v>#NAME?</v>
      </c>
      <c r="C789" s="240"/>
    </row>
    <row r="790" customFormat="false" ht="15.75" hidden="false" customHeight="false" outlineLevel="0" collapsed="false">
      <c r="A790" s="120" t="e">
        <v>#NAME?</v>
      </c>
      <c r="B790" s="120" t="e">
        <v>#NAME?</v>
      </c>
      <c r="C790" s="240"/>
    </row>
    <row r="791" customFormat="false" ht="15.75" hidden="false" customHeight="false" outlineLevel="0" collapsed="false">
      <c r="A791" s="120" t="e">
        <v>#NAME?</v>
      </c>
      <c r="B791" s="120" t="e">
        <v>#NAME?</v>
      </c>
      <c r="C791" s="240"/>
    </row>
    <row r="792" customFormat="false" ht="15.75" hidden="false" customHeight="false" outlineLevel="0" collapsed="false">
      <c r="A792" s="120" t="e">
        <v>#NAME?</v>
      </c>
      <c r="B792" s="120" t="e">
        <v>#NAME?</v>
      </c>
      <c r="C792" s="240"/>
    </row>
    <row r="793" customFormat="false" ht="15.75" hidden="false" customHeight="false" outlineLevel="0" collapsed="false">
      <c r="A793" s="120" t="e">
        <v>#NAME?</v>
      </c>
      <c r="B793" s="120" t="e">
        <v>#NAME?</v>
      </c>
      <c r="C793" s="240"/>
    </row>
    <row r="794" customFormat="false" ht="15.75" hidden="false" customHeight="false" outlineLevel="0" collapsed="false">
      <c r="A794" s="120" t="e">
        <v>#NAME?</v>
      </c>
      <c r="B794" s="120" t="e">
        <v>#NAME?</v>
      </c>
      <c r="C794" s="240"/>
    </row>
    <row r="795" customFormat="false" ht="15.75" hidden="false" customHeight="false" outlineLevel="0" collapsed="false">
      <c r="A795" s="120" t="e">
        <v>#NAME?</v>
      </c>
      <c r="B795" s="120" t="e">
        <v>#NAME?</v>
      </c>
      <c r="C795" s="240"/>
    </row>
    <row r="796" customFormat="false" ht="15.75" hidden="false" customHeight="false" outlineLevel="0" collapsed="false">
      <c r="A796" s="120" t="e">
        <v>#NAME?</v>
      </c>
      <c r="B796" s="120" t="e">
        <v>#NAME?</v>
      </c>
      <c r="C796" s="240"/>
    </row>
    <row r="797" customFormat="false" ht="15.75" hidden="false" customHeight="false" outlineLevel="0" collapsed="false">
      <c r="A797" s="120" t="e">
        <v>#NAME?</v>
      </c>
      <c r="B797" s="120" t="e">
        <v>#NAME?</v>
      </c>
      <c r="C797" s="240"/>
    </row>
    <row r="798" customFormat="false" ht="15.75" hidden="false" customHeight="false" outlineLevel="0" collapsed="false">
      <c r="A798" s="120" t="e">
        <v>#NAME?</v>
      </c>
      <c r="B798" s="120" t="e">
        <v>#NAME?</v>
      </c>
      <c r="C798" s="240"/>
    </row>
    <row r="799" customFormat="false" ht="15.75" hidden="false" customHeight="false" outlineLevel="0" collapsed="false">
      <c r="A799" s="120" t="e">
        <v>#NAME?</v>
      </c>
      <c r="B799" s="120" t="e">
        <v>#NAME?</v>
      </c>
      <c r="C799" s="240"/>
    </row>
    <row r="800" customFormat="false" ht="15.75" hidden="false" customHeight="false" outlineLevel="0" collapsed="false">
      <c r="A800" s="120" t="e">
        <v>#NAME?</v>
      </c>
      <c r="B800" s="120" t="e">
        <v>#NAME?</v>
      </c>
      <c r="C800" s="240"/>
    </row>
    <row r="801" customFormat="false" ht="15.75" hidden="false" customHeight="false" outlineLevel="0" collapsed="false">
      <c r="A801" s="120" t="e">
        <v>#NAME?</v>
      </c>
      <c r="B801" s="120" t="e">
        <v>#NAME?</v>
      </c>
      <c r="C801" s="240"/>
    </row>
    <row r="802" customFormat="false" ht="15.75" hidden="false" customHeight="false" outlineLevel="0" collapsed="false">
      <c r="A802" s="120" t="e">
        <v>#NAME?</v>
      </c>
      <c r="B802" s="120" t="e">
        <v>#NAME?</v>
      </c>
      <c r="C802" s="240"/>
    </row>
    <row r="803" customFormat="false" ht="15.75" hidden="false" customHeight="false" outlineLevel="0" collapsed="false">
      <c r="A803" s="120" t="e">
        <v>#NAME?</v>
      </c>
      <c r="B803" s="120" t="e">
        <v>#NAME?</v>
      </c>
      <c r="C803" s="240"/>
    </row>
    <row r="804" customFormat="false" ht="15.75" hidden="false" customHeight="false" outlineLevel="0" collapsed="false">
      <c r="A804" s="120" t="e">
        <v>#NAME?</v>
      </c>
      <c r="B804" s="120" t="e">
        <v>#NAME?</v>
      </c>
      <c r="C804" s="240"/>
    </row>
    <row r="805" customFormat="false" ht="15.75" hidden="false" customHeight="false" outlineLevel="0" collapsed="false">
      <c r="A805" s="120" t="e">
        <v>#NAME?</v>
      </c>
      <c r="B805" s="120" t="e">
        <v>#NAME?</v>
      </c>
      <c r="C805" s="240"/>
    </row>
    <row r="806" customFormat="false" ht="15.75" hidden="false" customHeight="false" outlineLevel="0" collapsed="false">
      <c r="A806" s="120" t="e">
        <v>#NAME?</v>
      </c>
      <c r="B806" s="120" t="e">
        <v>#NAME?</v>
      </c>
      <c r="C806" s="240"/>
    </row>
    <row r="807" customFormat="false" ht="15.75" hidden="false" customHeight="false" outlineLevel="0" collapsed="false">
      <c r="A807" s="120" t="e">
        <v>#NAME?</v>
      </c>
      <c r="B807" s="120" t="e">
        <v>#NAME?</v>
      </c>
      <c r="C807" s="240"/>
    </row>
    <row r="808" customFormat="false" ht="15.75" hidden="false" customHeight="false" outlineLevel="0" collapsed="false">
      <c r="A808" s="120" t="e">
        <v>#NAME?</v>
      </c>
      <c r="B808" s="120" t="e">
        <v>#NAME?</v>
      </c>
      <c r="C808" s="240"/>
    </row>
    <row r="809" customFormat="false" ht="15.75" hidden="false" customHeight="false" outlineLevel="0" collapsed="false">
      <c r="A809" s="120" t="e">
        <v>#NAME?</v>
      </c>
      <c r="B809" s="120" t="e">
        <v>#NAME?</v>
      </c>
      <c r="C809" s="240"/>
    </row>
    <row r="810" customFormat="false" ht="15.75" hidden="false" customHeight="false" outlineLevel="0" collapsed="false">
      <c r="A810" s="120" t="e">
        <v>#NAME?</v>
      </c>
      <c r="B810" s="120" t="e">
        <v>#NAME?</v>
      </c>
      <c r="C810" s="240"/>
    </row>
    <row r="811" customFormat="false" ht="15.75" hidden="false" customHeight="false" outlineLevel="0" collapsed="false">
      <c r="A811" s="120" t="e">
        <v>#NAME?</v>
      </c>
      <c r="B811" s="120" t="e">
        <v>#NAME?</v>
      </c>
      <c r="C811" s="240"/>
    </row>
    <row r="812" customFormat="false" ht="15.75" hidden="false" customHeight="false" outlineLevel="0" collapsed="false">
      <c r="A812" s="120" t="e">
        <v>#NAME?</v>
      </c>
      <c r="B812" s="120" t="e">
        <v>#NAME?</v>
      </c>
      <c r="C812" s="240"/>
    </row>
    <row r="813" customFormat="false" ht="15.75" hidden="false" customHeight="false" outlineLevel="0" collapsed="false">
      <c r="A813" s="120" t="e">
        <v>#NAME?</v>
      </c>
      <c r="B813" s="120" t="e">
        <v>#NAME?</v>
      </c>
      <c r="C813" s="240"/>
    </row>
    <row r="814" customFormat="false" ht="15.75" hidden="false" customHeight="false" outlineLevel="0" collapsed="false">
      <c r="A814" s="120" t="e">
        <v>#NAME?</v>
      </c>
      <c r="B814" s="120" t="e">
        <v>#NAME?</v>
      </c>
      <c r="C814" s="240"/>
    </row>
    <row r="815" customFormat="false" ht="15.75" hidden="false" customHeight="false" outlineLevel="0" collapsed="false">
      <c r="A815" s="120" t="e">
        <v>#NAME?</v>
      </c>
      <c r="B815" s="120" t="e">
        <v>#NAME?</v>
      </c>
      <c r="C815" s="240"/>
    </row>
    <row r="816" customFormat="false" ht="15.75" hidden="false" customHeight="false" outlineLevel="0" collapsed="false">
      <c r="A816" s="120" t="e">
        <v>#NAME?</v>
      </c>
      <c r="B816" s="120" t="e">
        <v>#NAME?</v>
      </c>
      <c r="C816" s="240"/>
    </row>
    <row r="817" customFormat="false" ht="15.75" hidden="false" customHeight="false" outlineLevel="0" collapsed="false">
      <c r="A817" s="120" t="e">
        <v>#NAME?</v>
      </c>
      <c r="B817" s="120" t="e">
        <v>#NAME?</v>
      </c>
      <c r="C817" s="240"/>
    </row>
    <row r="818" customFormat="false" ht="15.75" hidden="false" customHeight="false" outlineLevel="0" collapsed="false">
      <c r="A818" s="120" t="e">
        <v>#NAME?</v>
      </c>
      <c r="B818" s="120" t="e">
        <v>#NAME?</v>
      </c>
      <c r="C818" s="240"/>
    </row>
    <row r="819" customFormat="false" ht="15.75" hidden="false" customHeight="false" outlineLevel="0" collapsed="false">
      <c r="A819" s="120" t="e">
        <v>#NAME?</v>
      </c>
      <c r="B819" s="120" t="e">
        <v>#NAME?</v>
      </c>
      <c r="C819" s="240"/>
    </row>
    <row r="820" customFormat="false" ht="15.75" hidden="false" customHeight="false" outlineLevel="0" collapsed="false">
      <c r="A820" s="120" t="e">
        <v>#NAME?</v>
      </c>
      <c r="B820" s="120" t="e">
        <v>#NAME?</v>
      </c>
      <c r="C820" s="240"/>
    </row>
    <row r="821" customFormat="false" ht="15.75" hidden="false" customHeight="false" outlineLevel="0" collapsed="false">
      <c r="A821" s="120" t="e">
        <v>#NAME?</v>
      </c>
      <c r="B821" s="120" t="e">
        <v>#NAME?</v>
      </c>
      <c r="C821" s="240"/>
    </row>
    <row r="822" customFormat="false" ht="15.75" hidden="false" customHeight="false" outlineLevel="0" collapsed="false">
      <c r="A822" s="120" t="e">
        <v>#NAME?</v>
      </c>
      <c r="B822" s="120" t="e">
        <v>#NAME?</v>
      </c>
      <c r="C822" s="240"/>
    </row>
    <row r="823" customFormat="false" ht="15.75" hidden="false" customHeight="false" outlineLevel="0" collapsed="false">
      <c r="A823" s="120" t="e">
        <v>#NAME?</v>
      </c>
      <c r="B823" s="120" t="e">
        <v>#NAME?</v>
      </c>
      <c r="C823" s="240"/>
    </row>
    <row r="824" customFormat="false" ht="15.75" hidden="false" customHeight="false" outlineLevel="0" collapsed="false">
      <c r="A824" s="120" t="e">
        <v>#NAME?</v>
      </c>
      <c r="B824" s="120" t="e">
        <v>#NAME?</v>
      </c>
      <c r="C824" s="240"/>
    </row>
    <row r="825" customFormat="false" ht="15.75" hidden="false" customHeight="false" outlineLevel="0" collapsed="false">
      <c r="A825" s="120" t="e">
        <v>#NAME?</v>
      </c>
      <c r="B825" s="120" t="e">
        <v>#NAME?</v>
      </c>
      <c r="C825" s="240"/>
    </row>
    <row r="826" customFormat="false" ht="15.75" hidden="false" customHeight="false" outlineLevel="0" collapsed="false">
      <c r="A826" s="120" t="e">
        <v>#NAME?</v>
      </c>
      <c r="B826" s="120" t="e">
        <v>#NAME?</v>
      </c>
      <c r="C826" s="240"/>
    </row>
    <row r="827" customFormat="false" ht="15.75" hidden="false" customHeight="false" outlineLevel="0" collapsed="false">
      <c r="A827" s="120" t="e">
        <v>#NAME?</v>
      </c>
      <c r="B827" s="120" t="e">
        <v>#NAME?</v>
      </c>
      <c r="C827" s="240"/>
    </row>
    <row r="828" customFormat="false" ht="15.75" hidden="false" customHeight="false" outlineLevel="0" collapsed="false">
      <c r="A828" s="120" t="e">
        <v>#NAME?</v>
      </c>
      <c r="B828" s="120" t="e">
        <v>#NAME?</v>
      </c>
      <c r="C828" s="240"/>
    </row>
    <row r="829" customFormat="false" ht="15.75" hidden="false" customHeight="false" outlineLevel="0" collapsed="false">
      <c r="A829" s="120" t="e">
        <v>#NAME?</v>
      </c>
      <c r="B829" s="120" t="e">
        <v>#NAME?</v>
      </c>
      <c r="C829" s="240"/>
    </row>
    <row r="830" customFormat="false" ht="15.75" hidden="false" customHeight="false" outlineLevel="0" collapsed="false">
      <c r="A830" s="120" t="e">
        <v>#NAME?</v>
      </c>
      <c r="B830" s="120" t="e">
        <v>#NAME?</v>
      </c>
      <c r="C830" s="240"/>
    </row>
    <row r="831" customFormat="false" ht="15.75" hidden="false" customHeight="false" outlineLevel="0" collapsed="false">
      <c r="A831" s="120" t="e">
        <v>#NAME?</v>
      </c>
      <c r="B831" s="120" t="e">
        <v>#NAME?</v>
      </c>
      <c r="C831" s="240"/>
    </row>
    <row r="832" customFormat="false" ht="15.75" hidden="false" customHeight="false" outlineLevel="0" collapsed="false">
      <c r="A832" s="120" t="e">
        <v>#NAME?</v>
      </c>
      <c r="B832" s="120" t="e">
        <v>#NAME?</v>
      </c>
      <c r="C832" s="240"/>
    </row>
    <row r="833" customFormat="false" ht="15.75" hidden="false" customHeight="false" outlineLevel="0" collapsed="false">
      <c r="A833" s="120" t="e">
        <v>#NAME?</v>
      </c>
      <c r="B833" s="120" t="e">
        <v>#NAME?</v>
      </c>
      <c r="C833" s="240"/>
    </row>
    <row r="834" customFormat="false" ht="15.75" hidden="false" customHeight="false" outlineLevel="0" collapsed="false">
      <c r="A834" s="120" t="e">
        <v>#NAME?</v>
      </c>
      <c r="B834" s="120" t="e">
        <v>#NAME?</v>
      </c>
      <c r="C834" s="240"/>
    </row>
    <row r="835" customFormat="false" ht="15.75" hidden="false" customHeight="false" outlineLevel="0" collapsed="false">
      <c r="A835" s="120" t="e">
        <v>#NAME?</v>
      </c>
      <c r="B835" s="120" t="e">
        <v>#NAME?</v>
      </c>
      <c r="C835" s="240"/>
    </row>
    <row r="836" customFormat="false" ht="15.75" hidden="false" customHeight="false" outlineLevel="0" collapsed="false">
      <c r="A836" s="120" t="e">
        <v>#NAME?</v>
      </c>
      <c r="B836" s="120" t="e">
        <v>#NAME?</v>
      </c>
      <c r="C836" s="240"/>
    </row>
    <row r="837" customFormat="false" ht="15.75" hidden="false" customHeight="false" outlineLevel="0" collapsed="false">
      <c r="A837" s="120" t="e">
        <v>#NAME?</v>
      </c>
      <c r="B837" s="120" t="e">
        <v>#NAME?</v>
      </c>
      <c r="C837" s="240"/>
    </row>
    <row r="838" customFormat="false" ht="15.75" hidden="false" customHeight="false" outlineLevel="0" collapsed="false">
      <c r="A838" s="120" t="e">
        <v>#NAME?</v>
      </c>
      <c r="B838" s="120" t="e">
        <v>#NAME?</v>
      </c>
      <c r="C838" s="240"/>
    </row>
    <row r="839" customFormat="false" ht="15.75" hidden="false" customHeight="false" outlineLevel="0" collapsed="false">
      <c r="A839" s="120" t="e">
        <v>#NAME?</v>
      </c>
      <c r="B839" s="120" t="e">
        <v>#NAME?</v>
      </c>
      <c r="C839" s="240"/>
    </row>
    <row r="840" customFormat="false" ht="15.75" hidden="false" customHeight="false" outlineLevel="0" collapsed="false">
      <c r="A840" s="120" t="e">
        <v>#NAME?</v>
      </c>
      <c r="B840" s="120" t="e">
        <v>#NAME?</v>
      </c>
      <c r="C840" s="240"/>
    </row>
    <row r="841" customFormat="false" ht="15.75" hidden="false" customHeight="false" outlineLevel="0" collapsed="false">
      <c r="A841" s="120" t="e">
        <v>#NAME?</v>
      </c>
      <c r="B841" s="120" t="e">
        <v>#NAME?</v>
      </c>
      <c r="C841" s="240"/>
    </row>
    <row r="842" customFormat="false" ht="15.75" hidden="false" customHeight="false" outlineLevel="0" collapsed="false">
      <c r="A842" s="120" t="e">
        <v>#NAME?</v>
      </c>
      <c r="B842" s="120" t="e">
        <v>#NAME?</v>
      </c>
      <c r="C842" s="240"/>
    </row>
    <row r="843" customFormat="false" ht="15.75" hidden="false" customHeight="false" outlineLevel="0" collapsed="false">
      <c r="A843" s="120" t="e">
        <v>#NAME?</v>
      </c>
      <c r="B843" s="120" t="e">
        <v>#NAME?</v>
      </c>
      <c r="C843" s="240"/>
    </row>
    <row r="844" customFormat="false" ht="15.75" hidden="false" customHeight="false" outlineLevel="0" collapsed="false">
      <c r="A844" s="120" t="e">
        <v>#NAME?</v>
      </c>
      <c r="B844" s="120" t="e">
        <v>#NAME?</v>
      </c>
      <c r="C844" s="240"/>
    </row>
    <row r="845" customFormat="false" ht="15.75" hidden="false" customHeight="false" outlineLevel="0" collapsed="false">
      <c r="A845" s="120" t="e">
        <v>#NAME?</v>
      </c>
      <c r="B845" s="120" t="e">
        <v>#NAME?</v>
      </c>
      <c r="C845" s="240"/>
    </row>
    <row r="846" customFormat="false" ht="15.75" hidden="false" customHeight="false" outlineLevel="0" collapsed="false">
      <c r="A846" s="120" t="e">
        <v>#NAME?</v>
      </c>
      <c r="B846" s="120" t="e">
        <v>#NAME?</v>
      </c>
      <c r="C846" s="240"/>
    </row>
    <row r="847" customFormat="false" ht="15.75" hidden="false" customHeight="false" outlineLevel="0" collapsed="false">
      <c r="A847" s="120" t="e">
        <v>#NAME?</v>
      </c>
      <c r="B847" s="120" t="e">
        <v>#NAME?</v>
      </c>
      <c r="C847" s="240"/>
    </row>
    <row r="848" customFormat="false" ht="15.75" hidden="false" customHeight="false" outlineLevel="0" collapsed="false">
      <c r="A848" s="120" t="e">
        <v>#NAME?</v>
      </c>
      <c r="B848" s="120" t="e">
        <v>#NAME?</v>
      </c>
      <c r="C848" s="240"/>
    </row>
    <row r="849" customFormat="false" ht="15.75" hidden="false" customHeight="false" outlineLevel="0" collapsed="false">
      <c r="A849" s="120" t="e">
        <v>#NAME?</v>
      </c>
      <c r="B849" s="120" t="e">
        <v>#NAME?</v>
      </c>
      <c r="C849" s="240"/>
    </row>
    <row r="850" customFormat="false" ht="15.75" hidden="false" customHeight="false" outlineLevel="0" collapsed="false">
      <c r="A850" s="120" t="e">
        <v>#NAME?</v>
      </c>
      <c r="B850" s="120" t="e">
        <v>#NAME?</v>
      </c>
      <c r="C850" s="240"/>
    </row>
    <row r="851" customFormat="false" ht="15.75" hidden="false" customHeight="false" outlineLevel="0" collapsed="false">
      <c r="A851" s="120" t="e">
        <v>#NAME?</v>
      </c>
      <c r="B851" s="120" t="e">
        <v>#NAME?</v>
      </c>
      <c r="C851" s="240"/>
    </row>
    <row r="852" customFormat="false" ht="15.75" hidden="false" customHeight="false" outlineLevel="0" collapsed="false">
      <c r="A852" s="120" t="e">
        <v>#NAME?</v>
      </c>
      <c r="B852" s="120" t="e">
        <v>#NAME?</v>
      </c>
      <c r="C852" s="240"/>
    </row>
    <row r="853" customFormat="false" ht="15.75" hidden="false" customHeight="false" outlineLevel="0" collapsed="false">
      <c r="A853" s="120" t="e">
        <v>#NAME?</v>
      </c>
      <c r="B853" s="120" t="e">
        <v>#NAME?</v>
      </c>
      <c r="C853" s="240"/>
    </row>
    <row r="854" customFormat="false" ht="15.75" hidden="false" customHeight="false" outlineLevel="0" collapsed="false">
      <c r="A854" s="120" t="e">
        <v>#NAME?</v>
      </c>
      <c r="B854" s="120" t="e">
        <v>#NAME?</v>
      </c>
      <c r="C854" s="240"/>
    </row>
    <row r="855" customFormat="false" ht="15.75" hidden="false" customHeight="false" outlineLevel="0" collapsed="false">
      <c r="A855" s="120" t="e">
        <v>#NAME?</v>
      </c>
      <c r="B855" s="120" t="e">
        <v>#NAME?</v>
      </c>
      <c r="C855" s="240"/>
    </row>
    <row r="856" customFormat="false" ht="15.75" hidden="false" customHeight="false" outlineLevel="0" collapsed="false">
      <c r="A856" s="120" t="e">
        <v>#NAME?</v>
      </c>
      <c r="B856" s="120" t="e">
        <v>#NAME?</v>
      </c>
      <c r="C856" s="240"/>
    </row>
    <row r="857" customFormat="false" ht="15.75" hidden="false" customHeight="false" outlineLevel="0" collapsed="false">
      <c r="A857" s="120" t="e">
        <v>#NAME?</v>
      </c>
      <c r="B857" s="120" t="e">
        <v>#NAME?</v>
      </c>
      <c r="C857" s="240"/>
    </row>
    <row r="858" customFormat="false" ht="15.75" hidden="false" customHeight="false" outlineLevel="0" collapsed="false">
      <c r="A858" s="120" t="e">
        <v>#NAME?</v>
      </c>
      <c r="B858" s="120" t="e">
        <v>#NAME?</v>
      </c>
      <c r="C858" s="240"/>
    </row>
    <row r="859" customFormat="false" ht="15.75" hidden="false" customHeight="false" outlineLevel="0" collapsed="false">
      <c r="A859" s="120" t="e">
        <v>#NAME?</v>
      </c>
      <c r="B859" s="120" t="e">
        <v>#NAME?</v>
      </c>
      <c r="C859" s="240"/>
    </row>
    <row r="860" customFormat="false" ht="15.75" hidden="false" customHeight="false" outlineLevel="0" collapsed="false">
      <c r="A860" s="120" t="e">
        <v>#NAME?</v>
      </c>
      <c r="B860" s="120" t="e">
        <v>#NAME?</v>
      </c>
      <c r="C860" s="240"/>
    </row>
    <row r="861" customFormat="false" ht="15.75" hidden="false" customHeight="false" outlineLevel="0" collapsed="false">
      <c r="A861" s="120" t="e">
        <v>#NAME?</v>
      </c>
      <c r="B861" s="120" t="e">
        <v>#NAME?</v>
      </c>
      <c r="C861" s="240"/>
    </row>
    <row r="862" customFormat="false" ht="15.75" hidden="false" customHeight="false" outlineLevel="0" collapsed="false">
      <c r="A862" s="120" t="e">
        <v>#NAME?</v>
      </c>
      <c r="B862" s="120" t="e">
        <v>#NAME?</v>
      </c>
      <c r="C862" s="240"/>
    </row>
    <row r="863" customFormat="false" ht="15.75" hidden="false" customHeight="false" outlineLevel="0" collapsed="false">
      <c r="A863" s="120" t="e">
        <v>#NAME?</v>
      </c>
      <c r="B863" s="120" t="e">
        <v>#NAME?</v>
      </c>
      <c r="C863" s="240"/>
    </row>
    <row r="864" customFormat="false" ht="15.75" hidden="false" customHeight="false" outlineLevel="0" collapsed="false">
      <c r="A864" s="120" t="e">
        <v>#NAME?</v>
      </c>
      <c r="B864" s="120" t="e">
        <v>#NAME?</v>
      </c>
      <c r="C864" s="240"/>
    </row>
    <row r="865" customFormat="false" ht="15.75" hidden="false" customHeight="false" outlineLevel="0" collapsed="false">
      <c r="A865" s="120" t="e">
        <v>#NAME?</v>
      </c>
      <c r="B865" s="120" t="e">
        <v>#NAME?</v>
      </c>
      <c r="C865" s="240"/>
    </row>
    <row r="866" customFormat="false" ht="15.75" hidden="false" customHeight="false" outlineLevel="0" collapsed="false">
      <c r="A866" s="120" t="e">
        <v>#NAME?</v>
      </c>
      <c r="B866" s="120" t="e">
        <v>#NAME?</v>
      </c>
      <c r="C866" s="240"/>
    </row>
    <row r="867" customFormat="false" ht="15.75" hidden="false" customHeight="false" outlineLevel="0" collapsed="false">
      <c r="A867" s="120" t="e">
        <v>#NAME?</v>
      </c>
      <c r="B867" s="120" t="e">
        <v>#NAME?</v>
      </c>
      <c r="C867" s="240"/>
    </row>
    <row r="868" customFormat="false" ht="15.75" hidden="false" customHeight="false" outlineLevel="0" collapsed="false">
      <c r="A868" s="120" t="e">
        <v>#NAME?</v>
      </c>
      <c r="B868" s="120" t="e">
        <v>#NAME?</v>
      </c>
      <c r="C868" s="240"/>
    </row>
    <row r="869" customFormat="false" ht="15.75" hidden="false" customHeight="false" outlineLevel="0" collapsed="false">
      <c r="A869" s="120" t="e">
        <v>#NAME?</v>
      </c>
      <c r="B869" s="120" t="e">
        <v>#NAME?</v>
      </c>
      <c r="C869" s="240"/>
    </row>
    <row r="870" customFormat="false" ht="15.75" hidden="false" customHeight="false" outlineLevel="0" collapsed="false">
      <c r="A870" s="120" t="e">
        <v>#NAME?</v>
      </c>
      <c r="B870" s="120" t="e">
        <v>#NAME?</v>
      </c>
      <c r="C870" s="240"/>
    </row>
    <row r="871" customFormat="false" ht="15.75" hidden="false" customHeight="false" outlineLevel="0" collapsed="false">
      <c r="A871" s="120" t="e">
        <v>#NAME?</v>
      </c>
      <c r="B871" s="120" t="e">
        <v>#NAME?</v>
      </c>
      <c r="C871" s="240"/>
    </row>
    <row r="872" customFormat="false" ht="15.75" hidden="false" customHeight="false" outlineLevel="0" collapsed="false">
      <c r="A872" s="120" t="e">
        <v>#NAME?</v>
      </c>
      <c r="B872" s="120" t="e">
        <v>#NAME?</v>
      </c>
      <c r="C872" s="240"/>
    </row>
    <row r="873" customFormat="false" ht="15.75" hidden="false" customHeight="false" outlineLevel="0" collapsed="false">
      <c r="A873" s="120" t="e">
        <v>#NAME?</v>
      </c>
      <c r="B873" s="120" t="e">
        <v>#NAME?</v>
      </c>
      <c r="C873" s="240"/>
    </row>
    <row r="874" customFormat="false" ht="15.75" hidden="false" customHeight="false" outlineLevel="0" collapsed="false">
      <c r="A874" s="120" t="e">
        <v>#NAME?</v>
      </c>
      <c r="B874" s="120" t="e">
        <v>#NAME?</v>
      </c>
      <c r="C874" s="240"/>
    </row>
    <row r="875" customFormat="false" ht="15.75" hidden="false" customHeight="false" outlineLevel="0" collapsed="false">
      <c r="C875" s="240"/>
    </row>
    <row r="876" customFormat="false" ht="15.75" hidden="false" customHeight="false" outlineLevel="0" collapsed="false">
      <c r="C876" s="240"/>
    </row>
    <row r="877" customFormat="false" ht="15.75" hidden="false" customHeight="false" outlineLevel="0" collapsed="false">
      <c r="C877" s="240"/>
    </row>
    <row r="878" customFormat="false" ht="15.75" hidden="false" customHeight="false" outlineLevel="0" collapsed="false">
      <c r="C878" s="240"/>
    </row>
    <row r="879" customFormat="false" ht="15.75" hidden="false" customHeight="false" outlineLevel="0" collapsed="false">
      <c r="C879" s="240"/>
    </row>
    <row r="880" customFormat="false" ht="15.75" hidden="false" customHeight="false" outlineLevel="0" collapsed="false">
      <c r="C880" s="240"/>
    </row>
    <row r="881" customFormat="false" ht="15.75" hidden="false" customHeight="false" outlineLevel="0" collapsed="false">
      <c r="C881" s="240"/>
    </row>
    <row r="882" customFormat="false" ht="15.75" hidden="false" customHeight="false" outlineLevel="0" collapsed="false">
      <c r="C882" s="240"/>
    </row>
    <row r="883" customFormat="false" ht="15.75" hidden="false" customHeight="false" outlineLevel="0" collapsed="false">
      <c r="C883" s="240"/>
    </row>
    <row r="884" customFormat="false" ht="15.75" hidden="false" customHeight="false" outlineLevel="0" collapsed="false">
      <c r="C884" s="240"/>
    </row>
    <row r="885" customFormat="false" ht="15.75" hidden="false" customHeight="false" outlineLevel="0" collapsed="false">
      <c r="C885" s="240"/>
    </row>
    <row r="886" customFormat="false" ht="15.75" hidden="false" customHeight="false" outlineLevel="0" collapsed="false">
      <c r="C886" s="240"/>
    </row>
    <row r="887" customFormat="false" ht="15.75" hidden="false" customHeight="false" outlineLevel="0" collapsed="false">
      <c r="C887" s="240"/>
    </row>
    <row r="888" customFormat="false" ht="15.75" hidden="false" customHeight="false" outlineLevel="0" collapsed="false">
      <c r="C888" s="240"/>
    </row>
    <row r="889" customFormat="false" ht="15.75" hidden="false" customHeight="false" outlineLevel="0" collapsed="false">
      <c r="C889" s="240"/>
    </row>
    <row r="890" customFormat="false" ht="15.75" hidden="false" customHeight="false" outlineLevel="0" collapsed="false">
      <c r="C890" s="240"/>
    </row>
    <row r="891" customFormat="false" ht="15.75" hidden="false" customHeight="false" outlineLevel="0" collapsed="false">
      <c r="C891" s="240"/>
    </row>
    <row r="892" customFormat="false" ht="15.75" hidden="false" customHeight="false" outlineLevel="0" collapsed="false">
      <c r="C892" s="240"/>
    </row>
    <row r="893" customFormat="false" ht="15.75" hidden="false" customHeight="false" outlineLevel="0" collapsed="false">
      <c r="C893" s="240"/>
    </row>
    <row r="894" customFormat="false" ht="15.75" hidden="false" customHeight="false" outlineLevel="0" collapsed="false">
      <c r="C894" s="240"/>
    </row>
    <row r="895" customFormat="false" ht="15.75" hidden="false" customHeight="false" outlineLevel="0" collapsed="false">
      <c r="C895" s="240"/>
    </row>
    <row r="896" customFormat="false" ht="15.75" hidden="false" customHeight="false" outlineLevel="0" collapsed="false">
      <c r="C896" s="240"/>
    </row>
    <row r="897" customFormat="false" ht="15.75" hidden="false" customHeight="false" outlineLevel="0" collapsed="false">
      <c r="C897" s="240"/>
    </row>
    <row r="898" customFormat="false" ht="15.75" hidden="false" customHeight="false" outlineLevel="0" collapsed="false">
      <c r="C898" s="240"/>
    </row>
    <row r="899" customFormat="false" ht="15.75" hidden="false" customHeight="false" outlineLevel="0" collapsed="false">
      <c r="C899" s="240"/>
    </row>
    <row r="900" customFormat="false" ht="15.75" hidden="false" customHeight="false" outlineLevel="0" collapsed="false">
      <c r="C900" s="240"/>
    </row>
    <row r="901" customFormat="false" ht="15.75" hidden="false" customHeight="false" outlineLevel="0" collapsed="false">
      <c r="C901" s="240"/>
    </row>
    <row r="902" customFormat="false" ht="15.75" hidden="false" customHeight="false" outlineLevel="0" collapsed="false">
      <c r="C902" s="240"/>
    </row>
    <row r="903" customFormat="false" ht="15.75" hidden="false" customHeight="false" outlineLevel="0" collapsed="false">
      <c r="C903" s="240"/>
    </row>
    <row r="904" customFormat="false" ht="15.75" hidden="false" customHeight="false" outlineLevel="0" collapsed="false">
      <c r="C904" s="240"/>
    </row>
    <row r="905" customFormat="false" ht="15.75" hidden="false" customHeight="false" outlineLevel="0" collapsed="false">
      <c r="C905" s="240"/>
    </row>
    <row r="906" customFormat="false" ht="15.75" hidden="false" customHeight="false" outlineLevel="0" collapsed="false">
      <c r="C906" s="240"/>
    </row>
    <row r="907" customFormat="false" ht="15.75" hidden="false" customHeight="false" outlineLevel="0" collapsed="false">
      <c r="C907" s="240"/>
    </row>
    <row r="908" customFormat="false" ht="15.75" hidden="false" customHeight="false" outlineLevel="0" collapsed="false">
      <c r="C908" s="240"/>
    </row>
    <row r="909" customFormat="false" ht="15.75" hidden="false" customHeight="false" outlineLevel="0" collapsed="false">
      <c r="C909" s="240"/>
    </row>
    <row r="910" customFormat="false" ht="15.75" hidden="false" customHeight="false" outlineLevel="0" collapsed="false">
      <c r="C910" s="240"/>
    </row>
    <row r="911" customFormat="false" ht="15.75" hidden="false" customHeight="false" outlineLevel="0" collapsed="false">
      <c r="C911" s="240"/>
    </row>
    <row r="912" customFormat="false" ht="15.75" hidden="false" customHeight="false" outlineLevel="0" collapsed="false">
      <c r="C912" s="240"/>
    </row>
    <row r="913" customFormat="false" ht="15.75" hidden="false" customHeight="false" outlineLevel="0" collapsed="false">
      <c r="C913" s="240"/>
    </row>
    <row r="914" customFormat="false" ht="15.75" hidden="false" customHeight="false" outlineLevel="0" collapsed="false">
      <c r="C914" s="240"/>
    </row>
    <row r="915" customFormat="false" ht="15.75" hidden="false" customHeight="false" outlineLevel="0" collapsed="false">
      <c r="C915" s="240"/>
    </row>
    <row r="916" customFormat="false" ht="15.75" hidden="false" customHeight="false" outlineLevel="0" collapsed="false">
      <c r="C916" s="240"/>
    </row>
    <row r="917" customFormat="false" ht="15.75" hidden="false" customHeight="false" outlineLevel="0" collapsed="false">
      <c r="C917" s="240"/>
    </row>
    <row r="918" customFormat="false" ht="15.75" hidden="false" customHeight="false" outlineLevel="0" collapsed="false">
      <c r="C918" s="240"/>
    </row>
    <row r="919" customFormat="false" ht="15.75" hidden="false" customHeight="false" outlineLevel="0" collapsed="false">
      <c r="C919" s="240"/>
    </row>
    <row r="920" customFormat="false" ht="15.75" hidden="false" customHeight="false" outlineLevel="0" collapsed="false">
      <c r="C920" s="240"/>
    </row>
    <row r="921" customFormat="false" ht="15.75" hidden="false" customHeight="false" outlineLevel="0" collapsed="false">
      <c r="C921" s="240"/>
    </row>
    <row r="922" customFormat="false" ht="15.75" hidden="false" customHeight="false" outlineLevel="0" collapsed="false">
      <c r="C922" s="240"/>
    </row>
    <row r="923" customFormat="false" ht="15.75" hidden="false" customHeight="false" outlineLevel="0" collapsed="false">
      <c r="C923" s="240"/>
    </row>
    <row r="924" customFormat="false" ht="15.75" hidden="false" customHeight="false" outlineLevel="0" collapsed="false">
      <c r="C924" s="240"/>
    </row>
    <row r="925" customFormat="false" ht="15.75" hidden="false" customHeight="false" outlineLevel="0" collapsed="false">
      <c r="C925" s="240"/>
    </row>
    <row r="926" customFormat="false" ht="15.75" hidden="false" customHeight="false" outlineLevel="0" collapsed="false">
      <c r="C926" s="240"/>
    </row>
    <row r="927" customFormat="false" ht="15.75" hidden="false" customHeight="false" outlineLevel="0" collapsed="false">
      <c r="C927" s="240"/>
    </row>
    <row r="928" customFormat="false" ht="15.75" hidden="false" customHeight="false" outlineLevel="0" collapsed="false">
      <c r="C928" s="240"/>
    </row>
    <row r="929" customFormat="false" ht="15.75" hidden="false" customHeight="false" outlineLevel="0" collapsed="false">
      <c r="C929" s="240"/>
    </row>
    <row r="930" customFormat="false" ht="15.75" hidden="false" customHeight="false" outlineLevel="0" collapsed="false">
      <c r="C930" s="240"/>
    </row>
    <row r="931" customFormat="false" ht="15.75" hidden="false" customHeight="false" outlineLevel="0" collapsed="false">
      <c r="C931" s="240"/>
    </row>
    <row r="932" customFormat="false" ht="15.75" hidden="false" customHeight="false" outlineLevel="0" collapsed="false">
      <c r="C932" s="240"/>
    </row>
    <row r="933" customFormat="false" ht="15.75" hidden="false" customHeight="false" outlineLevel="0" collapsed="false">
      <c r="C933" s="240"/>
    </row>
    <row r="934" customFormat="false" ht="15.75" hidden="false" customHeight="false" outlineLevel="0" collapsed="false">
      <c r="C934" s="240"/>
    </row>
    <row r="935" customFormat="false" ht="15.75" hidden="false" customHeight="false" outlineLevel="0" collapsed="false">
      <c r="C935" s="240"/>
    </row>
    <row r="936" customFormat="false" ht="15.75" hidden="false" customHeight="false" outlineLevel="0" collapsed="false">
      <c r="C936" s="240"/>
    </row>
    <row r="937" customFormat="false" ht="15.75" hidden="false" customHeight="false" outlineLevel="0" collapsed="false">
      <c r="C937" s="240"/>
    </row>
    <row r="938" customFormat="false" ht="15.75" hidden="false" customHeight="false" outlineLevel="0" collapsed="false">
      <c r="C938" s="240"/>
    </row>
    <row r="939" customFormat="false" ht="15.75" hidden="false" customHeight="false" outlineLevel="0" collapsed="false">
      <c r="C939" s="240"/>
    </row>
    <row r="940" customFormat="false" ht="15.75" hidden="false" customHeight="false" outlineLevel="0" collapsed="false">
      <c r="C940" s="240"/>
    </row>
    <row r="941" customFormat="false" ht="15.75" hidden="false" customHeight="false" outlineLevel="0" collapsed="false">
      <c r="C941" s="240"/>
    </row>
    <row r="942" customFormat="false" ht="15.75" hidden="false" customHeight="false" outlineLevel="0" collapsed="false">
      <c r="C942" s="240"/>
    </row>
    <row r="943" customFormat="false" ht="15.75" hidden="false" customHeight="false" outlineLevel="0" collapsed="false">
      <c r="C943" s="240"/>
    </row>
    <row r="944" customFormat="false" ht="15.75" hidden="false" customHeight="false" outlineLevel="0" collapsed="false">
      <c r="C944" s="240"/>
    </row>
    <row r="945" customFormat="false" ht="15.75" hidden="false" customHeight="false" outlineLevel="0" collapsed="false">
      <c r="C945" s="240"/>
    </row>
    <row r="946" customFormat="false" ht="15.75" hidden="false" customHeight="false" outlineLevel="0" collapsed="false">
      <c r="C946" s="240"/>
    </row>
    <row r="947" customFormat="false" ht="15.75" hidden="false" customHeight="false" outlineLevel="0" collapsed="false">
      <c r="C947" s="240"/>
    </row>
    <row r="948" customFormat="false" ht="15.75" hidden="false" customHeight="false" outlineLevel="0" collapsed="false">
      <c r="C948" s="240"/>
    </row>
    <row r="949" customFormat="false" ht="15.75" hidden="false" customHeight="false" outlineLevel="0" collapsed="false">
      <c r="C949" s="240"/>
    </row>
    <row r="950" customFormat="false" ht="15.75" hidden="false" customHeight="false" outlineLevel="0" collapsed="false">
      <c r="C950" s="240"/>
    </row>
    <row r="951" customFormat="false" ht="15.75" hidden="false" customHeight="false" outlineLevel="0" collapsed="false">
      <c r="C951" s="240"/>
    </row>
    <row r="952" customFormat="false" ht="15.75" hidden="false" customHeight="false" outlineLevel="0" collapsed="false">
      <c r="C952" s="240"/>
    </row>
    <row r="953" customFormat="false" ht="15.75" hidden="false" customHeight="false" outlineLevel="0" collapsed="false">
      <c r="C953" s="240"/>
    </row>
    <row r="954" customFormat="false" ht="15.75" hidden="false" customHeight="false" outlineLevel="0" collapsed="false">
      <c r="C954" s="240"/>
    </row>
    <row r="955" customFormat="false" ht="15.75" hidden="false" customHeight="false" outlineLevel="0" collapsed="false">
      <c r="C955" s="240"/>
    </row>
    <row r="956" customFormat="false" ht="15.75" hidden="false" customHeight="false" outlineLevel="0" collapsed="false">
      <c r="C956" s="240"/>
    </row>
    <row r="957" customFormat="false" ht="15.75" hidden="false" customHeight="false" outlineLevel="0" collapsed="false">
      <c r="C957" s="240"/>
    </row>
    <row r="958" customFormat="false" ht="15.75" hidden="false" customHeight="false" outlineLevel="0" collapsed="false">
      <c r="C958" s="240"/>
    </row>
    <row r="959" customFormat="false" ht="15.75" hidden="false" customHeight="false" outlineLevel="0" collapsed="false">
      <c r="C959" s="240"/>
    </row>
    <row r="960" customFormat="false" ht="15.75" hidden="false" customHeight="false" outlineLevel="0" collapsed="false">
      <c r="C960" s="240"/>
    </row>
    <row r="961" customFormat="false" ht="15.75" hidden="false" customHeight="false" outlineLevel="0" collapsed="false">
      <c r="C961" s="240"/>
    </row>
    <row r="962" customFormat="false" ht="15.75" hidden="false" customHeight="false" outlineLevel="0" collapsed="false">
      <c r="C962" s="240"/>
    </row>
    <row r="963" customFormat="false" ht="15.75" hidden="false" customHeight="false" outlineLevel="0" collapsed="false">
      <c r="C963" s="240"/>
    </row>
    <row r="964" customFormat="false" ht="15.75" hidden="false" customHeight="false" outlineLevel="0" collapsed="false">
      <c r="C964" s="240"/>
    </row>
    <row r="965" customFormat="false" ht="15.75" hidden="false" customHeight="false" outlineLevel="0" collapsed="false">
      <c r="C965" s="240"/>
    </row>
    <row r="966" customFormat="false" ht="15.75" hidden="false" customHeight="false" outlineLevel="0" collapsed="false">
      <c r="C966" s="240"/>
    </row>
    <row r="967" customFormat="false" ht="15.75" hidden="false" customHeight="false" outlineLevel="0" collapsed="false">
      <c r="C967" s="240"/>
    </row>
    <row r="968" customFormat="false" ht="15.75" hidden="false" customHeight="false" outlineLevel="0" collapsed="false">
      <c r="C968" s="240"/>
    </row>
    <row r="969" customFormat="false" ht="15.75" hidden="false" customHeight="false" outlineLevel="0" collapsed="false">
      <c r="C969" s="240"/>
    </row>
    <row r="970" customFormat="false" ht="15.75" hidden="false" customHeight="false" outlineLevel="0" collapsed="false">
      <c r="C970" s="240"/>
    </row>
    <row r="971" customFormat="false" ht="15.75" hidden="false" customHeight="false" outlineLevel="0" collapsed="false">
      <c r="C971" s="240"/>
    </row>
    <row r="972" customFormat="false" ht="15.75" hidden="false" customHeight="false" outlineLevel="0" collapsed="false">
      <c r="C972" s="240"/>
    </row>
    <row r="973" customFormat="false" ht="15.75" hidden="false" customHeight="false" outlineLevel="0" collapsed="false">
      <c r="C973" s="240"/>
    </row>
    <row r="974" customFormat="false" ht="15.75" hidden="false" customHeight="false" outlineLevel="0" collapsed="false">
      <c r="C974" s="240"/>
    </row>
    <row r="975" customFormat="false" ht="15.75" hidden="false" customHeight="false" outlineLevel="0" collapsed="false">
      <c r="C975" s="240"/>
    </row>
    <row r="976" customFormat="false" ht="15.75" hidden="false" customHeight="false" outlineLevel="0" collapsed="false">
      <c r="C976" s="240"/>
    </row>
    <row r="977" customFormat="false" ht="15.75" hidden="false" customHeight="false" outlineLevel="0" collapsed="false">
      <c r="C977" s="240"/>
    </row>
    <row r="978" customFormat="false" ht="15.75" hidden="false" customHeight="false" outlineLevel="0" collapsed="false">
      <c r="C978" s="240"/>
    </row>
    <row r="979" customFormat="false" ht="15.75" hidden="false" customHeight="false" outlineLevel="0" collapsed="false">
      <c r="C979" s="240"/>
    </row>
    <row r="980" customFormat="false" ht="15.75" hidden="false" customHeight="false" outlineLevel="0" collapsed="false">
      <c r="C980" s="240"/>
    </row>
    <row r="981" customFormat="false" ht="15.75" hidden="false" customHeight="false" outlineLevel="0" collapsed="false">
      <c r="C981" s="240"/>
    </row>
    <row r="982" customFormat="false" ht="15.75" hidden="false" customHeight="false" outlineLevel="0" collapsed="false">
      <c r="C982" s="240"/>
    </row>
    <row r="983" customFormat="false" ht="15.75" hidden="false" customHeight="false" outlineLevel="0" collapsed="false">
      <c r="C983" s="240"/>
    </row>
    <row r="984" customFormat="false" ht="15.75" hidden="false" customHeight="false" outlineLevel="0" collapsed="false">
      <c r="C984" s="240"/>
    </row>
    <row r="985" customFormat="false" ht="15.75" hidden="false" customHeight="false" outlineLevel="0" collapsed="false">
      <c r="C985" s="240"/>
    </row>
    <row r="986" customFormat="false" ht="15.75" hidden="false" customHeight="false" outlineLevel="0" collapsed="false">
      <c r="C986" s="240"/>
    </row>
    <row r="987" customFormat="false" ht="15.75" hidden="false" customHeight="false" outlineLevel="0" collapsed="false">
      <c r="C987" s="240"/>
    </row>
    <row r="988" customFormat="false" ht="15.75" hidden="false" customHeight="false" outlineLevel="0" collapsed="false">
      <c r="C988" s="240"/>
    </row>
    <row r="989" customFormat="false" ht="15.75" hidden="false" customHeight="false" outlineLevel="0" collapsed="false">
      <c r="C989" s="240"/>
    </row>
    <row r="990" customFormat="false" ht="15.75" hidden="false" customHeight="false" outlineLevel="0" collapsed="false">
      <c r="C990" s="240"/>
    </row>
    <row r="991" customFormat="false" ht="15.75" hidden="false" customHeight="false" outlineLevel="0" collapsed="false">
      <c r="C991" s="240"/>
    </row>
    <row r="992" customFormat="false" ht="15.75" hidden="false" customHeight="false" outlineLevel="0" collapsed="false">
      <c r="C992" s="240"/>
    </row>
    <row r="993" customFormat="false" ht="15.75" hidden="false" customHeight="false" outlineLevel="0" collapsed="false">
      <c r="C993" s="240"/>
    </row>
    <row r="994" customFormat="false" ht="15.75" hidden="false" customHeight="false" outlineLevel="0" collapsed="false">
      <c r="C994" s="240"/>
    </row>
    <row r="995" customFormat="false" ht="15.75" hidden="false" customHeight="false" outlineLevel="0" collapsed="false">
      <c r="C995" s="240"/>
    </row>
    <row r="996" customFormat="false" ht="15.75" hidden="false" customHeight="false" outlineLevel="0" collapsed="false">
      <c r="C996" s="240"/>
    </row>
    <row r="997" customFormat="false" ht="15.75" hidden="false" customHeight="false" outlineLevel="0" collapsed="false">
      <c r="C997" s="240"/>
    </row>
    <row r="998" customFormat="false" ht="15.75" hidden="false" customHeight="false" outlineLevel="0" collapsed="false">
      <c r="C998" s="240"/>
    </row>
    <row r="999" customFormat="false" ht="15.75" hidden="false" customHeight="false" outlineLevel="0" collapsed="false">
      <c r="C999" s="240"/>
    </row>
    <row r="1000" customFormat="false" ht="15.75" hidden="false" customHeight="false" outlineLevel="0" collapsed="false">
      <c r="C1000" s="24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8.88"/>
    <col collapsed="false" customWidth="true" hidden="false" outlineLevel="0" max="3" min="3" style="0" width="15"/>
    <col collapsed="false" customWidth="true" hidden="false" outlineLevel="0" max="7" min="7" style="0" width="10.51"/>
    <col collapsed="false" customWidth="true" hidden="false" outlineLevel="0" max="8" min="8" style="0" width="18.88"/>
    <col collapsed="false" customWidth="true" hidden="false" outlineLevel="0" max="9" min="9" style="0" width="16.12"/>
  </cols>
  <sheetData>
    <row r="1" customFormat="false" ht="20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  <c r="AA1" s="4"/>
      <c r="AB1" s="4"/>
      <c r="AC1" s="4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</row>
    <row r="2" customFormat="false" ht="27.75" hidden="false" customHeight="true" outlineLevel="0" collapsed="false">
      <c r="A2" s="244" t="s">
        <v>304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4"/>
      <c r="AA2" s="4"/>
      <c r="AB2" s="4"/>
      <c r="AC2" s="4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</row>
    <row r="3" customFormat="false" ht="18.75" hidden="false" customHeight="true" outlineLevel="0" collapsed="false">
      <c r="A3" s="245"/>
      <c r="B3" s="10"/>
      <c r="C3" s="10"/>
      <c r="D3" s="10"/>
      <c r="E3" s="6"/>
      <c r="F3" s="6"/>
      <c r="G3" s="10"/>
      <c r="H3" s="10"/>
      <c r="I3" s="10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59"/>
      <c r="AA3" s="159"/>
      <c r="AB3" s="4"/>
      <c r="AC3" s="4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</row>
    <row r="4" customFormat="false" ht="44.25" hidden="false" customHeight="true" outlineLevel="0" collapsed="false">
      <c r="A4" s="246" t="s">
        <v>1</v>
      </c>
      <c r="B4" s="247" t="s">
        <v>95</v>
      </c>
      <c r="C4" s="246" t="s">
        <v>3</v>
      </c>
      <c r="D4" s="246" t="s">
        <v>250</v>
      </c>
      <c r="E4" s="248"/>
      <c r="F4" s="249"/>
      <c r="G4" s="250" t="s">
        <v>305</v>
      </c>
      <c r="H4" s="250"/>
      <c r="I4" s="250"/>
      <c r="J4" s="250"/>
      <c r="K4" s="251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49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</row>
    <row r="5" customFormat="false" ht="15.75" hidden="false" customHeight="false" outlineLevel="0" collapsed="false">
      <c r="A5" s="166" t="n">
        <v>1</v>
      </c>
      <c r="B5" s="167" t="str">
        <f aca="false">IFERROR(__xludf.dummyfunction("IFERROR(FILTER('Лист3'!A16:B31,'Лист3'!B16:B31&gt;0),"" "")"),"Coach")</f>
        <v>Coach</v>
      </c>
      <c r="C5" s="167" t="n">
        <f aca="false">IFERROR(__xludf.dummyfunction("""COMPUTED_VALUE"""),42.25)</f>
        <v>42.25</v>
      </c>
      <c r="D5" s="168" t="n">
        <v>1</v>
      </c>
      <c r="E5" s="251"/>
      <c r="F5" s="67"/>
      <c r="G5" s="253" t="s">
        <v>1</v>
      </c>
      <c r="H5" s="247" t="s">
        <v>95</v>
      </c>
      <c r="I5" s="253" t="s">
        <v>3</v>
      </c>
      <c r="J5" s="253" t="s">
        <v>250</v>
      </c>
      <c r="K5" s="251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67"/>
    </row>
    <row r="6" customFormat="false" ht="15.75" hidden="false" customHeight="false" outlineLevel="0" collapsed="false">
      <c r="A6" s="169" t="n">
        <v>2</v>
      </c>
      <c r="B6" s="255" t="str">
        <f aca="false">IFERROR(__xludf.dummyfunction("""COMPUTED_VALUE"""),"Дракарис")</f>
        <v>Дракарис</v>
      </c>
      <c r="C6" s="170" t="n">
        <f aca="false">IFERROR(__xludf.dummyfunction("""COMPUTED_VALUE"""),34.75)</f>
        <v>34.75</v>
      </c>
      <c r="D6" s="171" t="n">
        <v>2</v>
      </c>
      <c r="E6" s="251"/>
      <c r="F6" s="67"/>
      <c r="G6" s="172" t="n">
        <v>1</v>
      </c>
      <c r="H6" s="173" t="str">
        <f aca="false">IFERROR(__xludf.dummyfunction("QUERY('Лист3'!AX3:BA18, ""SELECT AX, AY, AZ WHERE AY &gt;0 ORDER BY AY DESC, BA desc"")"),"Бастурма")</f>
        <v>Бастурма</v>
      </c>
      <c r="I6" s="256" t="n">
        <f aca="false">IFERROR(__xludf.dummyfunction("""COMPUTED_VALUE"""),37.75)</f>
        <v>37.75</v>
      </c>
      <c r="J6" s="176" t="n">
        <f aca="false">IFERROR(__xludf.dummyfunction("""COMPUTED_VALUE"""),8)</f>
        <v>8</v>
      </c>
      <c r="K6" s="251"/>
      <c r="L6" s="254"/>
      <c r="M6" s="254"/>
      <c r="N6" s="257"/>
      <c r="O6" s="258"/>
      <c r="P6" s="254"/>
      <c r="Q6" s="254"/>
      <c r="R6" s="254"/>
      <c r="S6" s="254"/>
      <c r="T6" s="254"/>
      <c r="U6" s="254"/>
      <c r="V6" s="254"/>
      <c r="W6" s="254"/>
      <c r="X6" s="254"/>
      <c r="Y6" s="67"/>
    </row>
    <row r="7" customFormat="false" ht="15.75" hidden="false" customHeight="false" outlineLevel="0" collapsed="false">
      <c r="A7" s="166" t="n">
        <v>3</v>
      </c>
      <c r="B7" s="167" t="str">
        <f aca="false">IFERROR(__xludf.dummyfunction("""COMPUTED_VALUE"""),"Админ")</f>
        <v>Админ</v>
      </c>
      <c r="C7" s="167" t="n">
        <f aca="false">IFERROR(__xludf.dummyfunction("""COMPUTED_VALUE"""),34.5)</f>
        <v>34.5</v>
      </c>
      <c r="D7" s="168" t="n">
        <v>3</v>
      </c>
      <c r="E7" s="251"/>
      <c r="F7" s="67"/>
      <c r="G7" s="172" t="n">
        <v>2</v>
      </c>
      <c r="H7" s="173" t="str">
        <f aca="false">IFERROR(__xludf.dummyfunction("""COMPUTED_VALUE"""),"Махинатор")</f>
        <v>Махинатор</v>
      </c>
      <c r="I7" s="174" t="n">
        <f aca="false">IFERROR(__xludf.dummyfunction("""COMPUTED_VALUE"""),37.25)</f>
        <v>37.25</v>
      </c>
      <c r="J7" s="176" t="n">
        <f aca="false">IFERROR(__xludf.dummyfunction("""COMPUTED_VALUE"""),11)</f>
        <v>11</v>
      </c>
      <c r="K7" s="251"/>
      <c r="L7" s="254"/>
      <c r="M7" s="254"/>
      <c r="N7" s="257"/>
      <c r="O7" s="258"/>
      <c r="P7" s="254"/>
      <c r="Q7" s="254"/>
      <c r="R7" s="254"/>
      <c r="S7" s="254"/>
      <c r="T7" s="254"/>
      <c r="U7" s="254"/>
      <c r="V7" s="254"/>
      <c r="W7" s="254"/>
      <c r="X7" s="254"/>
      <c r="Y7" s="67"/>
    </row>
    <row r="8" customFormat="false" ht="15.75" hidden="false" customHeight="false" outlineLevel="0" collapsed="false">
      <c r="A8" s="169" t="n">
        <v>4</v>
      </c>
      <c r="B8" s="170" t="str">
        <f aca="false">IFERROR(__xludf.dummyfunction("""COMPUTED_VALUE"""),"Cristo")</f>
        <v>Cristo</v>
      </c>
      <c r="C8" s="170" t="n">
        <f aca="false">IFERROR(__xludf.dummyfunction("""COMPUTED_VALUE"""),37)</f>
        <v>37</v>
      </c>
      <c r="D8" s="171" t="n">
        <v>4</v>
      </c>
      <c r="E8" s="251"/>
      <c r="F8" s="67"/>
      <c r="G8" s="172" t="n">
        <v>3</v>
      </c>
      <c r="H8" s="173" t="str">
        <f aca="false">IFERROR(__xludf.dummyfunction("""COMPUTED_VALUE"""),"Тихий Закат")</f>
        <v>Тихий Закат</v>
      </c>
      <c r="I8" s="256" t="n">
        <f aca="false">IFERROR(__xludf.dummyfunction("""COMPUTED_VALUE"""),35.75)</f>
        <v>35.75</v>
      </c>
      <c r="J8" s="176" t="n">
        <f aca="false">IFERROR(__xludf.dummyfunction("""COMPUTED_VALUE"""),1)</f>
        <v>1</v>
      </c>
      <c r="K8" s="251"/>
      <c r="L8" s="254"/>
      <c r="M8" s="254"/>
      <c r="N8" s="259"/>
      <c r="O8" s="258"/>
      <c r="P8" s="254"/>
      <c r="Q8" s="254"/>
      <c r="R8" s="254"/>
      <c r="S8" s="254"/>
      <c r="T8" s="254"/>
      <c r="U8" s="254"/>
      <c r="V8" s="254"/>
      <c r="W8" s="254"/>
      <c r="X8" s="254"/>
      <c r="Y8" s="67"/>
    </row>
    <row r="9" customFormat="false" ht="15.75" hidden="false" customHeight="false" outlineLevel="0" collapsed="false">
      <c r="A9" s="166" t="n">
        <v>5</v>
      </c>
      <c r="B9" s="167" t="str">
        <f aca="false">IFERROR(__xludf.dummyfunction("""COMPUTED_VALUE"""),"NME")</f>
        <v>NME</v>
      </c>
      <c r="C9" s="167" t="n">
        <f aca="false">IFERROR(__xludf.dummyfunction("""COMPUTED_VALUE"""),33)</f>
        <v>33</v>
      </c>
      <c r="D9" s="168" t="n">
        <v>5</v>
      </c>
      <c r="E9" s="251"/>
      <c r="F9" s="67"/>
      <c r="G9" s="177" t="n">
        <v>4</v>
      </c>
      <c r="H9" s="178" t="str">
        <f aca="false">IFERROR(__xludf.dummyfunction("""COMPUTED_VALUE"""),"Cherry Pick")</f>
        <v>Cherry Pick</v>
      </c>
      <c r="I9" s="179" t="n">
        <f aca="false">IFERROR(__xludf.dummyfunction("""COMPUTED_VALUE"""),34.25)</f>
        <v>34.25</v>
      </c>
      <c r="J9" s="180" t="n">
        <f aca="false">IFERROR(__xludf.dummyfunction("""COMPUTED_VALUE"""),4)</f>
        <v>4</v>
      </c>
      <c r="K9" s="251"/>
      <c r="L9" s="254"/>
      <c r="M9" s="254"/>
      <c r="N9" s="259"/>
      <c r="O9" s="258"/>
      <c r="P9" s="254"/>
      <c r="Q9" s="254"/>
      <c r="R9" s="254"/>
      <c r="S9" s="254"/>
      <c r="T9" s="254"/>
      <c r="U9" s="254"/>
      <c r="V9" s="254"/>
      <c r="W9" s="254"/>
      <c r="X9" s="254"/>
      <c r="Y9" s="67"/>
    </row>
    <row r="10" customFormat="false" ht="15.75" hidden="false" customHeight="false" outlineLevel="0" collapsed="false">
      <c r="A10" s="169" t="n">
        <v>6</v>
      </c>
      <c r="B10" s="170" t="str">
        <f aca="false">IFERROR(__xludf.dummyfunction("""COMPUTED_VALUE"""),"Still Rise ")</f>
        <v>Still Rise </v>
      </c>
      <c r="C10" s="170" t="n">
        <f aca="false">IFERROR(__xludf.dummyfunction("""COMPUTED_VALUE"""),33.25)</f>
        <v>33.25</v>
      </c>
      <c r="D10" s="171" t="n">
        <v>6</v>
      </c>
      <c r="E10" s="251"/>
      <c r="F10" s="67"/>
      <c r="G10" s="181" t="n">
        <v>5</v>
      </c>
      <c r="H10" s="173" t="str">
        <f aca="false">IFERROR(__xludf.dummyfunction("""COMPUTED_VALUE"""),"Тихий Закат")</f>
        <v>Тихий Закат</v>
      </c>
      <c r="I10" s="174" t="n">
        <f aca="false">IFERROR(__xludf.dummyfunction("""COMPUTED_VALUE"""),33.75)</f>
        <v>33.75</v>
      </c>
      <c r="J10" s="176" t="n">
        <f aca="false">IFERROR(__xludf.dummyfunction("""COMPUTED_VALUE"""),2)</f>
        <v>2</v>
      </c>
      <c r="K10" s="251"/>
      <c r="L10" s="254"/>
      <c r="M10" s="254"/>
      <c r="N10" s="259"/>
      <c r="O10" s="258"/>
      <c r="P10" s="254"/>
      <c r="Q10" s="254"/>
      <c r="R10" s="254"/>
      <c r="S10" s="254"/>
      <c r="T10" s="254"/>
      <c r="U10" s="254"/>
      <c r="V10" s="254"/>
      <c r="W10" s="254"/>
      <c r="X10" s="254"/>
      <c r="Y10" s="67"/>
    </row>
    <row r="11" customFormat="false" ht="15.75" hidden="false" customHeight="false" outlineLevel="0" collapsed="false">
      <c r="A11" s="166" t="n">
        <v>7</v>
      </c>
      <c r="B11" s="167" t="str">
        <f aca="false">IFERROR(__xludf.dummyfunction("""COMPUTED_VALUE"""),"Чешир")</f>
        <v>Чешир</v>
      </c>
      <c r="C11" s="167" t="n">
        <f aca="false">IFERROR(__xludf.dummyfunction("""COMPUTED_VALUE"""),35.5)</f>
        <v>35.5</v>
      </c>
      <c r="D11" s="168" t="n">
        <v>7</v>
      </c>
      <c r="E11" s="251"/>
      <c r="F11" s="67"/>
      <c r="G11" s="181" t="n">
        <v>6</v>
      </c>
      <c r="H11" s="173" t="str">
        <f aca="false">IFERROR(__xludf.dummyfunction("""COMPUTED_VALUE"""),"Бастурма")</f>
        <v>Бастурма</v>
      </c>
      <c r="I11" s="174" t="n">
        <f aca="false">IFERROR(__xludf.dummyfunction("""COMPUTED_VALUE"""),33.5)</f>
        <v>33.5</v>
      </c>
      <c r="J11" s="176" t="n">
        <f aca="false">IFERROR(__xludf.dummyfunction("""COMPUTED_VALUE"""),7)</f>
        <v>7</v>
      </c>
      <c r="K11" s="251"/>
      <c r="L11" s="254"/>
      <c r="M11" s="254"/>
      <c r="N11" s="259"/>
      <c r="O11" s="258"/>
      <c r="P11" s="254"/>
      <c r="Q11" s="254"/>
      <c r="R11" s="254"/>
      <c r="S11" s="254"/>
      <c r="T11" s="254"/>
      <c r="U11" s="254"/>
      <c r="V11" s="254"/>
      <c r="W11" s="254"/>
      <c r="X11" s="254"/>
      <c r="Y11" s="67"/>
    </row>
    <row r="12" customFormat="false" ht="15.75" hidden="false" customHeight="false" outlineLevel="0" collapsed="false">
      <c r="A12" s="169" t="n">
        <v>8</v>
      </c>
      <c r="B12" s="170" t="str">
        <f aca="false">IFERROR(__xludf.dummyfunction("""COMPUTED_VALUE"""),"Зверюга")</f>
        <v>Зверюга</v>
      </c>
      <c r="C12" s="170" t="n">
        <f aca="false">IFERROR(__xludf.dummyfunction("""COMPUTED_VALUE"""),38.25)</f>
        <v>38.25</v>
      </c>
      <c r="D12" s="171" t="n">
        <v>8</v>
      </c>
      <c r="E12" s="251"/>
      <c r="F12" s="67"/>
      <c r="G12" s="181" t="n">
        <v>7</v>
      </c>
      <c r="H12" s="173" t="str">
        <f aca="false">IFERROR(__xludf.dummyfunction("""COMPUTED_VALUE"""),"Никнейм")</f>
        <v>Никнейм</v>
      </c>
      <c r="I12" s="174" t="n">
        <f aca="false">IFERROR(__xludf.dummyfunction("""COMPUTED_VALUE"""),33.25)</f>
        <v>33.25</v>
      </c>
      <c r="J12" s="176" t="n">
        <f aca="false">IFERROR(__xludf.dummyfunction("""COMPUTED_VALUE"""),3)</f>
        <v>3</v>
      </c>
      <c r="K12" s="251"/>
      <c r="L12" s="254"/>
      <c r="M12" s="167" t="str">
        <f aca="false">IFERROR(__xludf.dummyfunction("IFERROR(FILTER('Лист3'!L23:M38,'Лист3'!M23:M38&gt;0),"" "")")," ")</f>
        <v> </v>
      </c>
      <c r="P12" s="254"/>
      <c r="Q12" s="254"/>
      <c r="R12" s="254"/>
      <c r="S12" s="254"/>
      <c r="T12" s="254"/>
      <c r="U12" s="254"/>
      <c r="V12" s="254"/>
      <c r="W12" s="254"/>
      <c r="X12" s="254"/>
      <c r="Y12" s="67"/>
    </row>
    <row r="13" customFormat="false" ht="15.75" hidden="false" customHeight="false" outlineLevel="0" collapsed="false">
      <c r="A13" s="166" t="n">
        <v>9</v>
      </c>
      <c r="B13" s="167" t="str">
        <f aca="false">IFERROR(__xludf.dummyfunction("""COMPUTED_VALUE"""),"Наполеон")</f>
        <v>Наполеон</v>
      </c>
      <c r="C13" s="167" t="n">
        <f aca="false">IFERROR(__xludf.dummyfunction("""COMPUTED_VALUE"""),36.75)</f>
        <v>36.75</v>
      </c>
      <c r="D13" s="168" t="n">
        <v>9</v>
      </c>
      <c r="E13" s="251"/>
      <c r="F13" s="67"/>
      <c r="G13" s="181" t="n">
        <v>8</v>
      </c>
      <c r="H13" s="173" t="str">
        <f aca="false">IFERROR(__xludf.dummyfunction("""COMPUTED_VALUE"""),"Король Лев")</f>
        <v>Король Лев</v>
      </c>
      <c r="I13" s="174" t="n">
        <f aca="false">IFERROR(__xludf.dummyfunction("""COMPUTED_VALUE"""),32)</f>
        <v>32</v>
      </c>
      <c r="J13" s="176" t="n">
        <f aca="false">IFERROR(__xludf.dummyfunction("""COMPUTED_VALUE"""),5)</f>
        <v>5</v>
      </c>
      <c r="K13" s="251"/>
      <c r="L13" s="254"/>
      <c r="M13" s="255"/>
      <c r="P13" s="254"/>
      <c r="Q13" s="254"/>
      <c r="R13" s="254"/>
      <c r="S13" s="254"/>
      <c r="T13" s="254"/>
      <c r="U13" s="254"/>
      <c r="V13" s="254"/>
      <c r="W13" s="254"/>
      <c r="X13" s="254"/>
      <c r="Y13" s="67"/>
    </row>
    <row r="14" customFormat="false" ht="15.75" hidden="false" customHeight="false" outlineLevel="0" collapsed="false">
      <c r="A14" s="169" t="n">
        <v>10</v>
      </c>
      <c r="B14" s="170" t="str">
        <f aca="false">IFERROR(__xludf.dummyfunction("""COMPUTED_VALUE"""),"Армен 24")</f>
        <v>Армен 24</v>
      </c>
      <c r="C14" s="170" t="n">
        <f aca="false">IFERROR(__xludf.dummyfunction("""COMPUTED_VALUE"""),32)</f>
        <v>32</v>
      </c>
      <c r="D14" s="171" t="n">
        <v>10</v>
      </c>
      <c r="E14" s="251"/>
      <c r="F14" s="67"/>
      <c r="G14" s="181" t="n">
        <v>9</v>
      </c>
      <c r="H14" s="173" t="str">
        <f aca="false">IFERROR(__xludf.dummyfunction("""COMPUTED_VALUE"""),"Рыжая")</f>
        <v>Рыжая</v>
      </c>
      <c r="I14" s="174" t="n">
        <f aca="false">IFERROR(__xludf.dummyfunction("""COMPUTED_VALUE"""),31.75)</f>
        <v>31.75</v>
      </c>
      <c r="J14" s="176" t="n">
        <f aca="false">IFERROR(__xludf.dummyfunction("""COMPUTED_VALUE"""),16)</f>
        <v>16</v>
      </c>
      <c r="K14" s="251"/>
      <c r="L14" s="254"/>
      <c r="M14" s="167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67"/>
    </row>
    <row r="15" customFormat="false" ht="15.75" hidden="false" customHeight="false" outlineLevel="0" collapsed="false">
      <c r="A15" s="166" t="n">
        <v>11</v>
      </c>
      <c r="B15" s="167" t="str">
        <f aca="false">IFERROR(__xludf.dummyfunction("""COMPUTED_VALUE"""),"Махинатор")</f>
        <v>Махинатор</v>
      </c>
      <c r="C15" s="167" t="n">
        <f aca="false">IFERROR(__xludf.dummyfunction("""COMPUTED_VALUE"""),37.25)</f>
        <v>37.25</v>
      </c>
      <c r="D15" s="168" t="n">
        <v>11</v>
      </c>
      <c r="E15" s="251"/>
      <c r="F15" s="67"/>
      <c r="G15" s="181" t="n">
        <v>10</v>
      </c>
      <c r="H15" s="173" t="str">
        <f aca="false">IFERROR(__xludf.dummyfunction("""COMPUTED_VALUE"""),"Infinity ")</f>
        <v>Infinity </v>
      </c>
      <c r="I15" s="174" t="n">
        <f aca="false">IFERROR(__xludf.dummyfunction("""COMPUTED_VALUE"""),31.25)</f>
        <v>31.25</v>
      </c>
      <c r="J15" s="176" t="n">
        <f aca="false">IFERROR(__xludf.dummyfunction("""COMPUTED_VALUE"""),14)</f>
        <v>14</v>
      </c>
      <c r="K15" s="251"/>
      <c r="L15" s="254"/>
      <c r="M15" s="170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67"/>
    </row>
    <row r="16" customFormat="false" ht="15.75" hidden="false" customHeight="false" outlineLevel="0" collapsed="false">
      <c r="A16" s="169" t="n">
        <v>12</v>
      </c>
      <c r="B16" s="170" t="str">
        <f aca="false">IFERROR(__xludf.dummyfunction("""COMPUTED_VALUE"""),"Мона")</f>
        <v>Мона</v>
      </c>
      <c r="C16" s="170" t="n">
        <f aca="false">IFERROR(__xludf.dummyfunction("""COMPUTED_VALUE"""),30.5)</f>
        <v>30.5</v>
      </c>
      <c r="D16" s="171" t="n">
        <v>12</v>
      </c>
      <c r="E16" s="251"/>
      <c r="F16" s="67"/>
      <c r="G16" s="181" t="n">
        <v>11</v>
      </c>
      <c r="H16" s="173" t="str">
        <f aca="false">IFERROR(__xludf.dummyfunction("""COMPUTED_VALUE"""),"Букля")</f>
        <v>Букля</v>
      </c>
      <c r="I16" s="174" t="n">
        <f aca="false">IFERROR(__xludf.dummyfunction("""COMPUTED_VALUE"""),31)</f>
        <v>31</v>
      </c>
      <c r="J16" s="176" t="n">
        <f aca="false">IFERROR(__xludf.dummyfunction("""COMPUTED_VALUE"""),10)</f>
        <v>10</v>
      </c>
      <c r="K16" s="251"/>
      <c r="L16" s="254"/>
      <c r="M16" s="167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67"/>
    </row>
    <row r="17" customFormat="false" ht="15.75" hidden="false" customHeight="false" outlineLevel="0" collapsed="false">
      <c r="A17" s="166" t="n">
        <v>13</v>
      </c>
      <c r="B17" s="167" t="str">
        <f aca="false">IFERROR(__xludf.dummyfunction("""COMPUTED_VALUE"""),"Арс")</f>
        <v>Арс</v>
      </c>
      <c r="C17" s="167" t="n">
        <f aca="false">IFERROR(__xludf.dummyfunction("""COMPUTED_VALUE"""),30.5)</f>
        <v>30.5</v>
      </c>
      <c r="D17" s="168" t="n">
        <v>13</v>
      </c>
      <c r="E17" s="251"/>
      <c r="F17" s="67"/>
      <c r="G17" s="181" t="n">
        <v>12</v>
      </c>
      <c r="H17" s="173" t="str">
        <f aca="false">IFERROR(__xludf.dummyfunction("""COMPUTED_VALUE"""),"Физик")</f>
        <v>Физик</v>
      </c>
      <c r="I17" s="174" t="n">
        <f aca="false">IFERROR(__xludf.dummyfunction("""COMPUTED_VALUE"""),30.75)</f>
        <v>30.75</v>
      </c>
      <c r="J17" s="176" t="n">
        <f aca="false">IFERROR(__xludf.dummyfunction("""COMPUTED_VALUE"""),6)</f>
        <v>6</v>
      </c>
      <c r="K17" s="251"/>
      <c r="L17" s="254"/>
      <c r="M17" s="170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67"/>
    </row>
    <row r="18" customFormat="false" ht="15.75" hidden="false" customHeight="false" outlineLevel="0" collapsed="false">
      <c r="A18" s="169" t="n">
        <v>14</v>
      </c>
      <c r="B18" s="170" t="str">
        <f aca="false">IFERROR(__xludf.dummyfunction("""COMPUTED_VALUE"""),"Curly")</f>
        <v>Curly</v>
      </c>
      <c r="C18" s="170" t="n">
        <f aca="false">IFERROR(__xludf.dummyfunction("""COMPUTED_VALUE"""),32)</f>
        <v>32</v>
      </c>
      <c r="D18" s="171" t="n">
        <v>14</v>
      </c>
      <c r="E18" s="251"/>
      <c r="F18" s="67"/>
      <c r="G18" s="181" t="n">
        <v>13</v>
      </c>
      <c r="H18" s="173" t="str">
        <f aca="false">IFERROR(__xludf.dummyfunction("""COMPUTED_VALUE"""),"Мона")</f>
        <v>Мона</v>
      </c>
      <c r="I18" s="174" t="n">
        <f aca="false">IFERROR(__xludf.dummyfunction("""COMPUTED_VALUE"""),30.5)</f>
        <v>30.5</v>
      </c>
      <c r="J18" s="176" t="n">
        <f aca="false">IFERROR(__xludf.dummyfunction("""COMPUTED_VALUE"""),12)</f>
        <v>12</v>
      </c>
      <c r="K18" s="251"/>
      <c r="L18" s="254"/>
      <c r="M18" s="167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67"/>
    </row>
    <row r="19" customFormat="false" ht="15.75" hidden="false" customHeight="false" outlineLevel="0" collapsed="false">
      <c r="A19" s="166" t="n">
        <v>15</v>
      </c>
      <c r="B19" s="167" t="str">
        <f aca="false">IFERROR(__xludf.dummyfunction("""COMPUTED_VALUE"""),"UFO")</f>
        <v>UFO</v>
      </c>
      <c r="C19" s="167" t="n">
        <f aca="false">IFERROR(__xludf.dummyfunction("""COMPUTED_VALUE"""),32)</f>
        <v>32</v>
      </c>
      <c r="D19" s="168" t="n">
        <v>15</v>
      </c>
      <c r="E19" s="251"/>
      <c r="F19" s="67"/>
      <c r="G19" s="181" t="n">
        <v>14</v>
      </c>
      <c r="H19" s="173" t="str">
        <f aca="false">IFERROR(__xludf.dummyfunction("""COMPUTED_VALUE"""),"Алкарис")</f>
        <v>Алкарис</v>
      </c>
      <c r="I19" s="174" t="n">
        <f aca="false">IFERROR(__xludf.dummyfunction("""COMPUTED_VALUE"""),30.5)</f>
        <v>30.5</v>
      </c>
      <c r="J19" s="176" t="n">
        <f aca="false">IFERROR(__xludf.dummyfunction("""COMPUTED_VALUE"""),13)</f>
        <v>13</v>
      </c>
      <c r="K19" s="251"/>
      <c r="L19" s="254"/>
      <c r="M19" s="170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67"/>
    </row>
    <row r="20" customFormat="false" ht="15.75" hidden="false" customHeight="false" outlineLevel="0" collapsed="false">
      <c r="A20" s="169" t="n">
        <v>16</v>
      </c>
      <c r="B20" s="170" t="str">
        <f aca="false">IFERROR(__xludf.dummyfunction("""COMPUTED_VALUE"""),"Луна")</f>
        <v>Луна</v>
      </c>
      <c r="C20" s="170" t="n">
        <f aca="false">IFERROR(__xludf.dummyfunction("""COMPUTED_VALUE"""),33.75)</f>
        <v>33.75</v>
      </c>
      <c r="D20" s="171" t="n">
        <v>16</v>
      </c>
      <c r="E20" s="251"/>
      <c r="F20" s="67"/>
      <c r="G20" s="181" t="n">
        <v>15</v>
      </c>
      <c r="H20" s="173" t="str">
        <f aca="false">IFERROR(__xludf.dummyfunction("""COMPUTED_VALUE"""),"Продюсер")</f>
        <v>Продюсер</v>
      </c>
      <c r="I20" s="174" t="n">
        <f aca="false">IFERROR(__xludf.dummyfunction("""COMPUTED_VALUE"""),30)</f>
        <v>30</v>
      </c>
      <c r="J20" s="260" t="n">
        <f aca="false">IFERROR(__xludf.dummyfunction("""COMPUTED_VALUE"""),15)</f>
        <v>15</v>
      </c>
      <c r="K20" s="251"/>
      <c r="L20" s="254"/>
      <c r="M20" s="167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67"/>
    </row>
    <row r="21" customFormat="false" ht="15.75" hidden="false" customHeight="false" outlineLevel="0" collapsed="false">
      <c r="A21" s="182" t="n">
        <v>17</v>
      </c>
      <c r="B21" s="183" t="str">
        <f aca="false">H6</f>
        <v>Бастурма</v>
      </c>
      <c r="C21" s="183" t="n">
        <f aca="false">I6</f>
        <v>37.75</v>
      </c>
      <c r="D21" s="184" t="n">
        <f aca="false">J6</f>
        <v>8</v>
      </c>
      <c r="E21" s="251"/>
      <c r="F21" s="67"/>
      <c r="G21" s="185" t="n">
        <v>16</v>
      </c>
      <c r="H21" s="186" t="str">
        <f aca="false">IFERROR(__xludf.dummyfunction("""COMPUTED_VALUE"""),"Бастурма")</f>
        <v>Бастурма</v>
      </c>
      <c r="I21" s="187" t="n">
        <f aca="false">IFERROR(__xludf.dummyfunction("""COMPUTED_VALUE"""),27.75)</f>
        <v>27.75</v>
      </c>
      <c r="J21" s="261" t="n">
        <f aca="false">IFERROR(__xludf.dummyfunction("""COMPUTED_VALUE"""),9)</f>
        <v>9</v>
      </c>
      <c r="K21" s="251"/>
      <c r="L21" s="254"/>
      <c r="M21" s="170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67"/>
    </row>
    <row r="22" customFormat="false" ht="15.75" hidden="false" customHeight="false" outlineLevel="0" collapsed="false">
      <c r="A22" s="182" t="n">
        <v>18</v>
      </c>
      <c r="B22" s="189" t="str">
        <f aca="false">H7</f>
        <v>Махинатор</v>
      </c>
      <c r="C22" s="189" t="n">
        <f aca="false">I7</f>
        <v>37.25</v>
      </c>
      <c r="D22" s="262" t="n">
        <f aca="false">J7</f>
        <v>11</v>
      </c>
      <c r="E22" s="251"/>
      <c r="F22" s="254"/>
      <c r="G22" s="263"/>
      <c r="H22" s="263"/>
      <c r="I22" s="263"/>
      <c r="J22" s="263"/>
      <c r="K22" s="254"/>
      <c r="L22" s="254"/>
      <c r="M22" s="167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67"/>
    </row>
    <row r="23" customFormat="false" ht="15.75" hidden="false" customHeight="false" outlineLevel="0" collapsed="false">
      <c r="A23" s="182" t="n">
        <v>19</v>
      </c>
      <c r="B23" s="167" t="str">
        <f aca="false">H8</f>
        <v>Тихий Закат</v>
      </c>
      <c r="C23" s="167" t="n">
        <f aca="false">I8</f>
        <v>35.75</v>
      </c>
      <c r="D23" s="264" t="n">
        <f aca="false">J8</f>
        <v>1</v>
      </c>
      <c r="E23" s="251"/>
      <c r="F23" s="254"/>
      <c r="G23" s="254"/>
      <c r="H23" s="254"/>
      <c r="I23" s="254"/>
      <c r="J23" s="254"/>
      <c r="K23" s="254"/>
      <c r="L23" s="254"/>
      <c r="M23" s="170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67"/>
    </row>
    <row r="24" customFormat="false" ht="15.75" hidden="false" customHeight="false" outlineLevel="0" collapsed="false">
      <c r="A24" s="190" t="n">
        <v>20</v>
      </c>
      <c r="B24" s="191" t="str">
        <f aca="false">H9</f>
        <v>Cherry Pick</v>
      </c>
      <c r="C24" s="191" t="n">
        <f aca="false">I9</f>
        <v>34.25</v>
      </c>
      <c r="D24" s="265" t="n">
        <f aca="false">J9</f>
        <v>4</v>
      </c>
      <c r="E24" s="251"/>
      <c r="F24" s="254"/>
      <c r="G24" s="254"/>
      <c r="H24" s="254"/>
      <c r="I24" s="254"/>
      <c r="J24" s="254"/>
      <c r="K24" s="254"/>
      <c r="L24" s="254"/>
      <c r="M24" s="167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67"/>
    </row>
    <row r="25" customFormat="false" ht="15.75" hidden="false" customHeight="false" outlineLevel="0" collapsed="false">
      <c r="A25" s="266"/>
      <c r="B25" s="263"/>
      <c r="C25" s="263"/>
      <c r="D25" s="263"/>
      <c r="E25" s="254"/>
      <c r="F25" s="254"/>
      <c r="G25" s="254"/>
      <c r="H25" s="254"/>
      <c r="I25" s="254"/>
      <c r="J25" s="254"/>
      <c r="K25" s="254"/>
      <c r="L25" s="254"/>
      <c r="M25" s="170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67"/>
    </row>
    <row r="26" customFormat="false" ht="15.75" hidden="false" customHeight="false" outlineLevel="0" collapsed="false">
      <c r="A26" s="251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167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67"/>
    </row>
    <row r="27" customFormat="false" ht="15.75" hidden="false" customHeight="false" outlineLevel="0" collapsed="false">
      <c r="A27" s="267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170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3"/>
      <c r="BE27" s="263"/>
      <c r="BF27" s="263"/>
      <c r="BG27" s="263"/>
      <c r="BH27" s="268"/>
    </row>
    <row r="28" customFormat="false" ht="15.75" hidden="false" customHeight="false" outlineLevel="0" collapsed="false">
      <c r="A28" s="251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183" t="n">
        <f aca="false">S13</f>
        <v>0</v>
      </c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67"/>
    </row>
    <row r="29" customFormat="false" ht="15.75" hidden="false" customHeight="false" outlineLevel="0" collapsed="false">
      <c r="A29" s="251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67"/>
    </row>
    <row r="30" customFormat="false" ht="15.75" hidden="false" customHeight="false" outlineLevel="0" collapsed="false">
      <c r="A30" s="251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67"/>
    </row>
    <row r="31" customFormat="false" ht="15.75" hidden="false" customHeight="false" outlineLevel="0" collapsed="false">
      <c r="A31" s="251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67"/>
    </row>
    <row r="32" customFormat="false" ht="15.75" hidden="false" customHeight="false" outlineLevel="0" collapsed="false">
      <c r="A32" s="251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67"/>
    </row>
    <row r="33" customFormat="false" ht="15.75" hidden="false" customHeight="false" outlineLevel="0" collapsed="false">
      <c r="A33" s="251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67"/>
    </row>
    <row r="34" customFormat="false" ht="15.75" hidden="false" customHeight="false" outlineLevel="0" collapsed="false">
      <c r="A34" s="251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67"/>
    </row>
    <row r="35" customFormat="false" ht="15.75" hidden="false" customHeight="false" outlineLevel="0" collapsed="false">
      <c r="A35" s="251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67"/>
    </row>
    <row r="36" customFormat="false" ht="15.75" hidden="false" customHeight="false" outlineLevel="0" collapsed="false">
      <c r="A36" s="251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67"/>
    </row>
    <row r="37" customFormat="false" ht="15.75" hidden="false" customHeight="false" outlineLevel="0" collapsed="false">
      <c r="A37" s="251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67"/>
    </row>
    <row r="38" customFormat="false" ht="15.75" hidden="false" customHeight="false" outlineLevel="0" collapsed="false">
      <c r="A38" s="251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67"/>
    </row>
    <row r="39" customFormat="false" ht="15.75" hidden="false" customHeight="false" outlineLevel="0" collapsed="false">
      <c r="A39" s="251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  <c r="BA39" s="254"/>
      <c r="BB39" s="254"/>
      <c r="BC39" s="254"/>
      <c r="BD39" s="254"/>
      <c r="BE39" s="254"/>
      <c r="BF39" s="254"/>
      <c r="BG39" s="254"/>
      <c r="BH39" s="67"/>
    </row>
    <row r="40" customFormat="false" ht="15.75" hidden="false" customHeight="false" outlineLevel="0" collapsed="false">
      <c r="A40" s="251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67"/>
    </row>
    <row r="41" customFormat="false" ht="15.75" hidden="false" customHeight="false" outlineLevel="0" collapsed="false">
      <c r="A41" s="251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  <c r="BA41" s="254"/>
      <c r="BB41" s="254"/>
      <c r="BC41" s="254"/>
      <c r="BD41" s="254"/>
      <c r="BE41" s="254"/>
      <c r="BF41" s="254"/>
      <c r="BG41" s="254"/>
      <c r="BH41" s="67"/>
    </row>
    <row r="42" customFormat="false" ht="15.75" hidden="false" customHeight="false" outlineLevel="0" collapsed="false">
      <c r="A42" s="251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4"/>
      <c r="BE42" s="254"/>
      <c r="BF42" s="254"/>
      <c r="BG42" s="254"/>
      <c r="BH42" s="67"/>
    </row>
    <row r="43" customFormat="false" ht="15.75" hidden="false" customHeight="false" outlineLevel="0" collapsed="false">
      <c r="A43" s="251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67"/>
    </row>
    <row r="44" customFormat="false" ht="15.75" hidden="false" customHeight="false" outlineLevel="0" collapsed="false">
      <c r="A44" s="251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/>
      <c r="AY44" s="254"/>
      <c r="AZ44" s="254"/>
      <c r="BA44" s="254"/>
      <c r="BB44" s="254"/>
      <c r="BC44" s="254"/>
      <c r="BD44" s="254"/>
      <c r="BE44" s="254"/>
      <c r="BF44" s="254"/>
      <c r="BG44" s="254"/>
      <c r="BH44" s="67"/>
    </row>
    <row r="45" customFormat="false" ht="15.75" hidden="false" customHeight="false" outlineLevel="0" collapsed="false">
      <c r="A45" s="251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254"/>
      <c r="BF45" s="254"/>
      <c r="BG45" s="254"/>
      <c r="BH45" s="67"/>
    </row>
    <row r="46" customFormat="false" ht="15.75" hidden="false" customHeight="false" outlineLevel="0" collapsed="false">
      <c r="A46" s="251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67"/>
    </row>
    <row r="47" customFormat="false" ht="15.75" hidden="false" customHeight="false" outlineLevel="0" collapsed="false">
      <c r="A47" s="251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67"/>
    </row>
    <row r="48" customFormat="false" ht="15.75" hidden="false" customHeight="false" outlineLevel="0" collapsed="false">
      <c r="A48" s="251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4"/>
      <c r="BE48" s="254"/>
      <c r="BF48" s="254"/>
      <c r="BG48" s="254"/>
      <c r="BH48" s="67"/>
    </row>
    <row r="49" customFormat="false" ht="15.75" hidden="false" customHeight="false" outlineLevel="0" collapsed="false">
      <c r="A49" s="251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4"/>
      <c r="AX49" s="254"/>
      <c r="AY49" s="254"/>
      <c r="AZ49" s="254"/>
      <c r="BA49" s="254"/>
      <c r="BB49" s="254"/>
      <c r="BC49" s="254"/>
      <c r="BD49" s="254"/>
      <c r="BE49" s="254"/>
      <c r="BF49" s="254"/>
      <c r="BG49" s="254"/>
      <c r="BH49" s="67"/>
    </row>
    <row r="50" customFormat="false" ht="15.75" hidden="false" customHeight="false" outlineLevel="0" collapsed="false">
      <c r="A50" s="251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254"/>
      <c r="BF50" s="254"/>
      <c r="BG50" s="254"/>
      <c r="BH50" s="67"/>
    </row>
    <row r="51" customFormat="false" ht="15.75" hidden="false" customHeight="false" outlineLevel="0" collapsed="false">
      <c r="A51" s="251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254"/>
      <c r="BF51" s="254"/>
      <c r="BG51" s="254"/>
      <c r="BH51" s="67"/>
    </row>
    <row r="52" customFormat="false" ht="15.75" hidden="false" customHeight="false" outlineLevel="0" collapsed="false">
      <c r="A52" s="251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67"/>
    </row>
    <row r="53" customFormat="false" ht="15.75" hidden="false" customHeight="false" outlineLevel="0" collapsed="false">
      <c r="A53" s="251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67"/>
    </row>
    <row r="54" customFormat="false" ht="15.75" hidden="false" customHeight="false" outlineLevel="0" collapsed="false">
      <c r="A54" s="251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254"/>
      <c r="BF54" s="254"/>
      <c r="BG54" s="254"/>
      <c r="BH54" s="67"/>
    </row>
    <row r="55" customFormat="false" ht="15.75" hidden="false" customHeight="false" outlineLevel="0" collapsed="false">
      <c r="A55" s="251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67"/>
    </row>
    <row r="56" customFormat="false" ht="15.75" hidden="false" customHeight="false" outlineLevel="0" collapsed="false">
      <c r="A56" s="251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254"/>
      <c r="AO56" s="254"/>
      <c r="AP56" s="254"/>
      <c r="AQ56" s="254"/>
      <c r="AR56" s="254"/>
      <c r="AS56" s="254"/>
      <c r="AT56" s="254"/>
      <c r="AU56" s="254"/>
      <c r="AV56" s="254"/>
      <c r="AW56" s="254"/>
      <c r="AX56" s="254"/>
      <c r="AY56" s="254"/>
      <c r="AZ56" s="254"/>
      <c r="BA56" s="254"/>
      <c r="BB56" s="254"/>
      <c r="BC56" s="254"/>
      <c r="BD56" s="254"/>
      <c r="BE56" s="254"/>
      <c r="BF56" s="254"/>
      <c r="BG56" s="254"/>
      <c r="BH56" s="67"/>
    </row>
    <row r="57" customFormat="false" ht="15.75" hidden="false" customHeight="false" outlineLevel="0" collapsed="false">
      <c r="A57" s="251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254"/>
      <c r="AO57" s="254"/>
      <c r="AP57" s="254"/>
      <c r="AQ57" s="254"/>
      <c r="AR57" s="254"/>
      <c r="AS57" s="254"/>
      <c r="AT57" s="254"/>
      <c r="AU57" s="254"/>
      <c r="AV57" s="254"/>
      <c r="AW57" s="254"/>
      <c r="AX57" s="254"/>
      <c r="AY57" s="254"/>
      <c r="AZ57" s="254"/>
      <c r="BA57" s="254"/>
      <c r="BB57" s="254"/>
      <c r="BC57" s="254"/>
      <c r="BD57" s="254"/>
      <c r="BE57" s="254"/>
      <c r="BF57" s="254"/>
      <c r="BG57" s="254"/>
      <c r="BH57" s="67"/>
    </row>
    <row r="58" customFormat="false" ht="15.75" hidden="false" customHeight="false" outlineLevel="0" collapsed="false">
      <c r="A58" s="251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4"/>
      <c r="AS58" s="254"/>
      <c r="AT58" s="254"/>
      <c r="AU58" s="254"/>
      <c r="AV58" s="254"/>
      <c r="AW58" s="254"/>
      <c r="AX58" s="254"/>
      <c r="AY58" s="254"/>
      <c r="AZ58" s="254"/>
      <c r="BA58" s="254"/>
      <c r="BB58" s="254"/>
      <c r="BC58" s="254"/>
      <c r="BD58" s="254"/>
      <c r="BE58" s="254"/>
      <c r="BF58" s="254"/>
      <c r="BG58" s="254"/>
      <c r="BH58" s="67"/>
    </row>
    <row r="59" customFormat="false" ht="15.75" hidden="false" customHeight="false" outlineLevel="0" collapsed="false">
      <c r="A59" s="251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  <c r="BE59" s="254"/>
      <c r="BF59" s="254"/>
      <c r="BG59" s="254"/>
      <c r="BH59" s="67"/>
    </row>
    <row r="60" customFormat="false" ht="15.75" hidden="false" customHeight="false" outlineLevel="0" collapsed="false">
      <c r="A60" s="251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67"/>
    </row>
    <row r="61" customFormat="false" ht="15.75" hidden="false" customHeight="false" outlineLevel="0" collapsed="false">
      <c r="A61" s="251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4"/>
      <c r="BF61" s="254"/>
      <c r="BG61" s="254"/>
      <c r="BH61" s="67"/>
    </row>
    <row r="62" customFormat="false" ht="15.75" hidden="false" customHeight="false" outlineLevel="0" collapsed="false">
      <c r="A62" s="251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254"/>
      <c r="BF62" s="254"/>
      <c r="BG62" s="254"/>
      <c r="BH62" s="67"/>
    </row>
    <row r="63" customFormat="false" ht="15.75" hidden="false" customHeight="false" outlineLevel="0" collapsed="false">
      <c r="A63" s="251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254"/>
      <c r="BA63" s="254"/>
      <c r="BB63" s="254"/>
      <c r="BC63" s="254"/>
      <c r="BD63" s="254"/>
      <c r="BE63" s="254"/>
      <c r="BF63" s="254"/>
      <c r="BG63" s="254"/>
      <c r="BH63" s="67"/>
    </row>
    <row r="64" customFormat="false" ht="15.75" hidden="false" customHeight="false" outlineLevel="0" collapsed="false">
      <c r="A64" s="251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254"/>
      <c r="BF64" s="254"/>
      <c r="BG64" s="254"/>
      <c r="BH64" s="67"/>
    </row>
    <row r="65" customFormat="false" ht="15.75" hidden="false" customHeight="false" outlineLevel="0" collapsed="false">
      <c r="A65" s="251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  <c r="BA65" s="254"/>
      <c r="BB65" s="254"/>
      <c r="BC65" s="254"/>
      <c r="BD65" s="254"/>
      <c r="BE65" s="254"/>
      <c r="BF65" s="254"/>
      <c r="BG65" s="254"/>
      <c r="BH65" s="67"/>
    </row>
    <row r="66" customFormat="false" ht="15.75" hidden="false" customHeight="false" outlineLevel="0" collapsed="false">
      <c r="A66" s="251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54"/>
      <c r="AT66" s="254"/>
      <c r="AU66" s="254"/>
      <c r="AV66" s="254"/>
      <c r="AW66" s="254"/>
      <c r="AX66" s="254"/>
      <c r="AY66" s="254"/>
      <c r="AZ66" s="254"/>
      <c r="BA66" s="254"/>
      <c r="BB66" s="254"/>
      <c r="BC66" s="254"/>
      <c r="BD66" s="254"/>
      <c r="BE66" s="254"/>
      <c r="BF66" s="254"/>
      <c r="BG66" s="254"/>
      <c r="BH66" s="67"/>
    </row>
    <row r="67" customFormat="false" ht="15.75" hidden="false" customHeight="false" outlineLevel="0" collapsed="false">
      <c r="A67" s="251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54"/>
      <c r="AX67" s="254"/>
      <c r="AY67" s="254"/>
      <c r="AZ67" s="254"/>
      <c r="BA67" s="254"/>
      <c r="BB67" s="254"/>
      <c r="BC67" s="254"/>
      <c r="BD67" s="254"/>
      <c r="BE67" s="254"/>
      <c r="BF67" s="254"/>
      <c r="BG67" s="254"/>
      <c r="BH67" s="67"/>
    </row>
    <row r="68" customFormat="false" ht="15.75" hidden="false" customHeight="false" outlineLevel="0" collapsed="false">
      <c r="A68" s="251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54"/>
      <c r="AT68" s="254"/>
      <c r="AU68" s="254"/>
      <c r="AV68" s="254"/>
      <c r="AW68" s="254"/>
      <c r="AX68" s="254"/>
      <c r="AY68" s="254"/>
      <c r="AZ68" s="254"/>
      <c r="BA68" s="254"/>
      <c r="BB68" s="254"/>
      <c r="BC68" s="254"/>
      <c r="BD68" s="254"/>
      <c r="BE68" s="254"/>
      <c r="BF68" s="254"/>
      <c r="BG68" s="254"/>
      <c r="BH68" s="67"/>
    </row>
    <row r="69" customFormat="false" ht="15.75" hidden="false" customHeight="false" outlineLevel="0" collapsed="false">
      <c r="A69" s="251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4"/>
      <c r="AX69" s="254"/>
      <c r="AY69" s="254"/>
      <c r="AZ69" s="254"/>
      <c r="BA69" s="254"/>
      <c r="BB69" s="254"/>
      <c r="BC69" s="254"/>
      <c r="BD69" s="254"/>
      <c r="BE69" s="254"/>
      <c r="BF69" s="254"/>
      <c r="BG69" s="254"/>
      <c r="BH69" s="67"/>
    </row>
    <row r="70" customFormat="false" ht="15.75" hidden="false" customHeight="false" outlineLevel="0" collapsed="false">
      <c r="A70" s="251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254"/>
      <c r="BF70" s="254"/>
      <c r="BG70" s="254"/>
      <c r="BH70" s="67"/>
    </row>
    <row r="71" customFormat="false" ht="15.75" hidden="false" customHeight="false" outlineLevel="0" collapsed="false">
      <c r="A71" s="251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  <c r="AT71" s="254"/>
      <c r="AU71" s="254"/>
      <c r="AV71" s="254"/>
      <c r="AW71" s="254"/>
      <c r="AX71" s="254"/>
      <c r="AY71" s="254"/>
      <c r="AZ71" s="254"/>
      <c r="BA71" s="254"/>
      <c r="BB71" s="254"/>
      <c r="BC71" s="254"/>
      <c r="BD71" s="254"/>
      <c r="BE71" s="254"/>
      <c r="BF71" s="254"/>
      <c r="BG71" s="254"/>
      <c r="BH71" s="67"/>
    </row>
    <row r="72" customFormat="false" ht="15.75" hidden="false" customHeight="false" outlineLevel="0" collapsed="false">
      <c r="A72" s="251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254"/>
      <c r="AV72" s="254"/>
      <c r="AW72" s="254"/>
      <c r="AX72" s="254"/>
      <c r="AY72" s="254"/>
      <c r="AZ72" s="254"/>
      <c r="BA72" s="254"/>
      <c r="BB72" s="254"/>
      <c r="BC72" s="254"/>
      <c r="BD72" s="254"/>
      <c r="BE72" s="254"/>
      <c r="BF72" s="254"/>
      <c r="BG72" s="254"/>
      <c r="BH72" s="67"/>
    </row>
    <row r="73" customFormat="false" ht="15.75" hidden="false" customHeight="false" outlineLevel="0" collapsed="false">
      <c r="A73" s="251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  <c r="AT73" s="254"/>
      <c r="AU73" s="254"/>
      <c r="AV73" s="254"/>
      <c r="AW73" s="254"/>
      <c r="AX73" s="254"/>
      <c r="AY73" s="254"/>
      <c r="AZ73" s="254"/>
      <c r="BA73" s="254"/>
      <c r="BB73" s="254"/>
      <c r="BC73" s="254"/>
      <c r="BD73" s="254"/>
      <c r="BE73" s="254"/>
      <c r="BF73" s="254"/>
      <c r="BG73" s="254"/>
      <c r="BH73" s="67"/>
    </row>
    <row r="74" customFormat="false" ht="15.75" hidden="false" customHeight="false" outlineLevel="0" collapsed="false">
      <c r="A74" s="251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  <c r="AT74" s="254"/>
      <c r="AU74" s="254"/>
      <c r="AV74" s="254"/>
      <c r="AW74" s="254"/>
      <c r="AX74" s="254"/>
      <c r="AY74" s="254"/>
      <c r="AZ74" s="254"/>
      <c r="BA74" s="254"/>
      <c r="BB74" s="254"/>
      <c r="BC74" s="254"/>
      <c r="BD74" s="254"/>
      <c r="BE74" s="254"/>
      <c r="BF74" s="254"/>
      <c r="BG74" s="254"/>
      <c r="BH74" s="67"/>
    </row>
    <row r="75" customFormat="false" ht="15.75" hidden="false" customHeight="false" outlineLevel="0" collapsed="false">
      <c r="A75" s="251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254"/>
      <c r="AO75" s="254"/>
      <c r="AP75" s="254"/>
      <c r="AQ75" s="254"/>
      <c r="AR75" s="254"/>
      <c r="AS75" s="254"/>
      <c r="AT75" s="254"/>
      <c r="AU75" s="254"/>
      <c r="AV75" s="254"/>
      <c r="AW75" s="254"/>
      <c r="AX75" s="254"/>
      <c r="AY75" s="254"/>
      <c r="AZ75" s="254"/>
      <c r="BA75" s="254"/>
      <c r="BB75" s="254"/>
      <c r="BC75" s="254"/>
      <c r="BD75" s="254"/>
      <c r="BE75" s="254"/>
      <c r="BF75" s="254"/>
      <c r="BG75" s="254"/>
      <c r="BH75" s="67"/>
    </row>
    <row r="76" customFormat="false" ht="15.75" hidden="false" customHeight="false" outlineLevel="0" collapsed="false">
      <c r="A76" s="251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254"/>
      <c r="AO76" s="254"/>
      <c r="AP76" s="254"/>
      <c r="AQ76" s="254"/>
      <c r="AR76" s="254"/>
      <c r="AS76" s="254"/>
      <c r="AT76" s="254"/>
      <c r="AU76" s="254"/>
      <c r="AV76" s="254"/>
      <c r="AW76" s="254"/>
      <c r="AX76" s="254"/>
      <c r="AY76" s="254"/>
      <c r="AZ76" s="254"/>
      <c r="BA76" s="254"/>
      <c r="BB76" s="254"/>
      <c r="BC76" s="254"/>
      <c r="BD76" s="254"/>
      <c r="BE76" s="254"/>
      <c r="BF76" s="254"/>
      <c r="BG76" s="254"/>
      <c r="BH76" s="67"/>
    </row>
    <row r="77" customFormat="false" ht="15.75" hidden="false" customHeight="false" outlineLevel="0" collapsed="false">
      <c r="A77" s="251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254"/>
      <c r="AO77" s="254"/>
      <c r="AP77" s="254"/>
      <c r="AQ77" s="254"/>
      <c r="AR77" s="254"/>
      <c r="AS77" s="254"/>
      <c r="AT77" s="254"/>
      <c r="AU77" s="254"/>
      <c r="AV77" s="254"/>
      <c r="AW77" s="254"/>
      <c r="AX77" s="254"/>
      <c r="AY77" s="254"/>
      <c r="AZ77" s="254"/>
      <c r="BA77" s="254"/>
      <c r="BB77" s="254"/>
      <c r="BC77" s="254"/>
      <c r="BD77" s="254"/>
      <c r="BE77" s="254"/>
      <c r="BF77" s="254"/>
      <c r="BG77" s="254"/>
      <c r="BH77" s="67"/>
    </row>
    <row r="78" customFormat="false" ht="15.75" hidden="false" customHeight="false" outlineLevel="0" collapsed="false">
      <c r="A78" s="251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4"/>
      <c r="AX78" s="254"/>
      <c r="AY78" s="254"/>
      <c r="AZ78" s="254"/>
      <c r="BA78" s="254"/>
      <c r="BB78" s="254"/>
      <c r="BC78" s="254"/>
      <c r="BD78" s="254"/>
      <c r="BE78" s="254"/>
      <c r="BF78" s="254"/>
      <c r="BG78" s="254"/>
      <c r="BH78" s="67"/>
    </row>
    <row r="79" customFormat="false" ht="15.75" hidden="false" customHeight="false" outlineLevel="0" collapsed="false">
      <c r="A79" s="251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4"/>
      <c r="AV79" s="254"/>
      <c r="AW79" s="254"/>
      <c r="AX79" s="254"/>
      <c r="AY79" s="254"/>
      <c r="AZ79" s="254"/>
      <c r="BA79" s="254"/>
      <c r="BB79" s="254"/>
      <c r="BC79" s="254"/>
      <c r="BD79" s="254"/>
      <c r="BE79" s="254"/>
      <c r="BF79" s="254"/>
      <c r="BG79" s="254"/>
      <c r="BH79" s="67"/>
    </row>
    <row r="80" customFormat="false" ht="15.75" hidden="false" customHeight="false" outlineLevel="0" collapsed="false">
      <c r="A80" s="251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  <c r="AT80" s="254"/>
      <c r="AU80" s="254"/>
      <c r="AV80" s="254"/>
      <c r="AW80" s="254"/>
      <c r="AX80" s="254"/>
      <c r="AY80" s="254"/>
      <c r="AZ80" s="254"/>
      <c r="BA80" s="254"/>
      <c r="BB80" s="254"/>
      <c r="BC80" s="254"/>
      <c r="BD80" s="254"/>
      <c r="BE80" s="254"/>
      <c r="BF80" s="254"/>
      <c r="BG80" s="254"/>
      <c r="BH80" s="67"/>
    </row>
    <row r="81" customFormat="false" ht="15.75" hidden="false" customHeight="false" outlineLevel="0" collapsed="false">
      <c r="A81" s="251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254"/>
      <c r="AO81" s="254"/>
      <c r="AP81" s="254"/>
      <c r="AQ81" s="254"/>
      <c r="AR81" s="254"/>
      <c r="AS81" s="254"/>
      <c r="AT81" s="254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254"/>
      <c r="BF81" s="254"/>
      <c r="BG81" s="254"/>
      <c r="BH81" s="67"/>
    </row>
    <row r="82" customFormat="false" ht="15.75" hidden="false" customHeight="false" outlineLevel="0" collapsed="false">
      <c r="A82" s="251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254"/>
      <c r="BF82" s="254"/>
      <c r="BG82" s="254"/>
      <c r="BH82" s="67"/>
    </row>
    <row r="83" customFormat="false" ht="15.75" hidden="false" customHeight="false" outlineLevel="0" collapsed="false">
      <c r="A83" s="251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  <c r="AU83" s="254"/>
      <c r="AV83" s="254"/>
      <c r="AW83" s="254"/>
      <c r="AX83" s="254"/>
      <c r="AY83" s="254"/>
      <c r="AZ83" s="254"/>
      <c r="BA83" s="254"/>
      <c r="BB83" s="254"/>
      <c r="BC83" s="254"/>
      <c r="BD83" s="254"/>
      <c r="BE83" s="254"/>
      <c r="BF83" s="254"/>
      <c r="BG83" s="254"/>
      <c r="BH83" s="67"/>
    </row>
    <row r="84" customFormat="false" ht="15.75" hidden="false" customHeight="false" outlineLevel="0" collapsed="false">
      <c r="A84" s="251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254"/>
      <c r="AO84" s="254"/>
      <c r="AP84" s="254"/>
      <c r="AQ84" s="254"/>
      <c r="AR84" s="254"/>
      <c r="AS84" s="254"/>
      <c r="AT84" s="254"/>
      <c r="AU84" s="254"/>
      <c r="AV84" s="254"/>
      <c r="AW84" s="254"/>
      <c r="AX84" s="254"/>
      <c r="AY84" s="254"/>
      <c r="AZ84" s="254"/>
      <c r="BA84" s="254"/>
      <c r="BB84" s="254"/>
      <c r="BC84" s="254"/>
      <c r="BD84" s="254"/>
      <c r="BE84" s="254"/>
      <c r="BF84" s="254"/>
      <c r="BG84" s="254"/>
      <c r="BH84" s="67"/>
    </row>
    <row r="85" customFormat="false" ht="15.75" hidden="false" customHeight="false" outlineLevel="0" collapsed="false">
      <c r="A85" s="251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/>
      <c r="AT85" s="254"/>
      <c r="AU85" s="254"/>
      <c r="AV85" s="254"/>
      <c r="AW85" s="254"/>
      <c r="AX85" s="254"/>
      <c r="AY85" s="254"/>
      <c r="AZ85" s="254"/>
      <c r="BA85" s="254"/>
      <c r="BB85" s="254"/>
      <c r="BC85" s="254"/>
      <c r="BD85" s="254"/>
      <c r="BE85" s="254"/>
      <c r="BF85" s="254"/>
      <c r="BG85" s="254"/>
      <c r="BH85" s="67"/>
    </row>
    <row r="86" customFormat="false" ht="15.75" hidden="false" customHeight="false" outlineLevel="0" collapsed="false">
      <c r="A86" s="251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  <c r="AU86" s="254"/>
      <c r="AV86" s="254"/>
      <c r="AW86" s="254"/>
      <c r="AX86" s="254"/>
      <c r="AY86" s="254"/>
      <c r="AZ86" s="254"/>
      <c r="BA86" s="254"/>
      <c r="BB86" s="254"/>
      <c r="BC86" s="254"/>
      <c r="BD86" s="254"/>
      <c r="BE86" s="254"/>
      <c r="BF86" s="254"/>
      <c r="BG86" s="254"/>
      <c r="BH86" s="67"/>
    </row>
    <row r="87" customFormat="false" ht="15.75" hidden="false" customHeight="false" outlineLevel="0" collapsed="false">
      <c r="A87" s="251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4"/>
      <c r="AX87" s="254"/>
      <c r="AY87" s="254"/>
      <c r="AZ87" s="254"/>
      <c r="BA87" s="254"/>
      <c r="BB87" s="254"/>
      <c r="BC87" s="254"/>
      <c r="BD87" s="254"/>
      <c r="BE87" s="254"/>
      <c r="BF87" s="254"/>
      <c r="BG87" s="254"/>
      <c r="BH87" s="67"/>
    </row>
    <row r="88" customFormat="false" ht="15.75" hidden="false" customHeight="false" outlineLevel="0" collapsed="false">
      <c r="A88" s="251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254"/>
      <c r="BF88" s="254"/>
      <c r="BG88" s="254"/>
      <c r="BH88" s="67"/>
    </row>
    <row r="89" customFormat="false" ht="15.75" hidden="false" customHeight="false" outlineLevel="0" collapsed="false">
      <c r="A89" s="251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  <c r="BA89" s="254"/>
      <c r="BB89" s="254"/>
      <c r="BC89" s="254"/>
      <c r="BD89" s="254"/>
      <c r="BE89" s="254"/>
      <c r="BF89" s="254"/>
      <c r="BG89" s="254"/>
      <c r="BH89" s="67"/>
    </row>
    <row r="90" customFormat="false" ht="15.75" hidden="false" customHeight="false" outlineLevel="0" collapsed="false">
      <c r="A90" s="251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  <c r="BA90" s="254"/>
      <c r="BB90" s="254"/>
      <c r="BC90" s="254"/>
      <c r="BD90" s="254"/>
      <c r="BE90" s="254"/>
      <c r="BF90" s="254"/>
      <c r="BG90" s="254"/>
      <c r="BH90" s="67"/>
    </row>
    <row r="91" customFormat="false" ht="15.75" hidden="false" customHeight="false" outlineLevel="0" collapsed="false">
      <c r="A91" s="251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54"/>
      <c r="BC91" s="254"/>
      <c r="BD91" s="254"/>
      <c r="BE91" s="254"/>
      <c r="BF91" s="254"/>
      <c r="BG91" s="254"/>
      <c r="BH91" s="67"/>
    </row>
    <row r="92" customFormat="false" ht="15.75" hidden="false" customHeight="false" outlineLevel="0" collapsed="false">
      <c r="A92" s="251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  <c r="BA92" s="254"/>
      <c r="BB92" s="254"/>
      <c r="BC92" s="254"/>
      <c r="BD92" s="254"/>
      <c r="BE92" s="254"/>
      <c r="BF92" s="254"/>
      <c r="BG92" s="254"/>
      <c r="BH92" s="67"/>
    </row>
    <row r="93" customFormat="false" ht="15.75" hidden="false" customHeight="false" outlineLevel="0" collapsed="false">
      <c r="A93" s="251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54"/>
      <c r="AY93" s="254"/>
      <c r="AZ93" s="254"/>
      <c r="BA93" s="254"/>
      <c r="BB93" s="254"/>
      <c r="BC93" s="254"/>
      <c r="BD93" s="254"/>
      <c r="BE93" s="254"/>
      <c r="BF93" s="254"/>
      <c r="BG93" s="254"/>
      <c r="BH93" s="67"/>
    </row>
    <row r="94" customFormat="false" ht="15.75" hidden="false" customHeight="false" outlineLevel="0" collapsed="false">
      <c r="A94" s="251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54"/>
      <c r="AY94" s="254"/>
      <c r="AZ94" s="254"/>
      <c r="BA94" s="254"/>
      <c r="BB94" s="254"/>
      <c r="BC94" s="254"/>
      <c r="BD94" s="254"/>
      <c r="BE94" s="254"/>
      <c r="BF94" s="254"/>
      <c r="BG94" s="254"/>
      <c r="BH94" s="67"/>
    </row>
    <row r="95" customFormat="false" ht="15.75" hidden="false" customHeight="false" outlineLevel="0" collapsed="false">
      <c r="A95" s="251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  <c r="AT95" s="254"/>
      <c r="AU95" s="254"/>
      <c r="AV95" s="254"/>
      <c r="AW95" s="254"/>
      <c r="AX95" s="254"/>
      <c r="AY95" s="254"/>
      <c r="AZ95" s="254"/>
      <c r="BA95" s="254"/>
      <c r="BB95" s="254"/>
      <c r="BC95" s="254"/>
      <c r="BD95" s="254"/>
      <c r="BE95" s="254"/>
      <c r="BF95" s="254"/>
      <c r="BG95" s="254"/>
      <c r="BH95" s="67"/>
    </row>
    <row r="96" customFormat="false" ht="15.75" hidden="false" customHeight="false" outlineLevel="0" collapsed="false">
      <c r="A96" s="251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  <c r="AT96" s="254"/>
      <c r="AU96" s="254"/>
      <c r="AV96" s="254"/>
      <c r="AW96" s="254"/>
      <c r="AX96" s="254"/>
      <c r="AY96" s="254"/>
      <c r="AZ96" s="254"/>
      <c r="BA96" s="254"/>
      <c r="BB96" s="254"/>
      <c r="BC96" s="254"/>
      <c r="BD96" s="254"/>
      <c r="BE96" s="254"/>
      <c r="BF96" s="254"/>
      <c r="BG96" s="254"/>
      <c r="BH96" s="67"/>
    </row>
    <row r="97" customFormat="false" ht="15.75" hidden="false" customHeight="false" outlineLevel="0" collapsed="false">
      <c r="A97" s="251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  <c r="AU97" s="254"/>
      <c r="AV97" s="254"/>
      <c r="AW97" s="254"/>
      <c r="AX97" s="254"/>
      <c r="AY97" s="254"/>
      <c r="AZ97" s="254"/>
      <c r="BA97" s="254"/>
      <c r="BB97" s="254"/>
      <c r="BC97" s="254"/>
      <c r="BD97" s="254"/>
      <c r="BE97" s="254"/>
      <c r="BF97" s="254"/>
      <c r="BG97" s="254"/>
      <c r="BH97" s="67"/>
    </row>
    <row r="98" customFormat="false" ht="15.75" hidden="false" customHeight="false" outlineLevel="0" collapsed="false">
      <c r="A98" s="251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  <c r="AU98" s="254"/>
      <c r="AV98" s="254"/>
      <c r="AW98" s="254"/>
      <c r="AX98" s="254"/>
      <c r="AY98" s="254"/>
      <c r="AZ98" s="254"/>
      <c r="BA98" s="254"/>
      <c r="BB98" s="254"/>
      <c r="BC98" s="254"/>
      <c r="BD98" s="254"/>
      <c r="BE98" s="254"/>
      <c r="BF98" s="254"/>
      <c r="BG98" s="254"/>
      <c r="BH98" s="67"/>
    </row>
    <row r="99" customFormat="false" ht="15.75" hidden="false" customHeight="false" outlineLevel="0" collapsed="false">
      <c r="A99" s="251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  <c r="BA99" s="254"/>
      <c r="BB99" s="254"/>
      <c r="BC99" s="254"/>
      <c r="BD99" s="254"/>
      <c r="BE99" s="254"/>
      <c r="BF99" s="254"/>
      <c r="BG99" s="254"/>
      <c r="BH99" s="67"/>
    </row>
    <row r="100" customFormat="false" ht="15.75" hidden="false" customHeight="false" outlineLevel="0" collapsed="false">
      <c r="A100" s="251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  <c r="BC100" s="254"/>
      <c r="BD100" s="254"/>
      <c r="BE100" s="254"/>
      <c r="BF100" s="254"/>
      <c r="BG100" s="254"/>
      <c r="BH100" s="67"/>
    </row>
    <row r="101" customFormat="false" ht="15.75" hidden="false" customHeight="false" outlineLevel="0" collapsed="false">
      <c r="A101" s="251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  <c r="BA101" s="254"/>
      <c r="BB101" s="254"/>
      <c r="BC101" s="254"/>
      <c r="BD101" s="254"/>
      <c r="BE101" s="254"/>
      <c r="BF101" s="254"/>
      <c r="BG101" s="254"/>
      <c r="BH101" s="67"/>
    </row>
    <row r="102" customFormat="false" ht="15.75" hidden="false" customHeight="false" outlineLevel="0" collapsed="false">
      <c r="A102" s="251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67"/>
    </row>
    <row r="103" customFormat="false" ht="15.75" hidden="false" customHeight="false" outlineLevel="0" collapsed="false">
      <c r="A103" s="251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254"/>
      <c r="BF103" s="254"/>
      <c r="BG103" s="254"/>
      <c r="BH103" s="67"/>
    </row>
    <row r="104" customFormat="false" ht="15.75" hidden="false" customHeight="false" outlineLevel="0" collapsed="false">
      <c r="A104" s="251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4"/>
      <c r="AZ104" s="254"/>
      <c r="BA104" s="254"/>
      <c r="BB104" s="254"/>
      <c r="BC104" s="254"/>
      <c r="BD104" s="254"/>
      <c r="BE104" s="254"/>
      <c r="BF104" s="254"/>
      <c r="BG104" s="254"/>
      <c r="BH104" s="67"/>
    </row>
    <row r="105" customFormat="false" ht="15.75" hidden="false" customHeight="false" outlineLevel="0" collapsed="false">
      <c r="A105" s="251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254"/>
      <c r="BF105" s="254"/>
      <c r="BG105" s="254"/>
      <c r="BH105" s="67"/>
    </row>
    <row r="106" customFormat="false" ht="15.75" hidden="false" customHeight="false" outlineLevel="0" collapsed="false">
      <c r="A106" s="251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  <c r="BA106" s="254"/>
      <c r="BB106" s="254"/>
      <c r="BC106" s="254"/>
      <c r="BD106" s="254"/>
      <c r="BE106" s="254"/>
      <c r="BF106" s="254"/>
      <c r="BG106" s="254"/>
      <c r="BH106" s="67"/>
    </row>
    <row r="107" customFormat="false" ht="15.75" hidden="false" customHeight="false" outlineLevel="0" collapsed="false">
      <c r="A107" s="251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  <c r="BA107" s="254"/>
      <c r="BB107" s="254"/>
      <c r="BC107" s="254"/>
      <c r="BD107" s="254"/>
      <c r="BE107" s="254"/>
      <c r="BF107" s="254"/>
      <c r="BG107" s="254"/>
      <c r="BH107" s="67"/>
    </row>
    <row r="108" customFormat="false" ht="15.75" hidden="false" customHeight="false" outlineLevel="0" collapsed="false">
      <c r="A108" s="251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  <c r="AU108" s="254"/>
      <c r="AV108" s="254"/>
      <c r="AW108" s="254"/>
      <c r="AX108" s="254"/>
      <c r="AY108" s="254"/>
      <c r="AZ108" s="254"/>
      <c r="BA108" s="254"/>
      <c r="BB108" s="254"/>
      <c r="BC108" s="254"/>
      <c r="BD108" s="254"/>
      <c r="BE108" s="254"/>
      <c r="BF108" s="254"/>
      <c r="BG108" s="254"/>
      <c r="BH108" s="67"/>
    </row>
    <row r="109" customFormat="false" ht="15.75" hidden="false" customHeight="false" outlineLevel="0" collapsed="false">
      <c r="A109" s="251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4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67"/>
    </row>
    <row r="110" customFormat="false" ht="15.75" hidden="false" customHeight="false" outlineLevel="0" collapsed="false">
      <c r="A110" s="251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4"/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4"/>
      <c r="AZ110" s="254"/>
      <c r="BA110" s="254"/>
      <c r="BB110" s="254"/>
      <c r="BC110" s="254"/>
      <c r="BD110" s="254"/>
      <c r="BE110" s="254"/>
      <c r="BF110" s="254"/>
      <c r="BG110" s="254"/>
      <c r="BH110" s="67"/>
    </row>
    <row r="111" customFormat="false" ht="15.75" hidden="false" customHeight="false" outlineLevel="0" collapsed="false">
      <c r="A111" s="251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  <c r="AU111" s="254"/>
      <c r="AV111" s="254"/>
      <c r="AW111" s="254"/>
      <c r="AX111" s="254"/>
      <c r="AY111" s="254"/>
      <c r="AZ111" s="254"/>
      <c r="BA111" s="254"/>
      <c r="BB111" s="254"/>
      <c r="BC111" s="254"/>
      <c r="BD111" s="254"/>
      <c r="BE111" s="254"/>
      <c r="BF111" s="254"/>
      <c r="BG111" s="254"/>
      <c r="BH111" s="67"/>
    </row>
    <row r="112" customFormat="false" ht="15.75" hidden="false" customHeight="false" outlineLevel="0" collapsed="false">
      <c r="A112" s="251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54"/>
      <c r="AY112" s="254"/>
      <c r="AZ112" s="254"/>
      <c r="BA112" s="254"/>
      <c r="BB112" s="254"/>
      <c r="BC112" s="254"/>
      <c r="BD112" s="254"/>
      <c r="BE112" s="254"/>
      <c r="BF112" s="254"/>
      <c r="BG112" s="254"/>
      <c r="BH112" s="67"/>
    </row>
    <row r="113" customFormat="false" ht="15.75" hidden="false" customHeight="false" outlineLevel="0" collapsed="false">
      <c r="A113" s="251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54"/>
      <c r="AY113" s="254"/>
      <c r="AZ113" s="254"/>
      <c r="BA113" s="254"/>
      <c r="BB113" s="254"/>
      <c r="BC113" s="254"/>
      <c r="BD113" s="254"/>
      <c r="BE113" s="254"/>
      <c r="BF113" s="254"/>
      <c r="BG113" s="254"/>
      <c r="BH113" s="67"/>
    </row>
    <row r="114" customFormat="false" ht="15.75" hidden="false" customHeight="false" outlineLevel="0" collapsed="false">
      <c r="A114" s="251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54"/>
      <c r="AY114" s="254"/>
      <c r="AZ114" s="254"/>
      <c r="BA114" s="254"/>
      <c r="BB114" s="254"/>
      <c r="BC114" s="254"/>
      <c r="BD114" s="254"/>
      <c r="BE114" s="254"/>
      <c r="BF114" s="254"/>
      <c r="BG114" s="254"/>
      <c r="BH114" s="67"/>
    </row>
    <row r="115" customFormat="false" ht="15.75" hidden="false" customHeight="false" outlineLevel="0" collapsed="false">
      <c r="A115" s="251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4"/>
      <c r="AY115" s="254"/>
      <c r="AZ115" s="254"/>
      <c r="BA115" s="254"/>
      <c r="BB115" s="254"/>
      <c r="BC115" s="254"/>
      <c r="BD115" s="254"/>
      <c r="BE115" s="254"/>
      <c r="BF115" s="254"/>
      <c r="BG115" s="254"/>
      <c r="BH115" s="67"/>
    </row>
    <row r="116" customFormat="false" ht="15.75" hidden="false" customHeight="false" outlineLevel="0" collapsed="false">
      <c r="A116" s="251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  <c r="AT116" s="254"/>
      <c r="AU116" s="254"/>
      <c r="AV116" s="254"/>
      <c r="AW116" s="254"/>
      <c r="AX116" s="254"/>
      <c r="AY116" s="254"/>
      <c r="AZ116" s="254"/>
      <c r="BA116" s="254"/>
      <c r="BB116" s="254"/>
      <c r="BC116" s="254"/>
      <c r="BD116" s="254"/>
      <c r="BE116" s="254"/>
      <c r="BF116" s="254"/>
      <c r="BG116" s="254"/>
      <c r="BH116" s="67"/>
    </row>
    <row r="117" customFormat="false" ht="15.75" hidden="false" customHeight="false" outlineLevel="0" collapsed="false">
      <c r="A117" s="251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/>
      <c r="AX117" s="254"/>
      <c r="AY117" s="254"/>
      <c r="AZ117" s="254"/>
      <c r="BA117" s="254"/>
      <c r="BB117" s="254"/>
      <c r="BC117" s="254"/>
      <c r="BD117" s="254"/>
      <c r="BE117" s="254"/>
      <c r="BF117" s="254"/>
      <c r="BG117" s="254"/>
      <c r="BH117" s="67"/>
    </row>
    <row r="118" customFormat="false" ht="15.75" hidden="false" customHeight="false" outlineLevel="0" collapsed="false">
      <c r="A118" s="251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254"/>
      <c r="AG118" s="254"/>
      <c r="AH118" s="254"/>
      <c r="AI118" s="254"/>
      <c r="AJ118" s="254"/>
      <c r="AK118" s="254"/>
      <c r="AL118" s="254"/>
      <c r="AM118" s="254"/>
      <c r="AN118" s="254"/>
      <c r="AO118" s="254"/>
      <c r="AP118" s="254"/>
      <c r="AQ118" s="254"/>
      <c r="AR118" s="254"/>
      <c r="AS118" s="254"/>
      <c r="AT118" s="254"/>
      <c r="AU118" s="254"/>
      <c r="AV118" s="254"/>
      <c r="AW118" s="254"/>
      <c r="AX118" s="254"/>
      <c r="AY118" s="254"/>
      <c r="AZ118" s="254"/>
      <c r="BA118" s="254"/>
      <c r="BB118" s="254"/>
      <c r="BC118" s="254"/>
      <c r="BD118" s="254"/>
      <c r="BE118" s="254"/>
      <c r="BF118" s="254"/>
      <c r="BG118" s="254"/>
      <c r="BH118" s="67"/>
    </row>
    <row r="119" customFormat="false" ht="15.75" hidden="false" customHeight="false" outlineLevel="0" collapsed="false">
      <c r="A119" s="251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  <c r="AT119" s="254"/>
      <c r="AU119" s="254"/>
      <c r="AV119" s="254"/>
      <c r="AW119" s="254"/>
      <c r="AX119" s="254"/>
      <c r="AY119" s="254"/>
      <c r="AZ119" s="254"/>
      <c r="BA119" s="254"/>
      <c r="BB119" s="254"/>
      <c r="BC119" s="254"/>
      <c r="BD119" s="254"/>
      <c r="BE119" s="254"/>
      <c r="BF119" s="254"/>
      <c r="BG119" s="254"/>
      <c r="BH119" s="67"/>
    </row>
    <row r="120" customFormat="false" ht="15.75" hidden="false" customHeight="false" outlineLevel="0" collapsed="false">
      <c r="A120" s="251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  <c r="AD120" s="254"/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  <c r="AT120" s="254"/>
      <c r="AU120" s="254"/>
      <c r="AV120" s="254"/>
      <c r="AW120" s="254"/>
      <c r="AX120" s="254"/>
      <c r="AY120" s="254"/>
      <c r="AZ120" s="254"/>
      <c r="BA120" s="254"/>
      <c r="BB120" s="254"/>
      <c r="BC120" s="254"/>
      <c r="BD120" s="254"/>
      <c r="BE120" s="254"/>
      <c r="BF120" s="254"/>
      <c r="BG120" s="254"/>
      <c r="BH120" s="67"/>
    </row>
    <row r="121" customFormat="false" ht="15.75" hidden="false" customHeight="false" outlineLevel="0" collapsed="false">
      <c r="A121" s="72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4"/>
    </row>
    <row r="122" customFormat="false" ht="15.75" hidden="false" customHeight="false" outlineLevel="0" collapsed="false">
      <c r="L122" s="269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67"/>
    </row>
    <row r="123" customFormat="false" ht="15.75" hidden="false" customHeight="false" outlineLevel="0" collapsed="false">
      <c r="L123" s="269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67"/>
    </row>
    <row r="124" customFormat="false" ht="15.75" hidden="false" customHeight="false" outlineLevel="0" collapsed="false">
      <c r="L124" s="269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67"/>
    </row>
    <row r="125" customFormat="false" ht="15.75" hidden="false" customHeight="false" outlineLevel="0" collapsed="false">
      <c r="L125" s="269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67"/>
    </row>
    <row r="126" customFormat="false" ht="15.75" hidden="false" customHeight="false" outlineLevel="0" collapsed="false">
      <c r="L126" s="269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67"/>
    </row>
    <row r="127" customFormat="false" ht="15.75" hidden="false" customHeight="false" outlineLevel="0" collapsed="false">
      <c r="L127" s="269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67"/>
    </row>
    <row r="128" customFormat="false" ht="15.75" hidden="false" customHeight="false" outlineLevel="0" collapsed="false">
      <c r="L128" s="269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67"/>
    </row>
    <row r="129" customFormat="false" ht="15.75" hidden="false" customHeight="false" outlineLevel="0" collapsed="false">
      <c r="L129" s="269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67"/>
    </row>
    <row r="130" customFormat="false" ht="15.75" hidden="false" customHeight="false" outlineLevel="0" collapsed="false">
      <c r="L130" s="269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67"/>
    </row>
    <row r="131" customFormat="false" ht="15.75" hidden="false" customHeight="false" outlineLevel="0" collapsed="false">
      <c r="L131" s="269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67"/>
    </row>
    <row r="132" customFormat="false" ht="15.75" hidden="false" customHeight="false" outlineLevel="0" collapsed="false">
      <c r="L132" s="269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67"/>
    </row>
    <row r="133" customFormat="false" ht="15.75" hidden="false" customHeight="false" outlineLevel="0" collapsed="false">
      <c r="L133" s="269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67"/>
    </row>
    <row r="134" customFormat="false" ht="15.75" hidden="false" customHeight="false" outlineLevel="0" collapsed="false">
      <c r="L134" s="269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67"/>
    </row>
    <row r="135" customFormat="false" ht="15.75" hidden="false" customHeight="false" outlineLevel="0" collapsed="false">
      <c r="L135" s="269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67"/>
    </row>
    <row r="136" customFormat="false" ht="15.75" hidden="false" customHeight="false" outlineLevel="0" collapsed="false">
      <c r="L136" s="269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67"/>
    </row>
    <row r="137" customFormat="false" ht="15.75" hidden="false" customHeight="false" outlineLevel="0" collapsed="false">
      <c r="L137" s="269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67"/>
    </row>
    <row r="138" customFormat="false" ht="15.75" hidden="false" customHeight="false" outlineLevel="0" collapsed="false">
      <c r="L138" s="269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67"/>
    </row>
    <row r="139" customFormat="false" ht="15.75" hidden="false" customHeight="false" outlineLevel="0" collapsed="false">
      <c r="L139" s="269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67"/>
    </row>
    <row r="140" customFormat="false" ht="15.75" hidden="false" customHeight="false" outlineLevel="0" collapsed="false">
      <c r="L140" s="269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67"/>
    </row>
    <row r="141" customFormat="false" ht="15.75" hidden="false" customHeight="false" outlineLevel="0" collapsed="false">
      <c r="L141" s="269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67"/>
    </row>
    <row r="142" customFormat="false" ht="15.75" hidden="false" customHeight="false" outlineLevel="0" collapsed="false">
      <c r="L142" s="269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67"/>
    </row>
    <row r="143" customFormat="false" ht="15.75" hidden="false" customHeight="false" outlineLevel="0" collapsed="false">
      <c r="L143" s="269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67"/>
    </row>
    <row r="144" customFormat="false" ht="15.75" hidden="false" customHeight="false" outlineLevel="0" collapsed="false">
      <c r="L144" s="269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67"/>
    </row>
    <row r="145" customFormat="false" ht="15.75" hidden="false" customHeight="false" outlineLevel="0" collapsed="false">
      <c r="L145" s="269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67"/>
    </row>
    <row r="146" customFormat="false" ht="15.75" hidden="false" customHeight="false" outlineLevel="0" collapsed="false">
      <c r="L146" s="269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67"/>
    </row>
    <row r="147" customFormat="false" ht="15.75" hidden="false" customHeight="false" outlineLevel="0" collapsed="false">
      <c r="L147" s="269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67"/>
    </row>
    <row r="148" customFormat="false" ht="15.75" hidden="false" customHeight="false" outlineLevel="0" collapsed="false">
      <c r="L148" s="269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67"/>
    </row>
    <row r="149" customFormat="false" ht="15.75" hidden="false" customHeight="false" outlineLevel="0" collapsed="false">
      <c r="L149" s="269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67"/>
    </row>
    <row r="150" customFormat="false" ht="15.75" hidden="false" customHeight="false" outlineLevel="0" collapsed="false">
      <c r="L150" s="269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67"/>
    </row>
    <row r="151" customFormat="false" ht="15.75" hidden="false" customHeight="false" outlineLevel="0" collapsed="false">
      <c r="L151" s="269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67"/>
    </row>
    <row r="152" customFormat="false" ht="15.75" hidden="false" customHeight="false" outlineLevel="0" collapsed="false">
      <c r="L152" s="269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67"/>
    </row>
    <row r="153" customFormat="false" ht="15.75" hidden="false" customHeight="false" outlineLevel="0" collapsed="false">
      <c r="L153" s="269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67"/>
    </row>
    <row r="154" customFormat="false" ht="15.75" hidden="false" customHeight="false" outlineLevel="0" collapsed="false">
      <c r="L154" s="269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67"/>
    </row>
    <row r="155" customFormat="false" ht="15.75" hidden="false" customHeight="false" outlineLevel="0" collapsed="false">
      <c r="L155" s="269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67"/>
    </row>
    <row r="156" customFormat="false" ht="15.75" hidden="false" customHeight="false" outlineLevel="0" collapsed="false">
      <c r="L156" s="269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67"/>
    </row>
    <row r="157" customFormat="false" ht="15.75" hidden="false" customHeight="false" outlineLevel="0" collapsed="false">
      <c r="L157" s="269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67"/>
    </row>
    <row r="158" customFormat="false" ht="15.75" hidden="false" customHeight="false" outlineLevel="0" collapsed="false">
      <c r="L158" s="269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67"/>
    </row>
    <row r="159" customFormat="false" ht="15.75" hidden="false" customHeight="false" outlineLevel="0" collapsed="false">
      <c r="L159" s="269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67"/>
    </row>
    <row r="160" customFormat="false" ht="15.75" hidden="false" customHeight="false" outlineLevel="0" collapsed="false">
      <c r="L160" s="269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67"/>
    </row>
    <row r="161" customFormat="false" ht="15.75" hidden="false" customHeight="false" outlineLevel="0" collapsed="false">
      <c r="L161" s="269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67"/>
    </row>
    <row r="162" customFormat="false" ht="15.75" hidden="false" customHeight="false" outlineLevel="0" collapsed="false">
      <c r="L162" s="269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67"/>
    </row>
    <row r="163" customFormat="false" ht="15.75" hidden="false" customHeight="false" outlineLevel="0" collapsed="false">
      <c r="L163" s="269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67"/>
    </row>
    <row r="164" customFormat="false" ht="15.75" hidden="false" customHeight="false" outlineLevel="0" collapsed="false">
      <c r="L164" s="269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67"/>
    </row>
    <row r="165" customFormat="false" ht="15.75" hidden="false" customHeight="false" outlineLevel="0" collapsed="false">
      <c r="L165" s="269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67"/>
    </row>
    <row r="166" customFormat="false" ht="15.75" hidden="false" customHeight="false" outlineLevel="0" collapsed="false">
      <c r="L166" s="269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67"/>
    </row>
    <row r="167" customFormat="false" ht="15.75" hidden="false" customHeight="false" outlineLevel="0" collapsed="false">
      <c r="L167" s="269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67"/>
    </row>
    <row r="168" customFormat="false" ht="15.75" hidden="false" customHeight="false" outlineLevel="0" collapsed="false">
      <c r="L168" s="269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67"/>
    </row>
    <row r="169" customFormat="false" ht="15.75" hidden="false" customHeight="false" outlineLevel="0" collapsed="false">
      <c r="L169" s="269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67"/>
    </row>
    <row r="170" customFormat="false" ht="15.75" hidden="false" customHeight="false" outlineLevel="0" collapsed="false">
      <c r="L170" s="269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67"/>
    </row>
    <row r="171" customFormat="false" ht="15.75" hidden="false" customHeight="false" outlineLevel="0" collapsed="false">
      <c r="L171" s="269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67"/>
    </row>
    <row r="172" customFormat="false" ht="15.75" hidden="false" customHeight="false" outlineLevel="0" collapsed="false">
      <c r="L172" s="269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67"/>
    </row>
    <row r="173" customFormat="false" ht="15.75" hidden="false" customHeight="false" outlineLevel="0" collapsed="false">
      <c r="L173" s="269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67"/>
    </row>
    <row r="174" customFormat="false" ht="15.75" hidden="false" customHeight="false" outlineLevel="0" collapsed="false">
      <c r="L174" s="269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67"/>
    </row>
    <row r="175" customFormat="false" ht="15.75" hidden="false" customHeight="false" outlineLevel="0" collapsed="false">
      <c r="L175" s="269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67"/>
    </row>
    <row r="176" customFormat="false" ht="15.75" hidden="false" customHeight="false" outlineLevel="0" collapsed="false">
      <c r="L176" s="269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67"/>
    </row>
    <row r="177" customFormat="false" ht="15.75" hidden="false" customHeight="false" outlineLevel="0" collapsed="false">
      <c r="L177" s="269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67"/>
    </row>
    <row r="178" customFormat="false" ht="15.75" hidden="false" customHeight="false" outlineLevel="0" collapsed="false">
      <c r="L178" s="269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67"/>
    </row>
    <row r="179" customFormat="false" ht="15.75" hidden="false" customHeight="false" outlineLevel="0" collapsed="false">
      <c r="L179" s="269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67"/>
    </row>
    <row r="180" customFormat="false" ht="15.75" hidden="false" customHeight="false" outlineLevel="0" collapsed="false">
      <c r="L180" s="269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67"/>
    </row>
    <row r="181" customFormat="false" ht="15.75" hidden="false" customHeight="false" outlineLevel="0" collapsed="false">
      <c r="L181" s="269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67"/>
    </row>
    <row r="182" customFormat="false" ht="15.75" hidden="false" customHeight="false" outlineLevel="0" collapsed="false">
      <c r="L182" s="269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67"/>
    </row>
    <row r="183" customFormat="false" ht="15.75" hidden="false" customHeight="false" outlineLevel="0" collapsed="false">
      <c r="L183" s="269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67"/>
    </row>
    <row r="184" customFormat="false" ht="15.75" hidden="false" customHeight="false" outlineLevel="0" collapsed="false">
      <c r="L184" s="269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67"/>
    </row>
    <row r="185" customFormat="false" ht="15.75" hidden="false" customHeight="false" outlineLevel="0" collapsed="false">
      <c r="L185" s="269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67"/>
    </row>
    <row r="186" customFormat="false" ht="15.75" hidden="false" customHeight="false" outlineLevel="0" collapsed="false">
      <c r="L186" s="269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67"/>
    </row>
    <row r="187" customFormat="false" ht="15.75" hidden="false" customHeight="false" outlineLevel="0" collapsed="false">
      <c r="L187" s="269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67"/>
    </row>
    <row r="188" customFormat="false" ht="15.75" hidden="false" customHeight="false" outlineLevel="0" collapsed="false">
      <c r="L188" s="269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67"/>
    </row>
    <row r="189" customFormat="false" ht="15.75" hidden="false" customHeight="false" outlineLevel="0" collapsed="false">
      <c r="L189" s="269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67"/>
    </row>
    <row r="190" customFormat="false" ht="15.75" hidden="false" customHeight="false" outlineLevel="0" collapsed="false">
      <c r="L190" s="269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67"/>
    </row>
    <row r="191" customFormat="false" ht="15.75" hidden="false" customHeight="false" outlineLevel="0" collapsed="false">
      <c r="L191" s="269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67"/>
    </row>
    <row r="192" customFormat="false" ht="15.75" hidden="false" customHeight="false" outlineLevel="0" collapsed="false">
      <c r="L192" s="269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67"/>
    </row>
    <row r="193" customFormat="false" ht="15.75" hidden="false" customHeight="false" outlineLevel="0" collapsed="false">
      <c r="L193" s="269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67"/>
    </row>
    <row r="194" customFormat="false" ht="15.75" hidden="false" customHeight="false" outlineLevel="0" collapsed="false">
      <c r="L194" s="269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67"/>
    </row>
    <row r="195" customFormat="false" ht="15.75" hidden="false" customHeight="false" outlineLevel="0" collapsed="false">
      <c r="L195" s="269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67"/>
    </row>
    <row r="196" customFormat="false" ht="15.75" hidden="false" customHeight="false" outlineLevel="0" collapsed="false">
      <c r="L196" s="269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67"/>
    </row>
    <row r="197" customFormat="false" ht="15.75" hidden="false" customHeight="false" outlineLevel="0" collapsed="false">
      <c r="L197" s="269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67"/>
    </row>
    <row r="198" customFormat="false" ht="15.75" hidden="false" customHeight="false" outlineLevel="0" collapsed="false">
      <c r="L198" s="269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67"/>
    </row>
    <row r="199" customFormat="false" ht="15.75" hidden="false" customHeight="false" outlineLevel="0" collapsed="false">
      <c r="L199" s="269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67"/>
    </row>
    <row r="200" customFormat="false" ht="15.75" hidden="false" customHeight="false" outlineLevel="0" collapsed="false">
      <c r="L200" s="269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67"/>
    </row>
    <row r="201" customFormat="false" ht="15.75" hidden="false" customHeight="false" outlineLevel="0" collapsed="false">
      <c r="L201" s="269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67"/>
    </row>
    <row r="202" customFormat="false" ht="15.75" hidden="false" customHeight="false" outlineLevel="0" collapsed="false">
      <c r="L202" s="269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67"/>
    </row>
    <row r="203" customFormat="false" ht="15.75" hidden="false" customHeight="false" outlineLevel="0" collapsed="false">
      <c r="L203" s="269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67"/>
    </row>
    <row r="204" customFormat="false" ht="15.75" hidden="false" customHeight="false" outlineLevel="0" collapsed="false">
      <c r="L204" s="269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67"/>
    </row>
    <row r="205" customFormat="false" ht="15.75" hidden="false" customHeight="false" outlineLevel="0" collapsed="false">
      <c r="L205" s="269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67"/>
    </row>
    <row r="206" customFormat="false" ht="15.75" hidden="false" customHeight="false" outlineLevel="0" collapsed="false">
      <c r="L206" s="269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67"/>
    </row>
    <row r="207" customFormat="false" ht="15.75" hidden="false" customHeight="false" outlineLevel="0" collapsed="false">
      <c r="L207" s="269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67"/>
    </row>
    <row r="208" customFormat="false" ht="15.75" hidden="false" customHeight="false" outlineLevel="0" collapsed="false">
      <c r="L208" s="269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67"/>
    </row>
    <row r="209" customFormat="false" ht="15.75" hidden="false" customHeight="false" outlineLevel="0" collapsed="false">
      <c r="L209" s="269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67"/>
    </row>
    <row r="210" customFormat="false" ht="15.75" hidden="false" customHeight="false" outlineLevel="0" collapsed="false">
      <c r="L210" s="269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67"/>
    </row>
    <row r="211" customFormat="false" ht="15.75" hidden="false" customHeight="false" outlineLevel="0" collapsed="false">
      <c r="L211" s="269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67"/>
    </row>
    <row r="212" customFormat="false" ht="15.75" hidden="false" customHeight="false" outlineLevel="0" collapsed="false">
      <c r="L212" s="269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67"/>
    </row>
    <row r="213" customFormat="false" ht="15.75" hidden="false" customHeight="false" outlineLevel="0" collapsed="false">
      <c r="L213" s="269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67"/>
    </row>
    <row r="214" customFormat="false" ht="15.75" hidden="false" customHeight="false" outlineLevel="0" collapsed="false">
      <c r="L214" s="269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67"/>
    </row>
    <row r="215" customFormat="false" ht="15.75" hidden="false" customHeight="false" outlineLevel="0" collapsed="false">
      <c r="L215" s="269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67"/>
    </row>
    <row r="216" customFormat="false" ht="15.75" hidden="false" customHeight="false" outlineLevel="0" collapsed="false">
      <c r="L216" s="269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67"/>
    </row>
    <row r="217" customFormat="false" ht="15.75" hidden="false" customHeight="false" outlineLevel="0" collapsed="false">
      <c r="L217" s="269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67"/>
    </row>
    <row r="218" customFormat="false" ht="15.75" hidden="false" customHeight="false" outlineLevel="0" collapsed="false">
      <c r="L218" s="269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67"/>
    </row>
    <row r="219" customFormat="false" ht="15.75" hidden="false" customHeight="false" outlineLevel="0" collapsed="false">
      <c r="L219" s="269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67"/>
    </row>
    <row r="220" customFormat="false" ht="15.75" hidden="false" customHeight="false" outlineLevel="0" collapsed="false">
      <c r="L220" s="269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67"/>
    </row>
    <row r="221" customFormat="false" ht="15.75" hidden="false" customHeight="false" outlineLevel="0" collapsed="false">
      <c r="L221" s="269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67"/>
    </row>
    <row r="222" customFormat="false" ht="15.75" hidden="false" customHeight="false" outlineLevel="0" collapsed="false">
      <c r="L222" s="269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67"/>
    </row>
    <row r="223" customFormat="false" ht="15.75" hidden="false" customHeight="false" outlineLevel="0" collapsed="false">
      <c r="L223" s="269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67"/>
    </row>
    <row r="224" customFormat="false" ht="15.75" hidden="false" customHeight="false" outlineLevel="0" collapsed="false">
      <c r="L224" s="269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67"/>
    </row>
    <row r="225" customFormat="false" ht="15.75" hidden="false" customHeight="false" outlineLevel="0" collapsed="false">
      <c r="L225" s="269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67"/>
    </row>
    <row r="226" customFormat="false" ht="15.75" hidden="false" customHeight="false" outlineLevel="0" collapsed="false">
      <c r="L226" s="269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67"/>
    </row>
    <row r="227" customFormat="false" ht="15.75" hidden="false" customHeight="false" outlineLevel="0" collapsed="false">
      <c r="L227" s="269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67"/>
    </row>
    <row r="228" customFormat="false" ht="15.75" hidden="false" customHeight="false" outlineLevel="0" collapsed="false">
      <c r="L228" s="269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67"/>
    </row>
    <row r="229" customFormat="false" ht="15.75" hidden="false" customHeight="false" outlineLevel="0" collapsed="false">
      <c r="L229" s="269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67"/>
    </row>
    <row r="230" customFormat="false" ht="15.75" hidden="false" customHeight="false" outlineLevel="0" collapsed="false">
      <c r="L230" s="269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67"/>
    </row>
    <row r="231" customFormat="false" ht="15.75" hidden="false" customHeight="false" outlineLevel="0" collapsed="false">
      <c r="L231" s="269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67"/>
    </row>
    <row r="232" customFormat="false" ht="15.75" hidden="false" customHeight="false" outlineLevel="0" collapsed="false">
      <c r="L232" s="269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67"/>
    </row>
    <row r="233" customFormat="false" ht="15.75" hidden="false" customHeight="false" outlineLevel="0" collapsed="false">
      <c r="L233" s="269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67"/>
    </row>
    <row r="234" customFormat="false" ht="15.75" hidden="false" customHeight="false" outlineLevel="0" collapsed="false">
      <c r="L234" s="269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67"/>
    </row>
    <row r="235" customFormat="false" ht="15.75" hidden="false" customHeight="false" outlineLevel="0" collapsed="false">
      <c r="L235" s="269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67"/>
    </row>
    <row r="236" customFormat="false" ht="15.75" hidden="false" customHeight="false" outlineLevel="0" collapsed="false">
      <c r="L236" s="269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67"/>
    </row>
    <row r="237" customFormat="false" ht="15.75" hidden="false" customHeight="false" outlineLevel="0" collapsed="false">
      <c r="L237" s="269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67"/>
    </row>
    <row r="238" customFormat="false" ht="15.75" hidden="false" customHeight="false" outlineLevel="0" collapsed="false">
      <c r="L238" s="269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67"/>
    </row>
    <row r="239" customFormat="false" ht="15.75" hidden="false" customHeight="false" outlineLevel="0" collapsed="false">
      <c r="L239" s="269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67"/>
    </row>
    <row r="240" customFormat="false" ht="15.75" hidden="false" customHeight="false" outlineLevel="0" collapsed="false">
      <c r="L240" s="269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67"/>
    </row>
    <row r="241" customFormat="false" ht="15.75" hidden="false" customHeight="false" outlineLevel="0" collapsed="false">
      <c r="L241" s="269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67"/>
    </row>
    <row r="242" customFormat="false" ht="15.75" hidden="false" customHeight="false" outlineLevel="0" collapsed="false">
      <c r="L242" s="269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67"/>
    </row>
    <row r="243" customFormat="false" ht="15.75" hidden="false" customHeight="false" outlineLevel="0" collapsed="false">
      <c r="L243" s="269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67"/>
    </row>
    <row r="244" customFormat="false" ht="15.75" hidden="false" customHeight="false" outlineLevel="0" collapsed="false">
      <c r="L244" s="269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67"/>
    </row>
    <row r="245" customFormat="false" ht="15.75" hidden="false" customHeight="false" outlineLevel="0" collapsed="false">
      <c r="L245" s="269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67"/>
    </row>
    <row r="246" customFormat="false" ht="15.75" hidden="false" customHeight="false" outlineLevel="0" collapsed="false">
      <c r="L246" s="269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67"/>
    </row>
    <row r="247" customFormat="false" ht="15.75" hidden="false" customHeight="false" outlineLevel="0" collapsed="false">
      <c r="L247" s="269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67"/>
    </row>
    <row r="248" customFormat="false" ht="15.75" hidden="false" customHeight="false" outlineLevel="0" collapsed="false">
      <c r="L248" s="269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67"/>
    </row>
    <row r="249" customFormat="false" ht="15.75" hidden="false" customHeight="false" outlineLevel="0" collapsed="false">
      <c r="L249" s="269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67"/>
    </row>
    <row r="250" customFormat="false" ht="15.75" hidden="false" customHeight="false" outlineLevel="0" collapsed="false">
      <c r="L250" s="269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67"/>
    </row>
    <row r="251" customFormat="false" ht="15.75" hidden="false" customHeight="false" outlineLevel="0" collapsed="false">
      <c r="L251" s="269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67"/>
    </row>
    <row r="252" customFormat="false" ht="15.75" hidden="false" customHeight="false" outlineLevel="0" collapsed="false">
      <c r="L252" s="269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67"/>
    </row>
    <row r="253" customFormat="false" ht="15.75" hidden="false" customHeight="false" outlineLevel="0" collapsed="false">
      <c r="L253" s="269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67"/>
    </row>
    <row r="254" customFormat="false" ht="15.75" hidden="false" customHeight="false" outlineLevel="0" collapsed="false">
      <c r="L254" s="269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67"/>
    </row>
    <row r="255" customFormat="false" ht="15.75" hidden="false" customHeight="false" outlineLevel="0" collapsed="false">
      <c r="L255" s="269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67"/>
    </row>
    <row r="256" customFormat="false" ht="15.75" hidden="false" customHeight="false" outlineLevel="0" collapsed="false">
      <c r="L256" s="269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67"/>
    </row>
    <row r="257" customFormat="false" ht="15.75" hidden="false" customHeight="false" outlineLevel="0" collapsed="false">
      <c r="L257" s="269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67"/>
    </row>
    <row r="258" customFormat="false" ht="15.75" hidden="false" customHeight="false" outlineLevel="0" collapsed="false">
      <c r="L258" s="269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67"/>
    </row>
    <row r="259" customFormat="false" ht="15.75" hidden="false" customHeight="false" outlineLevel="0" collapsed="false">
      <c r="L259" s="269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67"/>
    </row>
    <row r="260" customFormat="false" ht="15.75" hidden="false" customHeight="false" outlineLevel="0" collapsed="false">
      <c r="L260" s="269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67"/>
    </row>
    <row r="261" customFormat="false" ht="15.75" hidden="false" customHeight="false" outlineLevel="0" collapsed="false">
      <c r="L261" s="269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67"/>
    </row>
    <row r="262" customFormat="false" ht="15.75" hidden="false" customHeight="false" outlineLevel="0" collapsed="false">
      <c r="L262" s="269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67"/>
    </row>
    <row r="263" customFormat="false" ht="15.75" hidden="false" customHeight="false" outlineLevel="0" collapsed="false">
      <c r="L263" s="269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67"/>
    </row>
    <row r="264" customFormat="false" ht="15.75" hidden="false" customHeight="false" outlineLevel="0" collapsed="false">
      <c r="L264" s="269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67"/>
    </row>
    <row r="265" customFormat="false" ht="15.75" hidden="false" customHeight="false" outlineLevel="0" collapsed="false">
      <c r="L265" s="269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67"/>
    </row>
    <row r="266" customFormat="false" ht="15.75" hidden="false" customHeight="false" outlineLevel="0" collapsed="false">
      <c r="L266" s="269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67"/>
    </row>
    <row r="267" customFormat="false" ht="15.75" hidden="false" customHeight="false" outlineLevel="0" collapsed="false">
      <c r="L267" s="269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67"/>
    </row>
    <row r="268" customFormat="false" ht="15.75" hidden="false" customHeight="false" outlineLevel="0" collapsed="false">
      <c r="L268" s="269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67"/>
    </row>
    <row r="269" customFormat="false" ht="15.75" hidden="false" customHeight="false" outlineLevel="0" collapsed="false">
      <c r="L269" s="269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67"/>
    </row>
    <row r="270" customFormat="false" ht="15.75" hidden="false" customHeight="false" outlineLevel="0" collapsed="false">
      <c r="L270" s="269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67"/>
    </row>
    <row r="271" customFormat="false" ht="15.75" hidden="false" customHeight="false" outlineLevel="0" collapsed="false">
      <c r="L271" s="269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67"/>
    </row>
    <row r="272" customFormat="false" ht="15.75" hidden="false" customHeight="false" outlineLevel="0" collapsed="false">
      <c r="L272" s="269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67"/>
    </row>
    <row r="273" customFormat="false" ht="15.75" hidden="false" customHeight="false" outlineLevel="0" collapsed="false">
      <c r="L273" s="269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67"/>
    </row>
    <row r="274" customFormat="false" ht="15.75" hidden="false" customHeight="false" outlineLevel="0" collapsed="false">
      <c r="L274" s="269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67"/>
    </row>
    <row r="275" customFormat="false" ht="15.75" hidden="false" customHeight="false" outlineLevel="0" collapsed="false">
      <c r="L275" s="269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67"/>
    </row>
    <row r="276" customFormat="false" ht="15.75" hidden="false" customHeight="false" outlineLevel="0" collapsed="false">
      <c r="L276" s="269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67"/>
    </row>
    <row r="277" customFormat="false" ht="15.75" hidden="false" customHeight="false" outlineLevel="0" collapsed="false">
      <c r="L277" s="269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67"/>
    </row>
    <row r="278" customFormat="false" ht="15.75" hidden="false" customHeight="false" outlineLevel="0" collapsed="false">
      <c r="L278" s="269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67"/>
    </row>
    <row r="279" customFormat="false" ht="15.75" hidden="false" customHeight="false" outlineLevel="0" collapsed="false">
      <c r="L279" s="269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67"/>
    </row>
    <row r="280" customFormat="false" ht="15.75" hidden="false" customHeight="false" outlineLevel="0" collapsed="false">
      <c r="L280" s="269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67"/>
    </row>
    <row r="281" customFormat="false" ht="15.75" hidden="false" customHeight="false" outlineLevel="0" collapsed="false">
      <c r="L281" s="269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67"/>
    </row>
    <row r="282" customFormat="false" ht="15.75" hidden="false" customHeight="false" outlineLevel="0" collapsed="false">
      <c r="L282" s="269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67"/>
    </row>
    <row r="283" customFormat="false" ht="15.75" hidden="false" customHeight="false" outlineLevel="0" collapsed="false">
      <c r="L283" s="269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67"/>
    </row>
    <row r="284" customFormat="false" ht="15.75" hidden="false" customHeight="false" outlineLevel="0" collapsed="false">
      <c r="L284" s="269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67"/>
    </row>
    <row r="285" customFormat="false" ht="15.75" hidden="false" customHeight="false" outlineLevel="0" collapsed="false">
      <c r="L285" s="269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67"/>
    </row>
    <row r="286" customFormat="false" ht="15.75" hidden="false" customHeight="false" outlineLevel="0" collapsed="false">
      <c r="L286" s="269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67"/>
    </row>
    <row r="287" customFormat="false" ht="15.75" hidden="false" customHeight="false" outlineLevel="0" collapsed="false">
      <c r="L287" s="269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67"/>
    </row>
    <row r="288" customFormat="false" ht="15.75" hidden="false" customHeight="false" outlineLevel="0" collapsed="false">
      <c r="L288" s="269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67"/>
    </row>
    <row r="289" customFormat="false" ht="15.75" hidden="false" customHeight="false" outlineLevel="0" collapsed="false">
      <c r="L289" s="269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67"/>
    </row>
    <row r="290" customFormat="false" ht="15.75" hidden="false" customHeight="false" outlineLevel="0" collapsed="false">
      <c r="L290" s="269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67"/>
    </row>
    <row r="291" customFormat="false" ht="15.75" hidden="false" customHeight="false" outlineLevel="0" collapsed="false">
      <c r="L291" s="269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67"/>
    </row>
    <row r="292" customFormat="false" ht="15.75" hidden="false" customHeight="false" outlineLevel="0" collapsed="false">
      <c r="L292" s="269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67"/>
    </row>
    <row r="293" customFormat="false" ht="15.75" hidden="false" customHeight="false" outlineLevel="0" collapsed="false">
      <c r="L293" s="269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67"/>
    </row>
    <row r="294" customFormat="false" ht="15.75" hidden="false" customHeight="false" outlineLevel="0" collapsed="false">
      <c r="L294" s="269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67"/>
    </row>
    <row r="295" customFormat="false" ht="15.75" hidden="false" customHeight="false" outlineLevel="0" collapsed="false">
      <c r="L295" s="269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67"/>
    </row>
    <row r="296" customFormat="false" ht="15.75" hidden="false" customHeight="false" outlineLevel="0" collapsed="false">
      <c r="L296" s="269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67"/>
    </row>
    <row r="297" customFormat="false" ht="15.75" hidden="false" customHeight="false" outlineLevel="0" collapsed="false">
      <c r="L297" s="269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67"/>
    </row>
    <row r="298" customFormat="false" ht="15.75" hidden="false" customHeight="false" outlineLevel="0" collapsed="false">
      <c r="L298" s="269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67"/>
    </row>
    <row r="299" customFormat="false" ht="15.75" hidden="false" customHeight="false" outlineLevel="0" collapsed="false">
      <c r="L299" s="269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67"/>
    </row>
    <row r="300" customFormat="false" ht="15.75" hidden="false" customHeight="false" outlineLevel="0" collapsed="false">
      <c r="L300" s="269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67"/>
    </row>
    <row r="301" customFormat="false" ht="15.75" hidden="false" customHeight="false" outlineLevel="0" collapsed="false">
      <c r="L301" s="269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67"/>
    </row>
    <row r="302" customFormat="false" ht="15.75" hidden="false" customHeight="false" outlineLevel="0" collapsed="false">
      <c r="L302" s="269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67"/>
    </row>
    <row r="303" customFormat="false" ht="15.75" hidden="false" customHeight="false" outlineLevel="0" collapsed="false">
      <c r="L303" s="269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67"/>
    </row>
    <row r="304" customFormat="false" ht="15.75" hidden="false" customHeight="false" outlineLevel="0" collapsed="false">
      <c r="L304" s="269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67"/>
    </row>
    <row r="305" customFormat="false" ht="15.75" hidden="false" customHeight="false" outlineLevel="0" collapsed="false">
      <c r="L305" s="269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67"/>
    </row>
    <row r="306" customFormat="false" ht="15.75" hidden="false" customHeight="false" outlineLevel="0" collapsed="false">
      <c r="L306" s="269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67"/>
    </row>
    <row r="307" customFormat="false" ht="15.75" hidden="false" customHeight="false" outlineLevel="0" collapsed="false">
      <c r="L307" s="269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67"/>
    </row>
    <row r="308" customFormat="false" ht="15.75" hidden="false" customHeight="false" outlineLevel="0" collapsed="false">
      <c r="L308" s="269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67"/>
    </row>
    <row r="309" customFormat="false" ht="15.75" hidden="false" customHeight="false" outlineLevel="0" collapsed="false">
      <c r="L309" s="269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67"/>
    </row>
    <row r="310" customFormat="false" ht="15.75" hidden="false" customHeight="false" outlineLevel="0" collapsed="false">
      <c r="L310" s="269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67"/>
    </row>
    <row r="311" customFormat="false" ht="15.75" hidden="false" customHeight="false" outlineLevel="0" collapsed="false">
      <c r="L311" s="269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67"/>
    </row>
    <row r="312" customFormat="false" ht="15.75" hidden="false" customHeight="false" outlineLevel="0" collapsed="false">
      <c r="L312" s="269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67"/>
    </row>
    <row r="313" customFormat="false" ht="15.75" hidden="false" customHeight="false" outlineLevel="0" collapsed="false">
      <c r="L313" s="269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67"/>
    </row>
    <row r="314" customFormat="false" ht="15.75" hidden="false" customHeight="false" outlineLevel="0" collapsed="false">
      <c r="L314" s="269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67"/>
    </row>
    <row r="315" customFormat="false" ht="15.75" hidden="false" customHeight="false" outlineLevel="0" collapsed="false">
      <c r="L315" s="269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67"/>
    </row>
    <row r="316" customFormat="false" ht="15.75" hidden="false" customHeight="false" outlineLevel="0" collapsed="false">
      <c r="L316" s="269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67"/>
    </row>
    <row r="317" customFormat="false" ht="15.75" hidden="false" customHeight="false" outlineLevel="0" collapsed="false">
      <c r="L317" s="269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67"/>
    </row>
    <row r="318" customFormat="false" ht="15.75" hidden="false" customHeight="false" outlineLevel="0" collapsed="false">
      <c r="L318" s="269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67"/>
    </row>
    <row r="319" customFormat="false" ht="15.75" hidden="false" customHeight="false" outlineLevel="0" collapsed="false">
      <c r="L319" s="269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67"/>
    </row>
    <row r="320" customFormat="false" ht="15.75" hidden="false" customHeight="false" outlineLevel="0" collapsed="false">
      <c r="L320" s="269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67"/>
    </row>
    <row r="321" customFormat="false" ht="15.75" hidden="false" customHeight="false" outlineLevel="0" collapsed="false">
      <c r="L321" s="269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67"/>
    </row>
    <row r="322" customFormat="false" ht="15.75" hidden="false" customHeight="false" outlineLevel="0" collapsed="false">
      <c r="L322" s="269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67"/>
    </row>
    <row r="323" customFormat="false" ht="15.75" hidden="false" customHeight="false" outlineLevel="0" collapsed="false">
      <c r="L323" s="269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67"/>
    </row>
    <row r="324" customFormat="false" ht="15.75" hidden="false" customHeight="false" outlineLevel="0" collapsed="false">
      <c r="L324" s="269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67"/>
    </row>
    <row r="325" customFormat="false" ht="15.75" hidden="false" customHeight="false" outlineLevel="0" collapsed="false">
      <c r="L325" s="269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67"/>
    </row>
    <row r="326" customFormat="false" ht="15.75" hidden="false" customHeight="false" outlineLevel="0" collapsed="false">
      <c r="L326" s="269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67"/>
    </row>
    <row r="327" customFormat="false" ht="15.75" hidden="false" customHeight="false" outlineLevel="0" collapsed="false">
      <c r="L327" s="269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67"/>
    </row>
    <row r="328" customFormat="false" ht="15.75" hidden="false" customHeight="false" outlineLevel="0" collapsed="false">
      <c r="L328" s="269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67"/>
    </row>
    <row r="329" customFormat="false" ht="15.75" hidden="false" customHeight="false" outlineLevel="0" collapsed="false">
      <c r="L329" s="269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67"/>
    </row>
    <row r="330" customFormat="false" ht="15.75" hidden="false" customHeight="false" outlineLevel="0" collapsed="false">
      <c r="L330" s="269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67"/>
    </row>
    <row r="331" customFormat="false" ht="15.75" hidden="false" customHeight="false" outlineLevel="0" collapsed="false">
      <c r="L331" s="269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67"/>
    </row>
    <row r="332" customFormat="false" ht="15.75" hidden="false" customHeight="false" outlineLevel="0" collapsed="false">
      <c r="L332" s="269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67"/>
    </row>
    <row r="333" customFormat="false" ht="15.75" hidden="false" customHeight="false" outlineLevel="0" collapsed="false">
      <c r="L333" s="269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67"/>
    </row>
    <row r="334" customFormat="false" ht="15.75" hidden="false" customHeight="false" outlineLevel="0" collapsed="false">
      <c r="L334" s="269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67"/>
    </row>
    <row r="335" customFormat="false" ht="15.75" hidden="false" customHeight="false" outlineLevel="0" collapsed="false">
      <c r="L335" s="269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67"/>
    </row>
    <row r="336" customFormat="false" ht="15.75" hidden="false" customHeight="false" outlineLevel="0" collapsed="false">
      <c r="L336" s="269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67"/>
    </row>
    <row r="337" customFormat="false" ht="15.75" hidden="false" customHeight="false" outlineLevel="0" collapsed="false">
      <c r="L337" s="269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67"/>
    </row>
    <row r="338" customFormat="false" ht="15.75" hidden="false" customHeight="false" outlineLevel="0" collapsed="false">
      <c r="L338" s="269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67"/>
    </row>
    <row r="339" customFormat="false" ht="15.75" hidden="false" customHeight="false" outlineLevel="0" collapsed="false">
      <c r="L339" s="269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67"/>
    </row>
    <row r="340" customFormat="false" ht="15.75" hidden="false" customHeight="false" outlineLevel="0" collapsed="false">
      <c r="L340" s="269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67"/>
    </row>
    <row r="341" customFormat="false" ht="15.75" hidden="false" customHeight="false" outlineLevel="0" collapsed="false">
      <c r="L341" s="269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67"/>
    </row>
    <row r="342" customFormat="false" ht="15.75" hidden="false" customHeight="false" outlineLevel="0" collapsed="false">
      <c r="L342" s="269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67"/>
    </row>
    <row r="343" customFormat="false" ht="15.75" hidden="false" customHeight="false" outlineLevel="0" collapsed="false">
      <c r="L343" s="269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67"/>
    </row>
    <row r="344" customFormat="false" ht="15.75" hidden="false" customHeight="false" outlineLevel="0" collapsed="false">
      <c r="L344" s="269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67"/>
    </row>
    <row r="345" customFormat="false" ht="15.75" hidden="false" customHeight="false" outlineLevel="0" collapsed="false">
      <c r="L345" s="269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67"/>
    </row>
    <row r="346" customFormat="false" ht="15.75" hidden="false" customHeight="false" outlineLevel="0" collapsed="false">
      <c r="L346" s="269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67"/>
    </row>
    <row r="347" customFormat="false" ht="15.75" hidden="false" customHeight="false" outlineLevel="0" collapsed="false">
      <c r="L347" s="269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67"/>
    </row>
    <row r="348" customFormat="false" ht="15.75" hidden="false" customHeight="false" outlineLevel="0" collapsed="false">
      <c r="L348" s="269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67"/>
    </row>
    <row r="349" customFormat="false" ht="15.75" hidden="false" customHeight="false" outlineLevel="0" collapsed="false">
      <c r="L349" s="269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67"/>
    </row>
    <row r="350" customFormat="false" ht="15.75" hidden="false" customHeight="false" outlineLevel="0" collapsed="false">
      <c r="L350" s="269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67"/>
    </row>
    <row r="351" customFormat="false" ht="15.75" hidden="false" customHeight="false" outlineLevel="0" collapsed="false">
      <c r="L351" s="269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67"/>
    </row>
    <row r="352" customFormat="false" ht="15.75" hidden="false" customHeight="false" outlineLevel="0" collapsed="false">
      <c r="L352" s="269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67"/>
    </row>
    <row r="353" customFormat="false" ht="15.75" hidden="false" customHeight="false" outlineLevel="0" collapsed="false">
      <c r="L353" s="269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67"/>
    </row>
    <row r="354" customFormat="false" ht="15.75" hidden="false" customHeight="false" outlineLevel="0" collapsed="false">
      <c r="L354" s="269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67"/>
    </row>
    <row r="355" customFormat="false" ht="15.75" hidden="false" customHeight="false" outlineLevel="0" collapsed="false">
      <c r="L355" s="269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67"/>
    </row>
    <row r="356" customFormat="false" ht="15.75" hidden="false" customHeight="false" outlineLevel="0" collapsed="false">
      <c r="L356" s="269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67"/>
    </row>
    <row r="357" customFormat="false" ht="15.75" hidden="false" customHeight="false" outlineLevel="0" collapsed="false">
      <c r="L357" s="269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67"/>
    </row>
    <row r="358" customFormat="false" ht="15.75" hidden="false" customHeight="false" outlineLevel="0" collapsed="false">
      <c r="L358" s="269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67"/>
    </row>
    <row r="359" customFormat="false" ht="15.75" hidden="false" customHeight="false" outlineLevel="0" collapsed="false">
      <c r="L359" s="269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67"/>
    </row>
    <row r="360" customFormat="false" ht="15.75" hidden="false" customHeight="false" outlineLevel="0" collapsed="false">
      <c r="L360" s="269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67"/>
    </row>
    <row r="361" customFormat="false" ht="15.75" hidden="false" customHeight="false" outlineLevel="0" collapsed="false">
      <c r="L361" s="269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67"/>
    </row>
    <row r="362" customFormat="false" ht="15.75" hidden="false" customHeight="false" outlineLevel="0" collapsed="false">
      <c r="L362" s="269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67"/>
    </row>
    <row r="363" customFormat="false" ht="15.75" hidden="false" customHeight="false" outlineLevel="0" collapsed="false">
      <c r="L363" s="269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67"/>
    </row>
    <row r="364" customFormat="false" ht="15.75" hidden="false" customHeight="false" outlineLevel="0" collapsed="false">
      <c r="L364" s="269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67"/>
    </row>
    <row r="365" customFormat="false" ht="15.75" hidden="false" customHeight="false" outlineLevel="0" collapsed="false">
      <c r="L365" s="269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67"/>
    </row>
    <row r="366" customFormat="false" ht="15.75" hidden="false" customHeight="false" outlineLevel="0" collapsed="false">
      <c r="L366" s="269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67"/>
    </row>
    <row r="367" customFormat="false" ht="15.75" hidden="false" customHeight="false" outlineLevel="0" collapsed="false">
      <c r="L367" s="269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67"/>
    </row>
    <row r="368" customFormat="false" ht="15.75" hidden="false" customHeight="false" outlineLevel="0" collapsed="false">
      <c r="L368" s="269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67"/>
    </row>
    <row r="369" customFormat="false" ht="15.75" hidden="false" customHeight="false" outlineLevel="0" collapsed="false">
      <c r="L369" s="269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67"/>
    </row>
    <row r="370" customFormat="false" ht="15.75" hidden="false" customHeight="false" outlineLevel="0" collapsed="false">
      <c r="L370" s="269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67"/>
    </row>
    <row r="371" customFormat="false" ht="15.75" hidden="false" customHeight="false" outlineLevel="0" collapsed="false">
      <c r="L371" s="269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67"/>
    </row>
    <row r="372" customFormat="false" ht="15.75" hidden="false" customHeight="false" outlineLevel="0" collapsed="false">
      <c r="L372" s="269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67"/>
    </row>
    <row r="373" customFormat="false" ht="15.75" hidden="false" customHeight="false" outlineLevel="0" collapsed="false">
      <c r="L373" s="269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67"/>
    </row>
    <row r="374" customFormat="false" ht="15.75" hidden="false" customHeight="false" outlineLevel="0" collapsed="false">
      <c r="L374" s="269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67"/>
    </row>
    <row r="375" customFormat="false" ht="15.75" hidden="false" customHeight="false" outlineLevel="0" collapsed="false">
      <c r="L375" s="269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67"/>
    </row>
    <row r="376" customFormat="false" ht="15.75" hidden="false" customHeight="false" outlineLevel="0" collapsed="false">
      <c r="L376" s="269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67"/>
    </row>
    <row r="377" customFormat="false" ht="15.75" hidden="false" customHeight="false" outlineLevel="0" collapsed="false">
      <c r="L377" s="269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67"/>
    </row>
    <row r="378" customFormat="false" ht="15.75" hidden="false" customHeight="false" outlineLevel="0" collapsed="false">
      <c r="L378" s="269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67"/>
    </row>
    <row r="379" customFormat="false" ht="15.75" hidden="false" customHeight="false" outlineLevel="0" collapsed="false">
      <c r="L379" s="269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67"/>
    </row>
    <row r="380" customFormat="false" ht="15.75" hidden="false" customHeight="false" outlineLevel="0" collapsed="false">
      <c r="L380" s="269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67"/>
    </row>
    <row r="381" customFormat="false" ht="15.75" hidden="false" customHeight="false" outlineLevel="0" collapsed="false">
      <c r="L381" s="269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67"/>
    </row>
    <row r="382" customFormat="false" ht="15.75" hidden="false" customHeight="false" outlineLevel="0" collapsed="false">
      <c r="L382" s="269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67"/>
    </row>
    <row r="383" customFormat="false" ht="15.75" hidden="false" customHeight="false" outlineLevel="0" collapsed="false">
      <c r="L383" s="269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67"/>
    </row>
    <row r="384" customFormat="false" ht="15.75" hidden="false" customHeight="false" outlineLevel="0" collapsed="false">
      <c r="L384" s="269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67"/>
    </row>
    <row r="385" customFormat="false" ht="15.75" hidden="false" customHeight="false" outlineLevel="0" collapsed="false">
      <c r="L385" s="269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67"/>
    </row>
    <row r="386" customFormat="false" ht="15.75" hidden="false" customHeight="false" outlineLevel="0" collapsed="false">
      <c r="L386" s="269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67"/>
    </row>
    <row r="387" customFormat="false" ht="15.75" hidden="false" customHeight="false" outlineLevel="0" collapsed="false">
      <c r="L387" s="269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67"/>
    </row>
    <row r="388" customFormat="false" ht="15.75" hidden="false" customHeight="false" outlineLevel="0" collapsed="false">
      <c r="L388" s="269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67"/>
    </row>
    <row r="389" customFormat="false" ht="15.75" hidden="false" customHeight="false" outlineLevel="0" collapsed="false">
      <c r="L389" s="269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67"/>
    </row>
    <row r="390" customFormat="false" ht="15.75" hidden="false" customHeight="false" outlineLevel="0" collapsed="false">
      <c r="L390" s="269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67"/>
    </row>
    <row r="391" customFormat="false" ht="15.75" hidden="false" customHeight="false" outlineLevel="0" collapsed="false">
      <c r="L391" s="269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67"/>
    </row>
    <row r="392" customFormat="false" ht="15.75" hidden="false" customHeight="false" outlineLevel="0" collapsed="false">
      <c r="L392" s="269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67"/>
    </row>
    <row r="393" customFormat="false" ht="15.75" hidden="false" customHeight="false" outlineLevel="0" collapsed="false">
      <c r="L393" s="269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67"/>
    </row>
    <row r="394" customFormat="false" ht="15.75" hidden="false" customHeight="false" outlineLevel="0" collapsed="false">
      <c r="L394" s="269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67"/>
    </row>
    <row r="395" customFormat="false" ht="15.75" hidden="false" customHeight="false" outlineLevel="0" collapsed="false">
      <c r="L395" s="269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67"/>
    </row>
    <row r="396" customFormat="false" ht="15.75" hidden="false" customHeight="false" outlineLevel="0" collapsed="false">
      <c r="L396" s="269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67"/>
    </row>
    <row r="397" customFormat="false" ht="15.75" hidden="false" customHeight="false" outlineLevel="0" collapsed="false">
      <c r="L397" s="269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67"/>
    </row>
    <row r="398" customFormat="false" ht="15.75" hidden="false" customHeight="false" outlineLevel="0" collapsed="false">
      <c r="L398" s="269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67"/>
    </row>
    <row r="399" customFormat="false" ht="15.75" hidden="false" customHeight="false" outlineLevel="0" collapsed="false">
      <c r="L399" s="269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67"/>
    </row>
    <row r="400" customFormat="false" ht="15.75" hidden="false" customHeight="false" outlineLevel="0" collapsed="false">
      <c r="L400" s="269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67"/>
    </row>
    <row r="401" customFormat="false" ht="15.75" hidden="false" customHeight="false" outlineLevel="0" collapsed="false">
      <c r="L401" s="269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67"/>
    </row>
    <row r="402" customFormat="false" ht="15.75" hidden="false" customHeight="false" outlineLevel="0" collapsed="false">
      <c r="L402" s="269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67"/>
    </row>
    <row r="403" customFormat="false" ht="15.75" hidden="false" customHeight="false" outlineLevel="0" collapsed="false">
      <c r="L403" s="269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67"/>
    </row>
    <row r="404" customFormat="false" ht="15.75" hidden="false" customHeight="false" outlineLevel="0" collapsed="false">
      <c r="L404" s="269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67"/>
    </row>
    <row r="405" customFormat="false" ht="15.75" hidden="false" customHeight="false" outlineLevel="0" collapsed="false">
      <c r="L405" s="269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67"/>
    </row>
    <row r="406" customFormat="false" ht="15.75" hidden="false" customHeight="false" outlineLevel="0" collapsed="false">
      <c r="L406" s="269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67"/>
    </row>
    <row r="407" customFormat="false" ht="15.75" hidden="false" customHeight="false" outlineLevel="0" collapsed="false">
      <c r="L407" s="269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67"/>
    </row>
    <row r="408" customFormat="false" ht="15.75" hidden="false" customHeight="false" outlineLevel="0" collapsed="false">
      <c r="L408" s="269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67"/>
    </row>
    <row r="409" customFormat="false" ht="15.75" hidden="false" customHeight="false" outlineLevel="0" collapsed="false">
      <c r="L409" s="269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67"/>
    </row>
    <row r="410" customFormat="false" ht="15.75" hidden="false" customHeight="false" outlineLevel="0" collapsed="false">
      <c r="L410" s="269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67"/>
    </row>
    <row r="411" customFormat="false" ht="15.75" hidden="false" customHeight="false" outlineLevel="0" collapsed="false">
      <c r="L411" s="269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67"/>
    </row>
    <row r="412" customFormat="false" ht="15.75" hidden="false" customHeight="false" outlineLevel="0" collapsed="false">
      <c r="L412" s="269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67"/>
    </row>
    <row r="413" customFormat="false" ht="15.75" hidden="false" customHeight="false" outlineLevel="0" collapsed="false">
      <c r="L413" s="269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67"/>
    </row>
    <row r="414" customFormat="false" ht="15.75" hidden="false" customHeight="false" outlineLevel="0" collapsed="false">
      <c r="L414" s="269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67"/>
    </row>
    <row r="415" customFormat="false" ht="15.75" hidden="false" customHeight="false" outlineLevel="0" collapsed="false">
      <c r="L415" s="269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67"/>
    </row>
    <row r="416" customFormat="false" ht="15.75" hidden="false" customHeight="false" outlineLevel="0" collapsed="false">
      <c r="L416" s="269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67"/>
    </row>
    <row r="417" customFormat="false" ht="15.75" hidden="false" customHeight="false" outlineLevel="0" collapsed="false">
      <c r="L417" s="269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67"/>
    </row>
    <row r="418" customFormat="false" ht="15.75" hidden="false" customHeight="false" outlineLevel="0" collapsed="false">
      <c r="L418" s="269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67"/>
    </row>
    <row r="419" customFormat="false" ht="15.75" hidden="false" customHeight="false" outlineLevel="0" collapsed="false">
      <c r="L419" s="269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67"/>
    </row>
    <row r="420" customFormat="false" ht="15.75" hidden="false" customHeight="false" outlineLevel="0" collapsed="false">
      <c r="L420" s="269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67"/>
    </row>
    <row r="421" customFormat="false" ht="15.75" hidden="false" customHeight="false" outlineLevel="0" collapsed="false">
      <c r="L421" s="269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67"/>
    </row>
    <row r="422" customFormat="false" ht="15.75" hidden="false" customHeight="false" outlineLevel="0" collapsed="false">
      <c r="L422" s="269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67"/>
    </row>
    <row r="423" customFormat="false" ht="15.75" hidden="false" customHeight="false" outlineLevel="0" collapsed="false">
      <c r="L423" s="269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67"/>
    </row>
    <row r="424" customFormat="false" ht="15.75" hidden="false" customHeight="false" outlineLevel="0" collapsed="false">
      <c r="L424" s="269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67"/>
    </row>
    <row r="425" customFormat="false" ht="15.75" hidden="false" customHeight="false" outlineLevel="0" collapsed="false">
      <c r="L425" s="269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67"/>
    </row>
    <row r="426" customFormat="false" ht="15.75" hidden="false" customHeight="false" outlineLevel="0" collapsed="false">
      <c r="L426" s="269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67"/>
    </row>
    <row r="427" customFormat="false" ht="15.75" hidden="false" customHeight="false" outlineLevel="0" collapsed="false">
      <c r="L427" s="269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67"/>
    </row>
    <row r="428" customFormat="false" ht="15.75" hidden="false" customHeight="false" outlineLevel="0" collapsed="false">
      <c r="L428" s="269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67"/>
    </row>
    <row r="429" customFormat="false" ht="15.75" hidden="false" customHeight="false" outlineLevel="0" collapsed="false">
      <c r="L429" s="269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67"/>
    </row>
    <row r="430" customFormat="false" ht="15.75" hidden="false" customHeight="false" outlineLevel="0" collapsed="false">
      <c r="L430" s="269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67"/>
    </row>
    <row r="431" customFormat="false" ht="15.75" hidden="false" customHeight="false" outlineLevel="0" collapsed="false">
      <c r="L431" s="269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67"/>
    </row>
    <row r="432" customFormat="false" ht="15.75" hidden="false" customHeight="false" outlineLevel="0" collapsed="false">
      <c r="L432" s="269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67"/>
    </row>
    <row r="433" customFormat="false" ht="15.75" hidden="false" customHeight="false" outlineLevel="0" collapsed="false">
      <c r="L433" s="269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67"/>
    </row>
    <row r="434" customFormat="false" ht="15.75" hidden="false" customHeight="false" outlineLevel="0" collapsed="false">
      <c r="L434" s="269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67"/>
    </row>
    <row r="435" customFormat="false" ht="15.75" hidden="false" customHeight="false" outlineLevel="0" collapsed="false">
      <c r="L435" s="269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67"/>
    </row>
    <row r="436" customFormat="false" ht="15.75" hidden="false" customHeight="false" outlineLevel="0" collapsed="false">
      <c r="L436" s="269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67"/>
    </row>
    <row r="437" customFormat="false" ht="15.75" hidden="false" customHeight="false" outlineLevel="0" collapsed="false">
      <c r="L437" s="269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67"/>
    </row>
    <row r="438" customFormat="false" ht="15.75" hidden="false" customHeight="false" outlineLevel="0" collapsed="false">
      <c r="L438" s="269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67"/>
    </row>
    <row r="439" customFormat="false" ht="15.75" hidden="false" customHeight="false" outlineLevel="0" collapsed="false">
      <c r="L439" s="269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67"/>
    </row>
    <row r="440" customFormat="false" ht="15.75" hidden="false" customHeight="false" outlineLevel="0" collapsed="false">
      <c r="L440" s="269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67"/>
    </row>
    <row r="441" customFormat="false" ht="15.75" hidden="false" customHeight="false" outlineLevel="0" collapsed="false">
      <c r="L441" s="269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67"/>
    </row>
    <row r="442" customFormat="false" ht="15.75" hidden="false" customHeight="false" outlineLevel="0" collapsed="false">
      <c r="L442" s="269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67"/>
    </row>
    <row r="443" customFormat="false" ht="15.75" hidden="false" customHeight="false" outlineLevel="0" collapsed="false">
      <c r="L443" s="269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67"/>
    </row>
    <row r="444" customFormat="false" ht="15.75" hidden="false" customHeight="false" outlineLevel="0" collapsed="false">
      <c r="L444" s="269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67"/>
    </row>
    <row r="445" customFormat="false" ht="15.75" hidden="false" customHeight="false" outlineLevel="0" collapsed="false">
      <c r="L445" s="269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67"/>
    </row>
    <row r="446" customFormat="false" ht="15.75" hidden="false" customHeight="false" outlineLevel="0" collapsed="false">
      <c r="L446" s="269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67"/>
    </row>
    <row r="447" customFormat="false" ht="15.75" hidden="false" customHeight="false" outlineLevel="0" collapsed="false">
      <c r="L447" s="269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67"/>
    </row>
    <row r="448" customFormat="false" ht="15.75" hidden="false" customHeight="false" outlineLevel="0" collapsed="false">
      <c r="L448" s="269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67"/>
    </row>
    <row r="449" customFormat="false" ht="15.75" hidden="false" customHeight="false" outlineLevel="0" collapsed="false">
      <c r="L449" s="269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67"/>
    </row>
    <row r="450" customFormat="false" ht="15.75" hidden="false" customHeight="false" outlineLevel="0" collapsed="false">
      <c r="L450" s="269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67"/>
    </row>
    <row r="451" customFormat="false" ht="15.75" hidden="false" customHeight="false" outlineLevel="0" collapsed="false">
      <c r="L451" s="269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67"/>
    </row>
    <row r="452" customFormat="false" ht="15.75" hidden="false" customHeight="false" outlineLevel="0" collapsed="false">
      <c r="L452" s="269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67"/>
    </row>
    <row r="453" customFormat="false" ht="15.75" hidden="false" customHeight="false" outlineLevel="0" collapsed="false">
      <c r="L453" s="269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67"/>
    </row>
    <row r="454" customFormat="false" ht="15.75" hidden="false" customHeight="false" outlineLevel="0" collapsed="false">
      <c r="L454" s="269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67"/>
    </row>
    <row r="455" customFormat="false" ht="15.75" hidden="false" customHeight="false" outlineLevel="0" collapsed="false">
      <c r="L455" s="269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67"/>
    </row>
    <row r="456" customFormat="false" ht="15.75" hidden="false" customHeight="false" outlineLevel="0" collapsed="false">
      <c r="L456" s="269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67"/>
    </row>
    <row r="457" customFormat="false" ht="15.75" hidden="false" customHeight="false" outlineLevel="0" collapsed="false">
      <c r="L457" s="269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67"/>
    </row>
    <row r="458" customFormat="false" ht="15.75" hidden="false" customHeight="false" outlineLevel="0" collapsed="false">
      <c r="L458" s="269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67"/>
    </row>
    <row r="459" customFormat="false" ht="15.75" hidden="false" customHeight="false" outlineLevel="0" collapsed="false">
      <c r="L459" s="269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67"/>
    </row>
    <row r="460" customFormat="false" ht="15.75" hidden="false" customHeight="false" outlineLevel="0" collapsed="false">
      <c r="L460" s="269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67"/>
    </row>
    <row r="461" customFormat="false" ht="15.75" hidden="false" customHeight="false" outlineLevel="0" collapsed="false">
      <c r="L461" s="269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67"/>
    </row>
    <row r="462" customFormat="false" ht="15.75" hidden="false" customHeight="false" outlineLevel="0" collapsed="false">
      <c r="L462" s="269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67"/>
    </row>
    <row r="463" customFormat="false" ht="15.75" hidden="false" customHeight="false" outlineLevel="0" collapsed="false">
      <c r="L463" s="269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67"/>
    </row>
    <row r="464" customFormat="false" ht="15.75" hidden="false" customHeight="false" outlineLevel="0" collapsed="false">
      <c r="L464" s="269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67"/>
    </row>
    <row r="465" customFormat="false" ht="15.75" hidden="false" customHeight="false" outlineLevel="0" collapsed="false">
      <c r="L465" s="269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67"/>
    </row>
    <row r="466" customFormat="false" ht="15.75" hidden="false" customHeight="false" outlineLevel="0" collapsed="false">
      <c r="L466" s="269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67"/>
    </row>
    <row r="467" customFormat="false" ht="15.75" hidden="false" customHeight="false" outlineLevel="0" collapsed="false">
      <c r="L467" s="269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67"/>
    </row>
    <row r="468" customFormat="false" ht="15.75" hidden="false" customHeight="false" outlineLevel="0" collapsed="false">
      <c r="L468" s="269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67"/>
    </row>
    <row r="469" customFormat="false" ht="15.75" hidden="false" customHeight="false" outlineLevel="0" collapsed="false">
      <c r="L469" s="269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67"/>
    </row>
    <row r="470" customFormat="false" ht="15.75" hidden="false" customHeight="false" outlineLevel="0" collapsed="false">
      <c r="L470" s="269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67"/>
    </row>
    <row r="471" customFormat="false" ht="15.75" hidden="false" customHeight="false" outlineLevel="0" collapsed="false">
      <c r="L471" s="269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67"/>
    </row>
    <row r="472" customFormat="false" ht="15.75" hidden="false" customHeight="false" outlineLevel="0" collapsed="false">
      <c r="L472" s="269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67"/>
    </row>
    <row r="473" customFormat="false" ht="15.75" hidden="false" customHeight="false" outlineLevel="0" collapsed="false">
      <c r="L473" s="269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67"/>
    </row>
    <row r="474" customFormat="false" ht="15.75" hidden="false" customHeight="false" outlineLevel="0" collapsed="false">
      <c r="L474" s="269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67"/>
    </row>
    <row r="475" customFormat="false" ht="15.75" hidden="false" customHeight="false" outlineLevel="0" collapsed="false">
      <c r="L475" s="269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67"/>
    </row>
    <row r="476" customFormat="false" ht="15.75" hidden="false" customHeight="false" outlineLevel="0" collapsed="false">
      <c r="L476" s="269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67"/>
    </row>
    <row r="477" customFormat="false" ht="15.75" hidden="false" customHeight="false" outlineLevel="0" collapsed="false">
      <c r="L477" s="269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67"/>
    </row>
    <row r="478" customFormat="false" ht="15.75" hidden="false" customHeight="false" outlineLevel="0" collapsed="false">
      <c r="L478" s="269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67"/>
    </row>
    <row r="479" customFormat="false" ht="15.75" hidden="false" customHeight="false" outlineLevel="0" collapsed="false">
      <c r="L479" s="269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67"/>
    </row>
    <row r="480" customFormat="false" ht="15.75" hidden="false" customHeight="false" outlineLevel="0" collapsed="false">
      <c r="L480" s="269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67"/>
    </row>
    <row r="481" customFormat="false" ht="15.75" hidden="false" customHeight="false" outlineLevel="0" collapsed="false">
      <c r="L481" s="269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67"/>
    </row>
    <row r="482" customFormat="false" ht="15.75" hidden="false" customHeight="false" outlineLevel="0" collapsed="false">
      <c r="L482" s="269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67"/>
    </row>
    <row r="483" customFormat="false" ht="15.75" hidden="false" customHeight="false" outlineLevel="0" collapsed="false">
      <c r="L483" s="269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67"/>
    </row>
    <row r="484" customFormat="false" ht="15.75" hidden="false" customHeight="false" outlineLevel="0" collapsed="false">
      <c r="L484" s="269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67"/>
    </row>
    <row r="485" customFormat="false" ht="15.75" hidden="false" customHeight="false" outlineLevel="0" collapsed="false">
      <c r="L485" s="269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67"/>
    </row>
    <row r="486" customFormat="false" ht="15.75" hidden="false" customHeight="false" outlineLevel="0" collapsed="false">
      <c r="L486" s="269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67"/>
    </row>
    <row r="487" customFormat="false" ht="15.75" hidden="false" customHeight="false" outlineLevel="0" collapsed="false">
      <c r="L487" s="269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67"/>
    </row>
    <row r="488" customFormat="false" ht="15.75" hidden="false" customHeight="false" outlineLevel="0" collapsed="false">
      <c r="L488" s="269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67"/>
    </row>
    <row r="489" customFormat="false" ht="15.75" hidden="false" customHeight="false" outlineLevel="0" collapsed="false">
      <c r="L489" s="269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67"/>
    </row>
    <row r="490" customFormat="false" ht="15.75" hidden="false" customHeight="false" outlineLevel="0" collapsed="false">
      <c r="L490" s="269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67"/>
    </row>
    <row r="491" customFormat="false" ht="15.75" hidden="false" customHeight="false" outlineLevel="0" collapsed="false">
      <c r="L491" s="269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67"/>
    </row>
    <row r="492" customFormat="false" ht="15.75" hidden="false" customHeight="false" outlineLevel="0" collapsed="false">
      <c r="L492" s="269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67"/>
    </row>
    <row r="493" customFormat="false" ht="15.75" hidden="false" customHeight="false" outlineLevel="0" collapsed="false">
      <c r="L493" s="269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67"/>
    </row>
    <row r="494" customFormat="false" ht="15.75" hidden="false" customHeight="false" outlineLevel="0" collapsed="false">
      <c r="L494" s="269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67"/>
    </row>
    <row r="495" customFormat="false" ht="15.75" hidden="false" customHeight="false" outlineLevel="0" collapsed="false">
      <c r="L495" s="269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67"/>
    </row>
    <row r="496" customFormat="false" ht="15.75" hidden="false" customHeight="false" outlineLevel="0" collapsed="false">
      <c r="L496" s="269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67"/>
    </row>
    <row r="497" customFormat="false" ht="15.75" hidden="false" customHeight="false" outlineLevel="0" collapsed="false">
      <c r="L497" s="269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67"/>
    </row>
    <row r="498" customFormat="false" ht="15.75" hidden="false" customHeight="false" outlineLevel="0" collapsed="false">
      <c r="L498" s="269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67"/>
    </row>
    <row r="499" customFormat="false" ht="15.75" hidden="false" customHeight="false" outlineLevel="0" collapsed="false">
      <c r="L499" s="269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67"/>
    </row>
    <row r="500" customFormat="false" ht="15.75" hidden="false" customHeight="false" outlineLevel="0" collapsed="false">
      <c r="L500" s="269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67"/>
    </row>
    <row r="501" customFormat="false" ht="15.75" hidden="false" customHeight="false" outlineLevel="0" collapsed="false">
      <c r="L501" s="269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67"/>
    </row>
    <row r="502" customFormat="false" ht="15.75" hidden="false" customHeight="false" outlineLevel="0" collapsed="false">
      <c r="L502" s="269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67"/>
    </row>
    <row r="503" customFormat="false" ht="15.75" hidden="false" customHeight="false" outlineLevel="0" collapsed="false">
      <c r="L503" s="269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67"/>
    </row>
    <row r="504" customFormat="false" ht="15.75" hidden="false" customHeight="false" outlineLevel="0" collapsed="false">
      <c r="L504" s="269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67"/>
    </row>
    <row r="505" customFormat="false" ht="15.75" hidden="false" customHeight="false" outlineLevel="0" collapsed="false">
      <c r="L505" s="269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67"/>
    </row>
    <row r="506" customFormat="false" ht="15.75" hidden="false" customHeight="false" outlineLevel="0" collapsed="false">
      <c r="L506" s="269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67"/>
    </row>
    <row r="507" customFormat="false" ht="15.75" hidden="false" customHeight="false" outlineLevel="0" collapsed="false">
      <c r="L507" s="269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67"/>
    </row>
    <row r="508" customFormat="false" ht="15.75" hidden="false" customHeight="false" outlineLevel="0" collapsed="false">
      <c r="L508" s="269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67"/>
    </row>
    <row r="509" customFormat="false" ht="15.75" hidden="false" customHeight="false" outlineLevel="0" collapsed="false">
      <c r="L509" s="269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67"/>
    </row>
    <row r="510" customFormat="false" ht="15.75" hidden="false" customHeight="false" outlineLevel="0" collapsed="false">
      <c r="L510" s="269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67"/>
    </row>
    <row r="511" customFormat="false" ht="15.75" hidden="false" customHeight="false" outlineLevel="0" collapsed="false">
      <c r="L511" s="269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67"/>
    </row>
    <row r="512" customFormat="false" ht="15.75" hidden="false" customHeight="false" outlineLevel="0" collapsed="false">
      <c r="L512" s="269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67"/>
    </row>
    <row r="513" customFormat="false" ht="15.75" hidden="false" customHeight="false" outlineLevel="0" collapsed="false">
      <c r="L513" s="269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67"/>
    </row>
    <row r="514" customFormat="false" ht="15.75" hidden="false" customHeight="false" outlineLevel="0" collapsed="false">
      <c r="L514" s="269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67"/>
    </row>
    <row r="515" customFormat="false" ht="15.75" hidden="false" customHeight="false" outlineLevel="0" collapsed="false">
      <c r="L515" s="269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67"/>
    </row>
    <row r="516" customFormat="false" ht="15.75" hidden="false" customHeight="false" outlineLevel="0" collapsed="false">
      <c r="L516" s="269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67"/>
    </row>
    <row r="517" customFormat="false" ht="15.75" hidden="false" customHeight="false" outlineLevel="0" collapsed="false">
      <c r="L517" s="269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67"/>
    </row>
    <row r="518" customFormat="false" ht="15.75" hidden="false" customHeight="false" outlineLevel="0" collapsed="false">
      <c r="L518" s="269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67"/>
    </row>
    <row r="519" customFormat="false" ht="15.75" hidden="false" customHeight="false" outlineLevel="0" collapsed="false">
      <c r="L519" s="269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67"/>
    </row>
    <row r="520" customFormat="false" ht="15.75" hidden="false" customHeight="false" outlineLevel="0" collapsed="false">
      <c r="L520" s="269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67"/>
    </row>
    <row r="521" customFormat="false" ht="15.75" hidden="false" customHeight="false" outlineLevel="0" collapsed="false">
      <c r="L521" s="269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67"/>
    </row>
    <row r="522" customFormat="false" ht="15.75" hidden="false" customHeight="false" outlineLevel="0" collapsed="false">
      <c r="L522" s="269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67"/>
    </row>
    <row r="523" customFormat="false" ht="15.75" hidden="false" customHeight="false" outlineLevel="0" collapsed="false">
      <c r="L523" s="269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67"/>
    </row>
    <row r="524" customFormat="false" ht="15.75" hidden="false" customHeight="false" outlineLevel="0" collapsed="false">
      <c r="L524" s="269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67"/>
    </row>
    <row r="525" customFormat="false" ht="15.75" hidden="false" customHeight="false" outlineLevel="0" collapsed="false">
      <c r="L525" s="269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67"/>
    </row>
    <row r="526" customFormat="false" ht="15.75" hidden="false" customHeight="false" outlineLevel="0" collapsed="false">
      <c r="L526" s="269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67"/>
    </row>
    <row r="527" customFormat="false" ht="15.75" hidden="false" customHeight="false" outlineLevel="0" collapsed="false">
      <c r="L527" s="269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67"/>
    </row>
    <row r="528" customFormat="false" ht="15.75" hidden="false" customHeight="false" outlineLevel="0" collapsed="false">
      <c r="L528" s="269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67"/>
    </row>
    <row r="529" customFormat="false" ht="15.75" hidden="false" customHeight="false" outlineLevel="0" collapsed="false">
      <c r="L529" s="269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67"/>
    </row>
    <row r="530" customFormat="false" ht="15.75" hidden="false" customHeight="false" outlineLevel="0" collapsed="false">
      <c r="L530" s="269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67"/>
    </row>
    <row r="531" customFormat="false" ht="15.75" hidden="false" customHeight="false" outlineLevel="0" collapsed="false">
      <c r="L531" s="269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67"/>
    </row>
    <row r="532" customFormat="false" ht="15.75" hidden="false" customHeight="false" outlineLevel="0" collapsed="false">
      <c r="L532" s="269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67"/>
    </row>
    <row r="533" customFormat="false" ht="15.75" hidden="false" customHeight="false" outlineLevel="0" collapsed="false">
      <c r="L533" s="269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67"/>
    </row>
    <row r="534" customFormat="false" ht="15.75" hidden="false" customHeight="false" outlineLevel="0" collapsed="false">
      <c r="L534" s="269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67"/>
    </row>
    <row r="535" customFormat="false" ht="15.75" hidden="false" customHeight="false" outlineLevel="0" collapsed="false">
      <c r="L535" s="269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67"/>
    </row>
    <row r="536" customFormat="false" ht="15.75" hidden="false" customHeight="false" outlineLevel="0" collapsed="false">
      <c r="L536" s="269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67"/>
    </row>
    <row r="537" customFormat="false" ht="15.75" hidden="false" customHeight="false" outlineLevel="0" collapsed="false">
      <c r="L537" s="269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67"/>
    </row>
    <row r="538" customFormat="false" ht="15.75" hidden="false" customHeight="false" outlineLevel="0" collapsed="false">
      <c r="L538" s="269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67"/>
    </row>
    <row r="539" customFormat="false" ht="15.75" hidden="false" customHeight="false" outlineLevel="0" collapsed="false">
      <c r="L539" s="269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67"/>
    </row>
    <row r="540" customFormat="false" ht="15.75" hidden="false" customHeight="false" outlineLevel="0" collapsed="false">
      <c r="L540" s="269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67"/>
    </row>
    <row r="541" customFormat="false" ht="15.75" hidden="false" customHeight="false" outlineLevel="0" collapsed="false">
      <c r="L541" s="269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67"/>
    </row>
    <row r="542" customFormat="false" ht="15.75" hidden="false" customHeight="false" outlineLevel="0" collapsed="false">
      <c r="L542" s="269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67"/>
    </row>
    <row r="543" customFormat="false" ht="15.75" hidden="false" customHeight="false" outlineLevel="0" collapsed="false">
      <c r="L543" s="269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67"/>
    </row>
    <row r="544" customFormat="false" ht="15.75" hidden="false" customHeight="false" outlineLevel="0" collapsed="false">
      <c r="L544" s="269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67"/>
    </row>
    <row r="545" customFormat="false" ht="15.75" hidden="false" customHeight="false" outlineLevel="0" collapsed="false">
      <c r="L545" s="269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67"/>
    </row>
    <row r="546" customFormat="false" ht="15.75" hidden="false" customHeight="false" outlineLevel="0" collapsed="false">
      <c r="L546" s="269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67"/>
    </row>
    <row r="547" customFormat="false" ht="15.75" hidden="false" customHeight="false" outlineLevel="0" collapsed="false">
      <c r="L547" s="269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67"/>
    </row>
    <row r="548" customFormat="false" ht="15.75" hidden="false" customHeight="false" outlineLevel="0" collapsed="false">
      <c r="L548" s="269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67"/>
    </row>
    <row r="549" customFormat="false" ht="15.75" hidden="false" customHeight="false" outlineLevel="0" collapsed="false">
      <c r="L549" s="269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67"/>
    </row>
    <row r="550" customFormat="false" ht="15.75" hidden="false" customHeight="false" outlineLevel="0" collapsed="false">
      <c r="L550" s="269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67"/>
    </row>
    <row r="551" customFormat="false" ht="15.75" hidden="false" customHeight="false" outlineLevel="0" collapsed="false">
      <c r="L551" s="269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67"/>
    </row>
    <row r="552" customFormat="false" ht="15.75" hidden="false" customHeight="false" outlineLevel="0" collapsed="false">
      <c r="L552" s="269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67"/>
    </row>
    <row r="553" customFormat="false" ht="15.75" hidden="false" customHeight="false" outlineLevel="0" collapsed="false">
      <c r="L553" s="269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67"/>
    </row>
    <row r="554" customFormat="false" ht="15.75" hidden="false" customHeight="false" outlineLevel="0" collapsed="false">
      <c r="L554" s="269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67"/>
    </row>
    <row r="555" customFormat="false" ht="15.75" hidden="false" customHeight="false" outlineLevel="0" collapsed="false">
      <c r="L555" s="269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67"/>
    </row>
    <row r="556" customFormat="false" ht="15.75" hidden="false" customHeight="false" outlineLevel="0" collapsed="false">
      <c r="L556" s="269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67"/>
    </row>
    <row r="557" customFormat="false" ht="15.75" hidden="false" customHeight="false" outlineLevel="0" collapsed="false">
      <c r="L557" s="269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67"/>
    </row>
    <row r="558" customFormat="false" ht="15.75" hidden="false" customHeight="false" outlineLevel="0" collapsed="false">
      <c r="L558" s="269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67"/>
    </row>
    <row r="559" customFormat="false" ht="15.75" hidden="false" customHeight="false" outlineLevel="0" collapsed="false">
      <c r="L559" s="269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67"/>
    </row>
    <row r="560" customFormat="false" ht="15.75" hidden="false" customHeight="false" outlineLevel="0" collapsed="false">
      <c r="L560" s="269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67"/>
    </row>
    <row r="561" customFormat="false" ht="15.75" hidden="false" customHeight="false" outlineLevel="0" collapsed="false">
      <c r="L561" s="269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67"/>
    </row>
    <row r="562" customFormat="false" ht="15.75" hidden="false" customHeight="false" outlineLevel="0" collapsed="false">
      <c r="L562" s="269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67"/>
    </row>
    <row r="563" customFormat="false" ht="15.75" hidden="false" customHeight="false" outlineLevel="0" collapsed="false">
      <c r="L563" s="269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67"/>
    </row>
    <row r="564" customFormat="false" ht="15.75" hidden="false" customHeight="false" outlineLevel="0" collapsed="false">
      <c r="L564" s="269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67"/>
    </row>
    <row r="565" customFormat="false" ht="15.75" hidden="false" customHeight="false" outlineLevel="0" collapsed="false">
      <c r="L565" s="269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67"/>
    </row>
    <row r="566" customFormat="false" ht="15.75" hidden="false" customHeight="false" outlineLevel="0" collapsed="false">
      <c r="L566" s="269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67"/>
    </row>
    <row r="567" customFormat="false" ht="15.75" hidden="false" customHeight="false" outlineLevel="0" collapsed="false">
      <c r="L567" s="269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67"/>
    </row>
    <row r="568" customFormat="false" ht="15.75" hidden="false" customHeight="false" outlineLevel="0" collapsed="false">
      <c r="L568" s="269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67"/>
    </row>
    <row r="569" customFormat="false" ht="15.75" hidden="false" customHeight="false" outlineLevel="0" collapsed="false">
      <c r="L569" s="269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67"/>
    </row>
    <row r="570" customFormat="false" ht="15.75" hidden="false" customHeight="false" outlineLevel="0" collapsed="false">
      <c r="L570" s="269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67"/>
    </row>
    <row r="571" customFormat="false" ht="15.75" hidden="false" customHeight="false" outlineLevel="0" collapsed="false">
      <c r="L571" s="269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67"/>
    </row>
    <row r="572" customFormat="false" ht="15.75" hidden="false" customHeight="false" outlineLevel="0" collapsed="false">
      <c r="L572" s="269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67"/>
    </row>
    <row r="573" customFormat="false" ht="15.75" hidden="false" customHeight="false" outlineLevel="0" collapsed="false">
      <c r="L573" s="269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67"/>
    </row>
    <row r="574" customFormat="false" ht="15.75" hidden="false" customHeight="false" outlineLevel="0" collapsed="false">
      <c r="L574" s="269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67"/>
    </row>
    <row r="575" customFormat="false" ht="15.75" hidden="false" customHeight="false" outlineLevel="0" collapsed="false">
      <c r="L575" s="269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67"/>
    </row>
    <row r="576" customFormat="false" ht="15.75" hidden="false" customHeight="false" outlineLevel="0" collapsed="false">
      <c r="L576" s="269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67"/>
    </row>
    <row r="577" customFormat="false" ht="15.75" hidden="false" customHeight="false" outlineLevel="0" collapsed="false">
      <c r="L577" s="269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67"/>
    </row>
    <row r="578" customFormat="false" ht="15.75" hidden="false" customHeight="false" outlineLevel="0" collapsed="false">
      <c r="L578" s="269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67"/>
    </row>
    <row r="579" customFormat="false" ht="15.75" hidden="false" customHeight="false" outlineLevel="0" collapsed="false">
      <c r="L579" s="269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67"/>
    </row>
    <row r="580" customFormat="false" ht="15.75" hidden="false" customHeight="false" outlineLevel="0" collapsed="false">
      <c r="L580" s="269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67"/>
    </row>
    <row r="581" customFormat="false" ht="15.75" hidden="false" customHeight="false" outlineLevel="0" collapsed="false">
      <c r="L581" s="269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67"/>
    </row>
    <row r="582" customFormat="false" ht="15.75" hidden="false" customHeight="false" outlineLevel="0" collapsed="false">
      <c r="L582" s="269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67"/>
    </row>
    <row r="583" customFormat="false" ht="15.75" hidden="false" customHeight="false" outlineLevel="0" collapsed="false">
      <c r="L583" s="269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67"/>
    </row>
    <row r="584" customFormat="false" ht="15.75" hidden="false" customHeight="false" outlineLevel="0" collapsed="false">
      <c r="L584" s="269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67"/>
    </row>
    <row r="585" customFormat="false" ht="15.75" hidden="false" customHeight="false" outlineLevel="0" collapsed="false">
      <c r="L585" s="269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67"/>
    </row>
    <row r="586" customFormat="false" ht="15.75" hidden="false" customHeight="false" outlineLevel="0" collapsed="false">
      <c r="L586" s="269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67"/>
    </row>
    <row r="587" customFormat="false" ht="15.75" hidden="false" customHeight="false" outlineLevel="0" collapsed="false">
      <c r="L587" s="269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67"/>
    </row>
    <row r="588" customFormat="false" ht="15.75" hidden="false" customHeight="false" outlineLevel="0" collapsed="false">
      <c r="L588" s="269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67"/>
    </row>
    <row r="589" customFormat="false" ht="15.75" hidden="false" customHeight="false" outlineLevel="0" collapsed="false">
      <c r="L589" s="269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67"/>
    </row>
    <row r="590" customFormat="false" ht="15.75" hidden="false" customHeight="false" outlineLevel="0" collapsed="false">
      <c r="L590" s="269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67"/>
    </row>
    <row r="591" customFormat="false" ht="15.75" hidden="false" customHeight="false" outlineLevel="0" collapsed="false">
      <c r="L591" s="269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67"/>
    </row>
    <row r="592" customFormat="false" ht="15.75" hidden="false" customHeight="false" outlineLevel="0" collapsed="false">
      <c r="L592" s="269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67"/>
    </row>
    <row r="593" customFormat="false" ht="15.75" hidden="false" customHeight="false" outlineLevel="0" collapsed="false">
      <c r="L593" s="269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67"/>
    </row>
    <row r="594" customFormat="false" ht="15.75" hidden="false" customHeight="false" outlineLevel="0" collapsed="false">
      <c r="L594" s="269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67"/>
    </row>
    <row r="595" customFormat="false" ht="15.75" hidden="false" customHeight="false" outlineLevel="0" collapsed="false">
      <c r="L595" s="269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67"/>
    </row>
    <row r="596" customFormat="false" ht="15.75" hidden="false" customHeight="false" outlineLevel="0" collapsed="false">
      <c r="L596" s="269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67"/>
    </row>
    <row r="597" customFormat="false" ht="15.75" hidden="false" customHeight="false" outlineLevel="0" collapsed="false">
      <c r="L597" s="269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67"/>
    </row>
    <row r="598" customFormat="false" ht="15.75" hidden="false" customHeight="false" outlineLevel="0" collapsed="false">
      <c r="L598" s="269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67"/>
    </row>
    <row r="599" customFormat="false" ht="15.75" hidden="false" customHeight="false" outlineLevel="0" collapsed="false">
      <c r="L599" s="269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67"/>
    </row>
    <row r="600" customFormat="false" ht="15.75" hidden="false" customHeight="false" outlineLevel="0" collapsed="false">
      <c r="L600" s="269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67"/>
    </row>
    <row r="601" customFormat="false" ht="15.75" hidden="false" customHeight="false" outlineLevel="0" collapsed="false">
      <c r="L601" s="269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67"/>
    </row>
    <row r="602" customFormat="false" ht="15.75" hidden="false" customHeight="false" outlineLevel="0" collapsed="false">
      <c r="L602" s="269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67"/>
    </row>
    <row r="603" customFormat="false" ht="15.75" hidden="false" customHeight="false" outlineLevel="0" collapsed="false">
      <c r="L603" s="269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67"/>
    </row>
    <row r="604" customFormat="false" ht="15.75" hidden="false" customHeight="false" outlineLevel="0" collapsed="false">
      <c r="L604" s="269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67"/>
    </row>
    <row r="605" customFormat="false" ht="15.75" hidden="false" customHeight="false" outlineLevel="0" collapsed="false">
      <c r="L605" s="269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67"/>
    </row>
    <row r="606" customFormat="false" ht="15.75" hidden="false" customHeight="false" outlineLevel="0" collapsed="false">
      <c r="L606" s="269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67"/>
    </row>
    <row r="607" customFormat="false" ht="15.75" hidden="false" customHeight="false" outlineLevel="0" collapsed="false">
      <c r="L607" s="269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67"/>
    </row>
    <row r="608" customFormat="false" ht="15.75" hidden="false" customHeight="false" outlineLevel="0" collapsed="false">
      <c r="L608" s="269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67"/>
    </row>
    <row r="609" customFormat="false" ht="15.75" hidden="false" customHeight="false" outlineLevel="0" collapsed="false">
      <c r="L609" s="269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67"/>
    </row>
    <row r="610" customFormat="false" ht="15.75" hidden="false" customHeight="false" outlineLevel="0" collapsed="false">
      <c r="L610" s="269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67"/>
    </row>
    <row r="611" customFormat="false" ht="15.75" hidden="false" customHeight="false" outlineLevel="0" collapsed="false">
      <c r="L611" s="269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67"/>
    </row>
    <row r="612" customFormat="false" ht="15.75" hidden="false" customHeight="false" outlineLevel="0" collapsed="false">
      <c r="L612" s="269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67"/>
    </row>
    <row r="613" customFormat="false" ht="15.75" hidden="false" customHeight="false" outlineLevel="0" collapsed="false">
      <c r="L613" s="269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67"/>
    </row>
    <row r="614" customFormat="false" ht="15.75" hidden="false" customHeight="false" outlineLevel="0" collapsed="false">
      <c r="L614" s="269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67"/>
    </row>
    <row r="615" customFormat="false" ht="15.75" hidden="false" customHeight="false" outlineLevel="0" collapsed="false">
      <c r="L615" s="269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67"/>
    </row>
    <row r="616" customFormat="false" ht="15.75" hidden="false" customHeight="false" outlineLevel="0" collapsed="false">
      <c r="L616" s="269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67"/>
    </row>
    <row r="617" customFormat="false" ht="15.75" hidden="false" customHeight="false" outlineLevel="0" collapsed="false">
      <c r="L617" s="269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67"/>
    </row>
    <row r="618" customFormat="false" ht="15.75" hidden="false" customHeight="false" outlineLevel="0" collapsed="false">
      <c r="L618" s="269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67"/>
    </row>
    <row r="619" customFormat="false" ht="15.75" hidden="false" customHeight="false" outlineLevel="0" collapsed="false">
      <c r="L619" s="269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67"/>
    </row>
    <row r="620" customFormat="false" ht="15.75" hidden="false" customHeight="false" outlineLevel="0" collapsed="false">
      <c r="L620" s="269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67"/>
    </row>
    <row r="621" customFormat="false" ht="15.75" hidden="false" customHeight="false" outlineLevel="0" collapsed="false">
      <c r="L621" s="269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67"/>
    </row>
    <row r="622" customFormat="false" ht="15.75" hidden="false" customHeight="false" outlineLevel="0" collapsed="false">
      <c r="L622" s="269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67"/>
    </row>
    <row r="623" customFormat="false" ht="15.75" hidden="false" customHeight="false" outlineLevel="0" collapsed="false">
      <c r="L623" s="269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67"/>
    </row>
    <row r="624" customFormat="false" ht="15.75" hidden="false" customHeight="false" outlineLevel="0" collapsed="false">
      <c r="L624" s="269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67"/>
    </row>
    <row r="625" customFormat="false" ht="15.75" hidden="false" customHeight="false" outlineLevel="0" collapsed="false">
      <c r="L625" s="269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67"/>
    </row>
    <row r="626" customFormat="false" ht="15.75" hidden="false" customHeight="false" outlineLevel="0" collapsed="false">
      <c r="L626" s="269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67"/>
    </row>
    <row r="627" customFormat="false" ht="15.75" hidden="false" customHeight="false" outlineLevel="0" collapsed="false">
      <c r="L627" s="269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67"/>
    </row>
    <row r="628" customFormat="false" ht="15.75" hidden="false" customHeight="false" outlineLevel="0" collapsed="false">
      <c r="L628" s="269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67"/>
    </row>
    <row r="629" customFormat="false" ht="15.75" hidden="false" customHeight="false" outlineLevel="0" collapsed="false">
      <c r="L629" s="269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67"/>
    </row>
    <row r="630" customFormat="false" ht="15.75" hidden="false" customHeight="false" outlineLevel="0" collapsed="false">
      <c r="L630" s="269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67"/>
    </row>
    <row r="631" customFormat="false" ht="15.75" hidden="false" customHeight="false" outlineLevel="0" collapsed="false">
      <c r="L631" s="269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67"/>
    </row>
    <row r="632" customFormat="false" ht="15.75" hidden="false" customHeight="false" outlineLevel="0" collapsed="false">
      <c r="L632" s="269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67"/>
    </row>
    <row r="633" customFormat="false" ht="15.75" hidden="false" customHeight="false" outlineLevel="0" collapsed="false">
      <c r="L633" s="269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67"/>
    </row>
    <row r="634" customFormat="false" ht="15.75" hidden="false" customHeight="false" outlineLevel="0" collapsed="false">
      <c r="L634" s="269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67"/>
    </row>
    <row r="635" customFormat="false" ht="15.75" hidden="false" customHeight="false" outlineLevel="0" collapsed="false">
      <c r="L635" s="269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67"/>
    </row>
    <row r="636" customFormat="false" ht="15.75" hidden="false" customHeight="false" outlineLevel="0" collapsed="false">
      <c r="L636" s="269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67"/>
    </row>
    <row r="637" customFormat="false" ht="15.75" hidden="false" customHeight="false" outlineLevel="0" collapsed="false">
      <c r="L637" s="269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67"/>
    </row>
    <row r="638" customFormat="false" ht="15.75" hidden="false" customHeight="false" outlineLevel="0" collapsed="false">
      <c r="L638" s="269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67"/>
    </row>
    <row r="639" customFormat="false" ht="15.75" hidden="false" customHeight="false" outlineLevel="0" collapsed="false">
      <c r="L639" s="269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67"/>
    </row>
    <row r="640" customFormat="false" ht="15.75" hidden="false" customHeight="false" outlineLevel="0" collapsed="false">
      <c r="L640" s="269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67"/>
    </row>
    <row r="641" customFormat="false" ht="15.75" hidden="false" customHeight="false" outlineLevel="0" collapsed="false">
      <c r="L641" s="269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67"/>
    </row>
    <row r="642" customFormat="false" ht="15.75" hidden="false" customHeight="false" outlineLevel="0" collapsed="false">
      <c r="L642" s="269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67"/>
    </row>
    <row r="643" customFormat="false" ht="15.75" hidden="false" customHeight="false" outlineLevel="0" collapsed="false">
      <c r="L643" s="269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67"/>
    </row>
    <row r="644" customFormat="false" ht="15.75" hidden="false" customHeight="false" outlineLevel="0" collapsed="false">
      <c r="L644" s="269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67"/>
    </row>
    <row r="645" customFormat="false" ht="15.75" hidden="false" customHeight="false" outlineLevel="0" collapsed="false">
      <c r="L645" s="269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67"/>
    </row>
    <row r="646" customFormat="false" ht="15.75" hidden="false" customHeight="false" outlineLevel="0" collapsed="false">
      <c r="L646" s="269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67"/>
    </row>
    <row r="647" customFormat="false" ht="15.75" hidden="false" customHeight="false" outlineLevel="0" collapsed="false">
      <c r="L647" s="269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67"/>
    </row>
    <row r="648" customFormat="false" ht="15.75" hidden="false" customHeight="false" outlineLevel="0" collapsed="false">
      <c r="L648" s="269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67"/>
    </row>
    <row r="649" customFormat="false" ht="15.75" hidden="false" customHeight="false" outlineLevel="0" collapsed="false">
      <c r="L649" s="269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67"/>
    </row>
    <row r="650" customFormat="false" ht="15.75" hidden="false" customHeight="false" outlineLevel="0" collapsed="false">
      <c r="L650" s="269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67"/>
    </row>
    <row r="651" customFormat="false" ht="15.75" hidden="false" customHeight="false" outlineLevel="0" collapsed="false">
      <c r="L651" s="269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67"/>
    </row>
    <row r="652" customFormat="false" ht="15.75" hidden="false" customHeight="false" outlineLevel="0" collapsed="false">
      <c r="L652" s="269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67"/>
    </row>
    <row r="653" customFormat="false" ht="15.75" hidden="false" customHeight="false" outlineLevel="0" collapsed="false">
      <c r="L653" s="269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67"/>
    </row>
    <row r="654" customFormat="false" ht="15.75" hidden="false" customHeight="false" outlineLevel="0" collapsed="false">
      <c r="L654" s="269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67"/>
    </row>
    <row r="655" customFormat="false" ht="15.75" hidden="false" customHeight="false" outlineLevel="0" collapsed="false">
      <c r="L655" s="269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67"/>
    </row>
    <row r="656" customFormat="false" ht="15.75" hidden="false" customHeight="false" outlineLevel="0" collapsed="false">
      <c r="L656" s="269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67"/>
    </row>
    <row r="657" customFormat="false" ht="15.75" hidden="false" customHeight="false" outlineLevel="0" collapsed="false">
      <c r="L657" s="269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67"/>
    </row>
    <row r="658" customFormat="false" ht="15.75" hidden="false" customHeight="false" outlineLevel="0" collapsed="false">
      <c r="L658" s="269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67"/>
    </row>
    <row r="659" customFormat="false" ht="15.75" hidden="false" customHeight="false" outlineLevel="0" collapsed="false">
      <c r="L659" s="269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67"/>
    </row>
    <row r="660" customFormat="false" ht="15.75" hidden="false" customHeight="false" outlineLevel="0" collapsed="false">
      <c r="L660" s="269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67"/>
    </row>
    <row r="661" customFormat="false" ht="15.75" hidden="false" customHeight="false" outlineLevel="0" collapsed="false">
      <c r="L661" s="269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67"/>
    </row>
    <row r="662" customFormat="false" ht="15.75" hidden="false" customHeight="false" outlineLevel="0" collapsed="false">
      <c r="L662" s="269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67"/>
    </row>
    <row r="663" customFormat="false" ht="15.75" hidden="false" customHeight="false" outlineLevel="0" collapsed="false">
      <c r="L663" s="269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67"/>
    </row>
    <row r="664" customFormat="false" ht="15.75" hidden="false" customHeight="false" outlineLevel="0" collapsed="false">
      <c r="L664" s="269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67"/>
    </row>
    <row r="665" customFormat="false" ht="15.75" hidden="false" customHeight="false" outlineLevel="0" collapsed="false">
      <c r="L665" s="269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67"/>
    </row>
    <row r="666" customFormat="false" ht="15.75" hidden="false" customHeight="false" outlineLevel="0" collapsed="false">
      <c r="L666" s="269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67"/>
    </row>
    <row r="667" customFormat="false" ht="15.75" hidden="false" customHeight="false" outlineLevel="0" collapsed="false">
      <c r="L667" s="269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67"/>
    </row>
    <row r="668" customFormat="false" ht="15.75" hidden="false" customHeight="false" outlineLevel="0" collapsed="false">
      <c r="L668" s="269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67"/>
    </row>
    <row r="669" customFormat="false" ht="15.75" hidden="false" customHeight="false" outlineLevel="0" collapsed="false">
      <c r="L669" s="269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67"/>
    </row>
    <row r="670" customFormat="false" ht="15.75" hidden="false" customHeight="false" outlineLevel="0" collapsed="false">
      <c r="L670" s="269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67"/>
    </row>
    <row r="671" customFormat="false" ht="15.75" hidden="false" customHeight="false" outlineLevel="0" collapsed="false">
      <c r="L671" s="269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67"/>
    </row>
    <row r="672" customFormat="false" ht="15.75" hidden="false" customHeight="false" outlineLevel="0" collapsed="false">
      <c r="L672" s="269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67"/>
    </row>
    <row r="673" customFormat="false" ht="15.75" hidden="false" customHeight="false" outlineLevel="0" collapsed="false">
      <c r="L673" s="269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67"/>
    </row>
    <row r="674" customFormat="false" ht="15.75" hidden="false" customHeight="false" outlineLevel="0" collapsed="false">
      <c r="L674" s="269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67"/>
    </row>
    <row r="675" customFormat="false" ht="15.75" hidden="false" customHeight="false" outlineLevel="0" collapsed="false">
      <c r="L675" s="269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67"/>
    </row>
    <row r="676" customFormat="false" ht="15.75" hidden="false" customHeight="false" outlineLevel="0" collapsed="false">
      <c r="L676" s="269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67"/>
    </row>
    <row r="677" customFormat="false" ht="15.75" hidden="false" customHeight="false" outlineLevel="0" collapsed="false">
      <c r="L677" s="269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67"/>
    </row>
    <row r="678" customFormat="false" ht="15.75" hidden="false" customHeight="false" outlineLevel="0" collapsed="false">
      <c r="L678" s="269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67"/>
    </row>
    <row r="679" customFormat="false" ht="15.75" hidden="false" customHeight="false" outlineLevel="0" collapsed="false">
      <c r="L679" s="269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67"/>
    </row>
    <row r="680" customFormat="false" ht="15.75" hidden="false" customHeight="false" outlineLevel="0" collapsed="false">
      <c r="L680" s="269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67"/>
    </row>
    <row r="681" customFormat="false" ht="15.75" hidden="false" customHeight="false" outlineLevel="0" collapsed="false">
      <c r="L681" s="269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67"/>
    </row>
    <row r="682" customFormat="false" ht="15.75" hidden="false" customHeight="false" outlineLevel="0" collapsed="false">
      <c r="L682" s="269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67"/>
    </row>
    <row r="683" customFormat="false" ht="15.75" hidden="false" customHeight="false" outlineLevel="0" collapsed="false">
      <c r="L683" s="269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67"/>
    </row>
    <row r="684" customFormat="false" ht="15.75" hidden="false" customHeight="false" outlineLevel="0" collapsed="false">
      <c r="L684" s="269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67"/>
    </row>
    <row r="685" customFormat="false" ht="15.75" hidden="false" customHeight="false" outlineLevel="0" collapsed="false">
      <c r="L685" s="269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67"/>
    </row>
    <row r="686" customFormat="false" ht="15.75" hidden="false" customHeight="false" outlineLevel="0" collapsed="false">
      <c r="L686" s="269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67"/>
    </row>
    <row r="687" customFormat="false" ht="15.75" hidden="false" customHeight="false" outlineLevel="0" collapsed="false">
      <c r="L687" s="269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67"/>
    </row>
    <row r="688" customFormat="false" ht="15.75" hidden="false" customHeight="false" outlineLevel="0" collapsed="false">
      <c r="L688" s="269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67"/>
    </row>
    <row r="689" customFormat="false" ht="15.75" hidden="false" customHeight="false" outlineLevel="0" collapsed="false">
      <c r="L689" s="269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67"/>
    </row>
    <row r="690" customFormat="false" ht="15.75" hidden="false" customHeight="false" outlineLevel="0" collapsed="false">
      <c r="L690" s="269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67"/>
    </row>
    <row r="691" customFormat="false" ht="15.75" hidden="false" customHeight="false" outlineLevel="0" collapsed="false">
      <c r="L691" s="269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67"/>
    </row>
    <row r="692" customFormat="false" ht="15.75" hidden="false" customHeight="false" outlineLevel="0" collapsed="false">
      <c r="L692" s="269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67"/>
    </row>
    <row r="693" customFormat="false" ht="15.75" hidden="false" customHeight="false" outlineLevel="0" collapsed="false">
      <c r="L693" s="269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67"/>
    </row>
    <row r="694" customFormat="false" ht="15.75" hidden="false" customHeight="false" outlineLevel="0" collapsed="false">
      <c r="L694" s="269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67"/>
    </row>
    <row r="695" customFormat="false" ht="15.75" hidden="false" customHeight="false" outlineLevel="0" collapsed="false">
      <c r="L695" s="269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67"/>
    </row>
    <row r="696" customFormat="false" ht="15.75" hidden="false" customHeight="false" outlineLevel="0" collapsed="false">
      <c r="L696" s="269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67"/>
    </row>
    <row r="697" customFormat="false" ht="15.75" hidden="false" customHeight="false" outlineLevel="0" collapsed="false">
      <c r="L697" s="269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67"/>
    </row>
    <row r="698" customFormat="false" ht="15.75" hidden="false" customHeight="false" outlineLevel="0" collapsed="false">
      <c r="L698" s="269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67"/>
    </row>
    <row r="699" customFormat="false" ht="15.75" hidden="false" customHeight="false" outlineLevel="0" collapsed="false">
      <c r="L699" s="269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67"/>
    </row>
    <row r="700" customFormat="false" ht="15.75" hidden="false" customHeight="false" outlineLevel="0" collapsed="false">
      <c r="L700" s="269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67"/>
    </row>
    <row r="701" customFormat="false" ht="15.75" hidden="false" customHeight="false" outlineLevel="0" collapsed="false">
      <c r="L701" s="269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67"/>
    </row>
    <row r="702" customFormat="false" ht="15.75" hidden="false" customHeight="false" outlineLevel="0" collapsed="false">
      <c r="L702" s="269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67"/>
    </row>
    <row r="703" customFormat="false" ht="15.75" hidden="false" customHeight="false" outlineLevel="0" collapsed="false">
      <c r="L703" s="269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67"/>
    </row>
    <row r="704" customFormat="false" ht="15.75" hidden="false" customHeight="false" outlineLevel="0" collapsed="false">
      <c r="L704" s="269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67"/>
    </row>
    <row r="705" customFormat="false" ht="15.75" hidden="false" customHeight="false" outlineLevel="0" collapsed="false">
      <c r="L705" s="269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67"/>
    </row>
    <row r="706" customFormat="false" ht="15.75" hidden="false" customHeight="false" outlineLevel="0" collapsed="false">
      <c r="L706" s="269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67"/>
    </row>
    <row r="707" customFormat="false" ht="15.75" hidden="false" customHeight="false" outlineLevel="0" collapsed="false">
      <c r="L707" s="269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67"/>
    </row>
    <row r="708" customFormat="false" ht="15.75" hidden="false" customHeight="false" outlineLevel="0" collapsed="false">
      <c r="L708" s="269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67"/>
    </row>
    <row r="709" customFormat="false" ht="15.75" hidden="false" customHeight="false" outlineLevel="0" collapsed="false">
      <c r="L709" s="269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67"/>
    </row>
    <row r="710" customFormat="false" ht="15.75" hidden="false" customHeight="false" outlineLevel="0" collapsed="false">
      <c r="L710" s="269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67"/>
    </row>
    <row r="711" customFormat="false" ht="15.75" hidden="false" customHeight="false" outlineLevel="0" collapsed="false">
      <c r="L711" s="269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67"/>
    </row>
    <row r="712" customFormat="false" ht="15.75" hidden="false" customHeight="false" outlineLevel="0" collapsed="false">
      <c r="L712" s="269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67"/>
    </row>
    <row r="713" customFormat="false" ht="15.75" hidden="false" customHeight="false" outlineLevel="0" collapsed="false">
      <c r="L713" s="269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67"/>
    </row>
    <row r="714" customFormat="false" ht="15.75" hidden="false" customHeight="false" outlineLevel="0" collapsed="false">
      <c r="L714" s="269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67"/>
    </row>
    <row r="715" customFormat="false" ht="15.75" hidden="false" customHeight="false" outlineLevel="0" collapsed="false">
      <c r="L715" s="269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67"/>
    </row>
    <row r="716" customFormat="false" ht="15.75" hidden="false" customHeight="false" outlineLevel="0" collapsed="false">
      <c r="L716" s="269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67"/>
    </row>
    <row r="717" customFormat="false" ht="15.75" hidden="false" customHeight="false" outlineLevel="0" collapsed="false">
      <c r="L717" s="269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67"/>
    </row>
    <row r="718" customFormat="false" ht="15.75" hidden="false" customHeight="false" outlineLevel="0" collapsed="false">
      <c r="L718" s="269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67"/>
    </row>
    <row r="719" customFormat="false" ht="15.75" hidden="false" customHeight="false" outlineLevel="0" collapsed="false">
      <c r="L719" s="269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67"/>
    </row>
    <row r="720" customFormat="false" ht="15.75" hidden="false" customHeight="false" outlineLevel="0" collapsed="false">
      <c r="L720" s="269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67"/>
    </row>
    <row r="721" customFormat="false" ht="15.75" hidden="false" customHeight="false" outlineLevel="0" collapsed="false">
      <c r="L721" s="269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67"/>
    </row>
    <row r="722" customFormat="false" ht="15.75" hidden="false" customHeight="false" outlineLevel="0" collapsed="false">
      <c r="L722" s="269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67"/>
    </row>
    <row r="723" customFormat="false" ht="15.75" hidden="false" customHeight="false" outlineLevel="0" collapsed="false">
      <c r="L723" s="269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67"/>
    </row>
    <row r="724" customFormat="false" ht="15.75" hidden="false" customHeight="false" outlineLevel="0" collapsed="false">
      <c r="L724" s="269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67"/>
    </row>
    <row r="725" customFormat="false" ht="15.75" hidden="false" customHeight="false" outlineLevel="0" collapsed="false">
      <c r="L725" s="269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67"/>
    </row>
    <row r="726" customFormat="false" ht="15.75" hidden="false" customHeight="false" outlineLevel="0" collapsed="false">
      <c r="L726" s="269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67"/>
    </row>
    <row r="727" customFormat="false" ht="15.75" hidden="false" customHeight="false" outlineLevel="0" collapsed="false">
      <c r="L727" s="269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67"/>
    </row>
    <row r="728" customFormat="false" ht="15.75" hidden="false" customHeight="false" outlineLevel="0" collapsed="false">
      <c r="L728" s="269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67"/>
    </row>
    <row r="729" customFormat="false" ht="15.75" hidden="false" customHeight="false" outlineLevel="0" collapsed="false">
      <c r="L729" s="269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67"/>
    </row>
    <row r="730" customFormat="false" ht="15.75" hidden="false" customHeight="false" outlineLevel="0" collapsed="false">
      <c r="L730" s="269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67"/>
    </row>
    <row r="731" customFormat="false" ht="15.75" hidden="false" customHeight="false" outlineLevel="0" collapsed="false">
      <c r="L731" s="269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67"/>
    </row>
    <row r="732" customFormat="false" ht="15.75" hidden="false" customHeight="false" outlineLevel="0" collapsed="false">
      <c r="L732" s="269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67"/>
    </row>
    <row r="733" customFormat="false" ht="15.75" hidden="false" customHeight="false" outlineLevel="0" collapsed="false">
      <c r="L733" s="269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67"/>
    </row>
    <row r="734" customFormat="false" ht="15.75" hidden="false" customHeight="false" outlineLevel="0" collapsed="false">
      <c r="L734" s="269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67"/>
    </row>
    <row r="735" customFormat="false" ht="15.75" hidden="false" customHeight="false" outlineLevel="0" collapsed="false">
      <c r="L735" s="269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67"/>
    </row>
    <row r="736" customFormat="false" ht="15.75" hidden="false" customHeight="false" outlineLevel="0" collapsed="false">
      <c r="L736" s="269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67"/>
    </row>
    <row r="737" customFormat="false" ht="15.75" hidden="false" customHeight="false" outlineLevel="0" collapsed="false">
      <c r="L737" s="269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67"/>
    </row>
    <row r="738" customFormat="false" ht="15.75" hidden="false" customHeight="false" outlineLevel="0" collapsed="false">
      <c r="L738" s="269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67"/>
    </row>
    <row r="739" customFormat="false" ht="15.75" hidden="false" customHeight="false" outlineLevel="0" collapsed="false">
      <c r="L739" s="269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67"/>
    </row>
    <row r="740" customFormat="false" ht="15.75" hidden="false" customHeight="false" outlineLevel="0" collapsed="false">
      <c r="L740" s="269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67"/>
    </row>
    <row r="741" customFormat="false" ht="15.75" hidden="false" customHeight="false" outlineLevel="0" collapsed="false">
      <c r="L741" s="269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67"/>
    </row>
    <row r="742" customFormat="false" ht="15.75" hidden="false" customHeight="false" outlineLevel="0" collapsed="false">
      <c r="L742" s="269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67"/>
    </row>
    <row r="743" customFormat="false" ht="15.75" hidden="false" customHeight="false" outlineLevel="0" collapsed="false">
      <c r="L743" s="269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67"/>
    </row>
    <row r="744" customFormat="false" ht="15.75" hidden="false" customHeight="false" outlineLevel="0" collapsed="false">
      <c r="L744" s="269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67"/>
    </row>
    <row r="745" customFormat="false" ht="15.75" hidden="false" customHeight="false" outlineLevel="0" collapsed="false">
      <c r="L745" s="269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67"/>
    </row>
    <row r="746" customFormat="false" ht="15.75" hidden="false" customHeight="false" outlineLevel="0" collapsed="false">
      <c r="L746" s="269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67"/>
    </row>
    <row r="747" customFormat="false" ht="15.75" hidden="false" customHeight="false" outlineLevel="0" collapsed="false">
      <c r="L747" s="269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67"/>
    </row>
    <row r="748" customFormat="false" ht="15.75" hidden="false" customHeight="false" outlineLevel="0" collapsed="false">
      <c r="L748" s="269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67"/>
    </row>
    <row r="749" customFormat="false" ht="15.75" hidden="false" customHeight="false" outlineLevel="0" collapsed="false">
      <c r="L749" s="269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67"/>
    </row>
    <row r="750" customFormat="false" ht="15.75" hidden="false" customHeight="false" outlineLevel="0" collapsed="false">
      <c r="L750" s="269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67"/>
    </row>
    <row r="751" customFormat="false" ht="15.75" hidden="false" customHeight="false" outlineLevel="0" collapsed="false">
      <c r="L751" s="269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67"/>
    </row>
    <row r="752" customFormat="false" ht="15.75" hidden="false" customHeight="false" outlineLevel="0" collapsed="false">
      <c r="L752" s="269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67"/>
    </row>
    <row r="753" customFormat="false" ht="15.75" hidden="false" customHeight="false" outlineLevel="0" collapsed="false">
      <c r="L753" s="269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67"/>
    </row>
    <row r="754" customFormat="false" ht="15.75" hidden="false" customHeight="false" outlineLevel="0" collapsed="false">
      <c r="L754" s="269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67"/>
    </row>
    <row r="755" customFormat="false" ht="15.75" hidden="false" customHeight="false" outlineLevel="0" collapsed="false">
      <c r="L755" s="269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67"/>
    </row>
    <row r="756" customFormat="false" ht="15.75" hidden="false" customHeight="false" outlineLevel="0" collapsed="false">
      <c r="L756" s="269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67"/>
    </row>
    <row r="757" customFormat="false" ht="15.75" hidden="false" customHeight="false" outlineLevel="0" collapsed="false">
      <c r="L757" s="269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67"/>
    </row>
    <row r="758" customFormat="false" ht="15.75" hidden="false" customHeight="false" outlineLevel="0" collapsed="false">
      <c r="L758" s="269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67"/>
    </row>
    <row r="759" customFormat="false" ht="15.75" hidden="false" customHeight="false" outlineLevel="0" collapsed="false">
      <c r="L759" s="269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67"/>
    </row>
    <row r="760" customFormat="false" ht="15.75" hidden="false" customHeight="false" outlineLevel="0" collapsed="false">
      <c r="L760" s="269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67"/>
    </row>
    <row r="761" customFormat="false" ht="15.75" hidden="false" customHeight="false" outlineLevel="0" collapsed="false">
      <c r="L761" s="269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67"/>
    </row>
    <row r="762" customFormat="false" ht="15.75" hidden="false" customHeight="false" outlineLevel="0" collapsed="false">
      <c r="L762" s="269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67"/>
    </row>
    <row r="763" customFormat="false" ht="15.75" hidden="false" customHeight="false" outlineLevel="0" collapsed="false">
      <c r="L763" s="269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67"/>
    </row>
    <row r="764" customFormat="false" ht="15.75" hidden="false" customHeight="false" outlineLevel="0" collapsed="false">
      <c r="L764" s="269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67"/>
    </row>
    <row r="765" customFormat="false" ht="15.75" hidden="false" customHeight="false" outlineLevel="0" collapsed="false">
      <c r="L765" s="269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67"/>
    </row>
    <row r="766" customFormat="false" ht="15.75" hidden="false" customHeight="false" outlineLevel="0" collapsed="false">
      <c r="L766" s="269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67"/>
    </row>
    <row r="767" customFormat="false" ht="15.75" hidden="false" customHeight="false" outlineLevel="0" collapsed="false">
      <c r="L767" s="269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67"/>
    </row>
    <row r="768" customFormat="false" ht="15.75" hidden="false" customHeight="false" outlineLevel="0" collapsed="false">
      <c r="L768" s="269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67"/>
    </row>
    <row r="769" customFormat="false" ht="15.75" hidden="false" customHeight="false" outlineLevel="0" collapsed="false">
      <c r="L769" s="269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67"/>
    </row>
    <row r="770" customFormat="false" ht="15.75" hidden="false" customHeight="false" outlineLevel="0" collapsed="false">
      <c r="L770" s="269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67"/>
    </row>
    <row r="771" customFormat="false" ht="15.75" hidden="false" customHeight="false" outlineLevel="0" collapsed="false">
      <c r="L771" s="269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67"/>
    </row>
    <row r="772" customFormat="false" ht="15.75" hidden="false" customHeight="false" outlineLevel="0" collapsed="false">
      <c r="L772" s="269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67"/>
    </row>
    <row r="773" customFormat="false" ht="15.75" hidden="false" customHeight="false" outlineLevel="0" collapsed="false">
      <c r="L773" s="269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67"/>
    </row>
    <row r="774" customFormat="false" ht="15.75" hidden="false" customHeight="false" outlineLevel="0" collapsed="false">
      <c r="L774" s="269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67"/>
    </row>
    <row r="775" customFormat="false" ht="15.75" hidden="false" customHeight="false" outlineLevel="0" collapsed="false">
      <c r="L775" s="269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67"/>
    </row>
    <row r="776" customFormat="false" ht="15.75" hidden="false" customHeight="false" outlineLevel="0" collapsed="false">
      <c r="L776" s="269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67"/>
    </row>
    <row r="777" customFormat="false" ht="15.75" hidden="false" customHeight="false" outlineLevel="0" collapsed="false">
      <c r="L777" s="269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67"/>
    </row>
    <row r="778" customFormat="false" ht="15.75" hidden="false" customHeight="false" outlineLevel="0" collapsed="false">
      <c r="L778" s="269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67"/>
    </row>
    <row r="779" customFormat="false" ht="15.75" hidden="false" customHeight="false" outlineLevel="0" collapsed="false">
      <c r="L779" s="269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67"/>
    </row>
    <row r="780" customFormat="false" ht="15.75" hidden="false" customHeight="false" outlineLevel="0" collapsed="false">
      <c r="L780" s="269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67"/>
    </row>
    <row r="781" customFormat="false" ht="15.75" hidden="false" customHeight="false" outlineLevel="0" collapsed="false">
      <c r="L781" s="269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67"/>
    </row>
    <row r="782" customFormat="false" ht="15.75" hidden="false" customHeight="false" outlineLevel="0" collapsed="false">
      <c r="L782" s="269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67"/>
    </row>
    <row r="783" customFormat="false" ht="15.75" hidden="false" customHeight="false" outlineLevel="0" collapsed="false">
      <c r="L783" s="269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67"/>
    </row>
    <row r="784" customFormat="false" ht="15.75" hidden="false" customHeight="false" outlineLevel="0" collapsed="false">
      <c r="L784" s="269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67"/>
    </row>
    <row r="785" customFormat="false" ht="15.75" hidden="false" customHeight="false" outlineLevel="0" collapsed="false">
      <c r="L785" s="269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67"/>
    </row>
    <row r="786" customFormat="false" ht="15.75" hidden="false" customHeight="false" outlineLevel="0" collapsed="false">
      <c r="L786" s="269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67"/>
    </row>
    <row r="787" customFormat="false" ht="15.75" hidden="false" customHeight="false" outlineLevel="0" collapsed="false">
      <c r="L787" s="269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67"/>
    </row>
    <row r="788" customFormat="false" ht="15.75" hidden="false" customHeight="false" outlineLevel="0" collapsed="false">
      <c r="L788" s="269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67"/>
    </row>
    <row r="789" customFormat="false" ht="15.75" hidden="false" customHeight="false" outlineLevel="0" collapsed="false">
      <c r="L789" s="269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67"/>
    </row>
    <row r="790" customFormat="false" ht="15.75" hidden="false" customHeight="false" outlineLevel="0" collapsed="false">
      <c r="L790" s="269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67"/>
    </row>
    <row r="791" customFormat="false" ht="15.75" hidden="false" customHeight="false" outlineLevel="0" collapsed="false">
      <c r="L791" s="269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67"/>
    </row>
    <row r="792" customFormat="false" ht="15.75" hidden="false" customHeight="false" outlineLevel="0" collapsed="false">
      <c r="L792" s="269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67"/>
    </row>
    <row r="793" customFormat="false" ht="15.75" hidden="false" customHeight="false" outlineLevel="0" collapsed="false">
      <c r="L793" s="269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67"/>
    </row>
    <row r="794" customFormat="false" ht="15.75" hidden="false" customHeight="false" outlineLevel="0" collapsed="false">
      <c r="L794" s="269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67"/>
    </row>
    <row r="795" customFormat="false" ht="15.75" hidden="false" customHeight="false" outlineLevel="0" collapsed="false">
      <c r="L795" s="269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67"/>
    </row>
    <row r="796" customFormat="false" ht="15.75" hidden="false" customHeight="false" outlineLevel="0" collapsed="false">
      <c r="L796" s="269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67"/>
    </row>
    <row r="797" customFormat="false" ht="15.75" hidden="false" customHeight="false" outlineLevel="0" collapsed="false">
      <c r="L797" s="269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67"/>
    </row>
    <row r="798" customFormat="false" ht="15.75" hidden="false" customHeight="false" outlineLevel="0" collapsed="false">
      <c r="L798" s="269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67"/>
    </row>
    <row r="799" customFormat="false" ht="15.75" hidden="false" customHeight="false" outlineLevel="0" collapsed="false">
      <c r="L799" s="269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67"/>
    </row>
    <row r="800" customFormat="false" ht="15.75" hidden="false" customHeight="false" outlineLevel="0" collapsed="false">
      <c r="L800" s="269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67"/>
    </row>
    <row r="801" customFormat="false" ht="15.75" hidden="false" customHeight="false" outlineLevel="0" collapsed="false">
      <c r="L801" s="269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67"/>
    </row>
    <row r="802" customFormat="false" ht="15.75" hidden="false" customHeight="false" outlineLevel="0" collapsed="false">
      <c r="L802" s="269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67"/>
    </row>
    <row r="803" customFormat="false" ht="15.75" hidden="false" customHeight="false" outlineLevel="0" collapsed="false">
      <c r="L803" s="269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67"/>
    </row>
    <row r="804" customFormat="false" ht="15.75" hidden="false" customHeight="false" outlineLevel="0" collapsed="false">
      <c r="L804" s="269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67"/>
    </row>
    <row r="805" customFormat="false" ht="15.75" hidden="false" customHeight="false" outlineLevel="0" collapsed="false">
      <c r="L805" s="269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67"/>
    </row>
    <row r="806" customFormat="false" ht="15.75" hidden="false" customHeight="false" outlineLevel="0" collapsed="false">
      <c r="L806" s="269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67"/>
    </row>
    <row r="807" customFormat="false" ht="15.75" hidden="false" customHeight="false" outlineLevel="0" collapsed="false">
      <c r="L807" s="269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67"/>
    </row>
    <row r="808" customFormat="false" ht="15.75" hidden="false" customHeight="false" outlineLevel="0" collapsed="false">
      <c r="L808" s="269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67"/>
    </row>
    <row r="809" customFormat="false" ht="15.75" hidden="false" customHeight="false" outlineLevel="0" collapsed="false">
      <c r="L809" s="269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67"/>
    </row>
    <row r="810" customFormat="false" ht="15.75" hidden="false" customHeight="false" outlineLevel="0" collapsed="false">
      <c r="L810" s="269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67"/>
    </row>
    <row r="811" customFormat="false" ht="15.75" hidden="false" customHeight="false" outlineLevel="0" collapsed="false">
      <c r="L811" s="269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67"/>
    </row>
    <row r="812" customFormat="false" ht="15.75" hidden="false" customHeight="false" outlineLevel="0" collapsed="false">
      <c r="L812" s="269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67"/>
    </row>
    <row r="813" customFormat="false" ht="15.75" hidden="false" customHeight="false" outlineLevel="0" collapsed="false">
      <c r="L813" s="269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67"/>
    </row>
    <row r="814" customFormat="false" ht="15.75" hidden="false" customHeight="false" outlineLevel="0" collapsed="false">
      <c r="L814" s="269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67"/>
    </row>
    <row r="815" customFormat="false" ht="15.75" hidden="false" customHeight="false" outlineLevel="0" collapsed="false">
      <c r="L815" s="269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67"/>
    </row>
    <row r="816" customFormat="false" ht="15.75" hidden="false" customHeight="false" outlineLevel="0" collapsed="false">
      <c r="L816" s="269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67"/>
    </row>
    <row r="817" customFormat="false" ht="15.75" hidden="false" customHeight="false" outlineLevel="0" collapsed="false">
      <c r="L817" s="269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67"/>
    </row>
    <row r="818" customFormat="false" ht="15.75" hidden="false" customHeight="false" outlineLevel="0" collapsed="false">
      <c r="L818" s="269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67"/>
    </row>
    <row r="819" customFormat="false" ht="15.75" hidden="false" customHeight="false" outlineLevel="0" collapsed="false">
      <c r="L819" s="269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67"/>
    </row>
    <row r="820" customFormat="false" ht="15.75" hidden="false" customHeight="false" outlineLevel="0" collapsed="false">
      <c r="L820" s="269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67"/>
    </row>
    <row r="821" customFormat="false" ht="15.75" hidden="false" customHeight="false" outlineLevel="0" collapsed="false">
      <c r="L821" s="269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67"/>
    </row>
    <row r="822" customFormat="false" ht="15.75" hidden="false" customHeight="false" outlineLevel="0" collapsed="false">
      <c r="L822" s="269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67"/>
    </row>
    <row r="823" customFormat="false" ht="15.75" hidden="false" customHeight="false" outlineLevel="0" collapsed="false">
      <c r="L823" s="269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67"/>
    </row>
    <row r="824" customFormat="false" ht="15.75" hidden="false" customHeight="false" outlineLevel="0" collapsed="false">
      <c r="L824" s="269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67"/>
    </row>
    <row r="825" customFormat="false" ht="15.75" hidden="false" customHeight="false" outlineLevel="0" collapsed="false">
      <c r="L825" s="269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67"/>
    </row>
    <row r="826" customFormat="false" ht="15.75" hidden="false" customHeight="false" outlineLevel="0" collapsed="false">
      <c r="L826" s="269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67"/>
    </row>
    <row r="827" customFormat="false" ht="15.75" hidden="false" customHeight="false" outlineLevel="0" collapsed="false">
      <c r="L827" s="269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67"/>
    </row>
    <row r="828" customFormat="false" ht="15.75" hidden="false" customHeight="false" outlineLevel="0" collapsed="false">
      <c r="L828" s="269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67"/>
    </row>
    <row r="829" customFormat="false" ht="15.75" hidden="false" customHeight="false" outlineLevel="0" collapsed="false">
      <c r="L829" s="269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67"/>
    </row>
    <row r="830" customFormat="false" ht="15.75" hidden="false" customHeight="false" outlineLevel="0" collapsed="false">
      <c r="L830" s="269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67"/>
    </row>
    <row r="831" customFormat="false" ht="15.75" hidden="false" customHeight="false" outlineLevel="0" collapsed="false">
      <c r="L831" s="269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67"/>
    </row>
    <row r="832" customFormat="false" ht="15.75" hidden="false" customHeight="false" outlineLevel="0" collapsed="false">
      <c r="L832" s="269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67"/>
    </row>
    <row r="833" customFormat="false" ht="15.75" hidden="false" customHeight="false" outlineLevel="0" collapsed="false">
      <c r="L833" s="269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67"/>
    </row>
    <row r="834" customFormat="false" ht="15.75" hidden="false" customHeight="false" outlineLevel="0" collapsed="false">
      <c r="L834" s="269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67"/>
    </row>
    <row r="835" customFormat="false" ht="15.75" hidden="false" customHeight="false" outlineLevel="0" collapsed="false">
      <c r="L835" s="269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67"/>
    </row>
    <row r="836" customFormat="false" ht="15.75" hidden="false" customHeight="false" outlineLevel="0" collapsed="false">
      <c r="L836" s="269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67"/>
    </row>
    <row r="837" customFormat="false" ht="15.75" hidden="false" customHeight="false" outlineLevel="0" collapsed="false">
      <c r="L837" s="269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67"/>
    </row>
    <row r="838" customFormat="false" ht="15.75" hidden="false" customHeight="false" outlineLevel="0" collapsed="false">
      <c r="L838" s="269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67"/>
    </row>
    <row r="839" customFormat="false" ht="15.75" hidden="false" customHeight="false" outlineLevel="0" collapsed="false">
      <c r="L839" s="269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67"/>
    </row>
    <row r="840" customFormat="false" ht="15.75" hidden="false" customHeight="false" outlineLevel="0" collapsed="false">
      <c r="L840" s="269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67"/>
    </row>
    <row r="841" customFormat="false" ht="15.75" hidden="false" customHeight="false" outlineLevel="0" collapsed="false">
      <c r="L841" s="269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67"/>
    </row>
    <row r="842" customFormat="false" ht="15.75" hidden="false" customHeight="false" outlineLevel="0" collapsed="false">
      <c r="L842" s="269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67"/>
    </row>
    <row r="843" customFormat="false" ht="15.75" hidden="false" customHeight="false" outlineLevel="0" collapsed="false">
      <c r="L843" s="269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67"/>
    </row>
    <row r="844" customFormat="false" ht="15.75" hidden="false" customHeight="false" outlineLevel="0" collapsed="false">
      <c r="L844" s="269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67"/>
    </row>
    <row r="845" customFormat="false" ht="15.75" hidden="false" customHeight="false" outlineLevel="0" collapsed="false">
      <c r="L845" s="269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67"/>
    </row>
    <row r="846" customFormat="false" ht="15.75" hidden="false" customHeight="false" outlineLevel="0" collapsed="false">
      <c r="L846" s="269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67"/>
    </row>
    <row r="847" customFormat="false" ht="15.75" hidden="false" customHeight="false" outlineLevel="0" collapsed="false">
      <c r="L847" s="269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67"/>
    </row>
    <row r="848" customFormat="false" ht="15.75" hidden="false" customHeight="false" outlineLevel="0" collapsed="false">
      <c r="L848" s="269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67"/>
    </row>
    <row r="849" customFormat="false" ht="15.75" hidden="false" customHeight="false" outlineLevel="0" collapsed="false">
      <c r="L849" s="269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67"/>
    </row>
    <row r="850" customFormat="false" ht="15.75" hidden="false" customHeight="false" outlineLevel="0" collapsed="false">
      <c r="L850" s="269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67"/>
    </row>
    <row r="851" customFormat="false" ht="15.75" hidden="false" customHeight="false" outlineLevel="0" collapsed="false">
      <c r="L851" s="269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67"/>
    </row>
    <row r="852" customFormat="false" ht="15.75" hidden="false" customHeight="false" outlineLevel="0" collapsed="false">
      <c r="L852" s="269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67"/>
    </row>
    <row r="853" customFormat="false" ht="15.75" hidden="false" customHeight="false" outlineLevel="0" collapsed="false">
      <c r="L853" s="269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67"/>
    </row>
    <row r="854" customFormat="false" ht="15.75" hidden="false" customHeight="false" outlineLevel="0" collapsed="false">
      <c r="L854" s="269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67"/>
    </row>
    <row r="855" customFormat="false" ht="15.75" hidden="false" customHeight="false" outlineLevel="0" collapsed="false">
      <c r="L855" s="269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67"/>
    </row>
    <row r="856" customFormat="false" ht="15.75" hidden="false" customHeight="false" outlineLevel="0" collapsed="false">
      <c r="L856" s="269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67"/>
    </row>
    <row r="857" customFormat="false" ht="15.75" hidden="false" customHeight="false" outlineLevel="0" collapsed="false">
      <c r="L857" s="269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67"/>
    </row>
    <row r="858" customFormat="false" ht="15.75" hidden="false" customHeight="false" outlineLevel="0" collapsed="false">
      <c r="L858" s="269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67"/>
    </row>
    <row r="859" customFormat="false" ht="15.75" hidden="false" customHeight="false" outlineLevel="0" collapsed="false">
      <c r="L859" s="269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67"/>
    </row>
    <row r="860" customFormat="false" ht="15.75" hidden="false" customHeight="false" outlineLevel="0" collapsed="false">
      <c r="L860" s="269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67"/>
    </row>
    <row r="861" customFormat="false" ht="15.75" hidden="false" customHeight="false" outlineLevel="0" collapsed="false">
      <c r="L861" s="269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67"/>
    </row>
    <row r="862" customFormat="false" ht="15.75" hidden="false" customHeight="false" outlineLevel="0" collapsed="false">
      <c r="L862" s="269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67"/>
    </row>
    <row r="863" customFormat="false" ht="15.75" hidden="false" customHeight="false" outlineLevel="0" collapsed="false">
      <c r="L863" s="269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67"/>
    </row>
    <row r="864" customFormat="false" ht="15.75" hidden="false" customHeight="false" outlineLevel="0" collapsed="false">
      <c r="L864" s="269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67"/>
    </row>
    <row r="865" customFormat="false" ht="15.75" hidden="false" customHeight="false" outlineLevel="0" collapsed="false">
      <c r="L865" s="269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67"/>
    </row>
    <row r="866" customFormat="false" ht="15.75" hidden="false" customHeight="false" outlineLevel="0" collapsed="false">
      <c r="L866" s="269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67"/>
    </row>
    <row r="867" customFormat="false" ht="15.75" hidden="false" customHeight="false" outlineLevel="0" collapsed="false">
      <c r="L867" s="269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67"/>
    </row>
    <row r="868" customFormat="false" ht="15.75" hidden="false" customHeight="false" outlineLevel="0" collapsed="false">
      <c r="L868" s="269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67"/>
    </row>
    <row r="869" customFormat="false" ht="15.75" hidden="false" customHeight="false" outlineLevel="0" collapsed="false">
      <c r="L869" s="269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67"/>
    </row>
    <row r="870" customFormat="false" ht="15.75" hidden="false" customHeight="false" outlineLevel="0" collapsed="false">
      <c r="L870" s="269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67"/>
    </row>
    <row r="871" customFormat="false" ht="15.75" hidden="false" customHeight="false" outlineLevel="0" collapsed="false">
      <c r="L871" s="269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67"/>
    </row>
    <row r="872" customFormat="false" ht="15.75" hidden="false" customHeight="false" outlineLevel="0" collapsed="false">
      <c r="L872" s="269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67"/>
    </row>
    <row r="873" customFormat="false" ht="15.75" hidden="false" customHeight="false" outlineLevel="0" collapsed="false">
      <c r="L873" s="269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67"/>
    </row>
    <row r="874" customFormat="false" ht="15.75" hidden="false" customHeight="false" outlineLevel="0" collapsed="false">
      <c r="L874" s="269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67"/>
    </row>
    <row r="875" customFormat="false" ht="15.75" hidden="false" customHeight="false" outlineLevel="0" collapsed="false">
      <c r="L875" s="269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67"/>
    </row>
    <row r="876" customFormat="false" ht="15.75" hidden="false" customHeight="false" outlineLevel="0" collapsed="false">
      <c r="L876" s="269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67"/>
    </row>
    <row r="877" customFormat="false" ht="15.75" hidden="false" customHeight="false" outlineLevel="0" collapsed="false">
      <c r="L877" s="269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67"/>
    </row>
    <row r="878" customFormat="false" ht="15.75" hidden="false" customHeight="false" outlineLevel="0" collapsed="false">
      <c r="L878" s="269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67"/>
    </row>
    <row r="879" customFormat="false" ht="15.75" hidden="false" customHeight="false" outlineLevel="0" collapsed="false">
      <c r="L879" s="269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67"/>
    </row>
    <row r="880" customFormat="false" ht="15.75" hidden="false" customHeight="false" outlineLevel="0" collapsed="false">
      <c r="L880" s="269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67"/>
    </row>
    <row r="881" customFormat="false" ht="15.75" hidden="false" customHeight="false" outlineLevel="0" collapsed="false">
      <c r="L881" s="269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67"/>
    </row>
    <row r="882" customFormat="false" ht="15.75" hidden="false" customHeight="false" outlineLevel="0" collapsed="false">
      <c r="L882" s="269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67"/>
    </row>
    <row r="883" customFormat="false" ht="15.75" hidden="false" customHeight="false" outlineLevel="0" collapsed="false">
      <c r="L883" s="269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67"/>
    </row>
    <row r="884" customFormat="false" ht="15.75" hidden="false" customHeight="false" outlineLevel="0" collapsed="false">
      <c r="L884" s="269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67"/>
    </row>
    <row r="885" customFormat="false" ht="15.75" hidden="false" customHeight="false" outlineLevel="0" collapsed="false">
      <c r="L885" s="269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67"/>
    </row>
    <row r="886" customFormat="false" ht="15.75" hidden="false" customHeight="false" outlineLevel="0" collapsed="false">
      <c r="L886" s="269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67"/>
    </row>
    <row r="887" customFormat="false" ht="15.75" hidden="false" customHeight="false" outlineLevel="0" collapsed="false">
      <c r="L887" s="269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67"/>
    </row>
    <row r="888" customFormat="false" ht="15.75" hidden="false" customHeight="false" outlineLevel="0" collapsed="false">
      <c r="L888" s="269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67"/>
    </row>
    <row r="889" customFormat="false" ht="15.75" hidden="false" customHeight="false" outlineLevel="0" collapsed="false">
      <c r="L889" s="269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67"/>
    </row>
    <row r="890" customFormat="false" ht="15.75" hidden="false" customHeight="false" outlineLevel="0" collapsed="false">
      <c r="L890" s="269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67"/>
    </row>
    <row r="891" customFormat="false" ht="15.75" hidden="false" customHeight="false" outlineLevel="0" collapsed="false">
      <c r="L891" s="269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67"/>
    </row>
    <row r="892" customFormat="false" ht="15.75" hidden="false" customHeight="false" outlineLevel="0" collapsed="false">
      <c r="L892" s="269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67"/>
    </row>
    <row r="893" customFormat="false" ht="15.75" hidden="false" customHeight="false" outlineLevel="0" collapsed="false">
      <c r="L893" s="269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67"/>
    </row>
    <row r="894" customFormat="false" ht="15.75" hidden="false" customHeight="false" outlineLevel="0" collapsed="false">
      <c r="L894" s="269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67"/>
    </row>
    <row r="895" customFormat="false" ht="15.75" hidden="false" customHeight="false" outlineLevel="0" collapsed="false">
      <c r="L895" s="269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67"/>
    </row>
    <row r="896" customFormat="false" ht="15.75" hidden="false" customHeight="false" outlineLevel="0" collapsed="false">
      <c r="L896" s="269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67"/>
    </row>
    <row r="897" customFormat="false" ht="15.75" hidden="false" customHeight="false" outlineLevel="0" collapsed="false">
      <c r="L897" s="269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67"/>
    </row>
    <row r="898" customFormat="false" ht="15.75" hidden="false" customHeight="false" outlineLevel="0" collapsed="false">
      <c r="L898" s="269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67"/>
    </row>
    <row r="899" customFormat="false" ht="15.75" hidden="false" customHeight="false" outlineLevel="0" collapsed="false">
      <c r="L899" s="269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67"/>
    </row>
    <row r="900" customFormat="false" ht="15.75" hidden="false" customHeight="false" outlineLevel="0" collapsed="false">
      <c r="L900" s="269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67"/>
    </row>
    <row r="901" customFormat="false" ht="15.75" hidden="false" customHeight="false" outlineLevel="0" collapsed="false">
      <c r="L901" s="269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67"/>
    </row>
    <row r="902" customFormat="false" ht="15.75" hidden="false" customHeight="false" outlineLevel="0" collapsed="false">
      <c r="L902" s="269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67"/>
    </row>
    <row r="903" customFormat="false" ht="15.75" hidden="false" customHeight="false" outlineLevel="0" collapsed="false">
      <c r="L903" s="269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67"/>
    </row>
    <row r="904" customFormat="false" ht="15.75" hidden="false" customHeight="false" outlineLevel="0" collapsed="false">
      <c r="L904" s="269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67"/>
    </row>
    <row r="905" customFormat="false" ht="15.75" hidden="false" customHeight="false" outlineLevel="0" collapsed="false">
      <c r="L905" s="269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67"/>
    </row>
    <row r="906" customFormat="false" ht="15.75" hidden="false" customHeight="false" outlineLevel="0" collapsed="false">
      <c r="L906" s="269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67"/>
    </row>
    <row r="907" customFormat="false" ht="15.75" hidden="false" customHeight="false" outlineLevel="0" collapsed="false">
      <c r="L907" s="269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67"/>
    </row>
    <row r="908" customFormat="false" ht="15.75" hidden="false" customHeight="false" outlineLevel="0" collapsed="false">
      <c r="L908" s="269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67"/>
    </row>
    <row r="909" customFormat="false" ht="15.75" hidden="false" customHeight="false" outlineLevel="0" collapsed="false">
      <c r="L909" s="269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67"/>
    </row>
    <row r="910" customFormat="false" ht="15.75" hidden="false" customHeight="false" outlineLevel="0" collapsed="false">
      <c r="L910" s="269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67"/>
    </row>
    <row r="911" customFormat="false" ht="15.75" hidden="false" customHeight="false" outlineLevel="0" collapsed="false">
      <c r="L911" s="269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67"/>
    </row>
    <row r="912" customFormat="false" ht="15.75" hidden="false" customHeight="false" outlineLevel="0" collapsed="false">
      <c r="L912" s="269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67"/>
    </row>
    <row r="913" customFormat="false" ht="15.75" hidden="false" customHeight="false" outlineLevel="0" collapsed="false">
      <c r="L913" s="269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67"/>
    </row>
    <row r="914" customFormat="false" ht="15.75" hidden="false" customHeight="false" outlineLevel="0" collapsed="false">
      <c r="L914" s="269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67"/>
    </row>
    <row r="915" customFormat="false" ht="15.75" hidden="false" customHeight="false" outlineLevel="0" collapsed="false">
      <c r="L915" s="269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67"/>
    </row>
    <row r="916" customFormat="false" ht="15.75" hidden="false" customHeight="false" outlineLevel="0" collapsed="false">
      <c r="L916" s="269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67"/>
    </row>
    <row r="917" customFormat="false" ht="15.75" hidden="false" customHeight="false" outlineLevel="0" collapsed="false">
      <c r="L917" s="269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67"/>
    </row>
    <row r="918" customFormat="false" ht="15.75" hidden="false" customHeight="false" outlineLevel="0" collapsed="false">
      <c r="L918" s="269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67"/>
    </row>
    <row r="919" customFormat="false" ht="15.75" hidden="false" customHeight="false" outlineLevel="0" collapsed="false">
      <c r="L919" s="269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67"/>
    </row>
    <row r="920" customFormat="false" ht="15.75" hidden="false" customHeight="false" outlineLevel="0" collapsed="false">
      <c r="L920" s="269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67"/>
    </row>
    <row r="921" customFormat="false" ht="15.75" hidden="false" customHeight="false" outlineLevel="0" collapsed="false">
      <c r="L921" s="269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67"/>
    </row>
    <row r="922" customFormat="false" ht="15.75" hidden="false" customHeight="false" outlineLevel="0" collapsed="false">
      <c r="L922" s="269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67"/>
    </row>
    <row r="923" customFormat="false" ht="15.75" hidden="false" customHeight="false" outlineLevel="0" collapsed="false">
      <c r="L923" s="269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67"/>
    </row>
    <row r="924" customFormat="false" ht="15.75" hidden="false" customHeight="false" outlineLevel="0" collapsed="false">
      <c r="L924" s="269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67"/>
    </row>
    <row r="925" customFormat="false" ht="15.75" hidden="false" customHeight="false" outlineLevel="0" collapsed="false">
      <c r="L925" s="269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67"/>
    </row>
    <row r="926" customFormat="false" ht="15.75" hidden="false" customHeight="false" outlineLevel="0" collapsed="false">
      <c r="L926" s="269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67"/>
    </row>
    <row r="927" customFormat="false" ht="15.75" hidden="false" customHeight="false" outlineLevel="0" collapsed="false">
      <c r="L927" s="269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67"/>
    </row>
    <row r="928" customFormat="false" ht="15.75" hidden="false" customHeight="false" outlineLevel="0" collapsed="false">
      <c r="L928" s="269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67"/>
    </row>
    <row r="929" customFormat="false" ht="15.75" hidden="false" customHeight="false" outlineLevel="0" collapsed="false">
      <c r="L929" s="269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67"/>
    </row>
    <row r="930" customFormat="false" ht="15.75" hidden="false" customHeight="false" outlineLevel="0" collapsed="false">
      <c r="L930" s="269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67"/>
    </row>
    <row r="931" customFormat="false" ht="15.75" hidden="false" customHeight="false" outlineLevel="0" collapsed="false">
      <c r="L931" s="269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67"/>
    </row>
    <row r="932" customFormat="false" ht="15.75" hidden="false" customHeight="false" outlineLevel="0" collapsed="false">
      <c r="L932" s="269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67"/>
    </row>
    <row r="933" customFormat="false" ht="15.75" hidden="false" customHeight="false" outlineLevel="0" collapsed="false">
      <c r="L933" s="269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67"/>
    </row>
    <row r="934" customFormat="false" ht="15.75" hidden="false" customHeight="false" outlineLevel="0" collapsed="false">
      <c r="L934" s="269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67"/>
    </row>
    <row r="935" customFormat="false" ht="15.75" hidden="false" customHeight="false" outlineLevel="0" collapsed="false">
      <c r="L935" s="269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67"/>
    </row>
    <row r="936" customFormat="false" ht="15.75" hidden="false" customHeight="false" outlineLevel="0" collapsed="false">
      <c r="L936" s="269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67"/>
    </row>
    <row r="937" customFormat="false" ht="15.75" hidden="false" customHeight="false" outlineLevel="0" collapsed="false">
      <c r="L937" s="269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67"/>
    </row>
    <row r="938" customFormat="false" ht="15.75" hidden="false" customHeight="false" outlineLevel="0" collapsed="false">
      <c r="L938" s="269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67"/>
    </row>
    <row r="939" customFormat="false" ht="15.75" hidden="false" customHeight="false" outlineLevel="0" collapsed="false">
      <c r="L939" s="269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67"/>
    </row>
    <row r="940" customFormat="false" ht="15.75" hidden="false" customHeight="false" outlineLevel="0" collapsed="false">
      <c r="L940" s="269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67"/>
    </row>
    <row r="941" customFormat="false" ht="15.75" hidden="false" customHeight="false" outlineLevel="0" collapsed="false">
      <c r="L941" s="269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67"/>
    </row>
    <row r="942" customFormat="false" ht="15.75" hidden="false" customHeight="false" outlineLevel="0" collapsed="false">
      <c r="L942" s="269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67"/>
    </row>
    <row r="943" customFormat="false" ht="15.75" hidden="false" customHeight="false" outlineLevel="0" collapsed="false">
      <c r="L943" s="269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67"/>
    </row>
    <row r="944" customFormat="false" ht="15.75" hidden="false" customHeight="false" outlineLevel="0" collapsed="false">
      <c r="L944" s="269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67"/>
    </row>
    <row r="945" customFormat="false" ht="15.75" hidden="false" customHeight="false" outlineLevel="0" collapsed="false">
      <c r="L945" s="269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67"/>
    </row>
    <row r="946" customFormat="false" ht="15.75" hidden="false" customHeight="false" outlineLevel="0" collapsed="false">
      <c r="L946" s="269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67"/>
    </row>
    <row r="947" customFormat="false" ht="15.75" hidden="false" customHeight="false" outlineLevel="0" collapsed="false">
      <c r="L947" s="269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67"/>
    </row>
    <row r="948" customFormat="false" ht="15.75" hidden="false" customHeight="false" outlineLevel="0" collapsed="false">
      <c r="L948" s="269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67"/>
    </row>
    <row r="949" customFormat="false" ht="15.75" hidden="false" customHeight="false" outlineLevel="0" collapsed="false">
      <c r="L949" s="269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67"/>
    </row>
    <row r="950" customFormat="false" ht="15.75" hidden="false" customHeight="false" outlineLevel="0" collapsed="false">
      <c r="L950" s="269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67"/>
    </row>
    <row r="951" customFormat="false" ht="15.75" hidden="false" customHeight="false" outlineLevel="0" collapsed="false">
      <c r="L951" s="269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67"/>
    </row>
    <row r="952" customFormat="false" ht="15.75" hidden="false" customHeight="false" outlineLevel="0" collapsed="false">
      <c r="L952" s="269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67"/>
    </row>
    <row r="953" customFormat="false" ht="15.75" hidden="false" customHeight="false" outlineLevel="0" collapsed="false">
      <c r="L953" s="269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67"/>
    </row>
    <row r="954" customFormat="false" ht="15.75" hidden="false" customHeight="false" outlineLevel="0" collapsed="false">
      <c r="L954" s="269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67"/>
    </row>
    <row r="955" customFormat="false" ht="15.75" hidden="false" customHeight="false" outlineLevel="0" collapsed="false">
      <c r="L955" s="269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67"/>
    </row>
    <row r="956" customFormat="false" ht="15.75" hidden="false" customHeight="false" outlineLevel="0" collapsed="false">
      <c r="L956" s="269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67"/>
    </row>
    <row r="957" customFormat="false" ht="15.75" hidden="false" customHeight="false" outlineLevel="0" collapsed="false">
      <c r="L957" s="269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67"/>
    </row>
    <row r="958" customFormat="false" ht="15.75" hidden="false" customHeight="false" outlineLevel="0" collapsed="false">
      <c r="L958" s="269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67"/>
    </row>
    <row r="959" customFormat="false" ht="15.75" hidden="false" customHeight="false" outlineLevel="0" collapsed="false">
      <c r="L959" s="269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67"/>
    </row>
    <row r="960" customFormat="false" ht="15.75" hidden="false" customHeight="false" outlineLevel="0" collapsed="false">
      <c r="L960" s="269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67"/>
    </row>
    <row r="961" customFormat="false" ht="15.75" hidden="false" customHeight="false" outlineLevel="0" collapsed="false">
      <c r="L961" s="269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67"/>
    </row>
    <row r="962" customFormat="false" ht="15.75" hidden="false" customHeight="false" outlineLevel="0" collapsed="false">
      <c r="L962" s="269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67"/>
    </row>
    <row r="963" customFormat="false" ht="15.75" hidden="false" customHeight="false" outlineLevel="0" collapsed="false">
      <c r="L963" s="269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67"/>
    </row>
    <row r="964" customFormat="false" ht="15.75" hidden="false" customHeight="false" outlineLevel="0" collapsed="false">
      <c r="L964" s="269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67"/>
    </row>
    <row r="965" customFormat="false" ht="15.75" hidden="false" customHeight="false" outlineLevel="0" collapsed="false">
      <c r="L965" s="269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67"/>
    </row>
    <row r="966" customFormat="false" ht="15.75" hidden="false" customHeight="false" outlineLevel="0" collapsed="false">
      <c r="L966" s="269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67"/>
    </row>
    <row r="967" customFormat="false" ht="15.75" hidden="false" customHeight="false" outlineLevel="0" collapsed="false">
      <c r="L967" s="269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67"/>
    </row>
    <row r="968" customFormat="false" ht="15.75" hidden="false" customHeight="false" outlineLevel="0" collapsed="false">
      <c r="L968" s="269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67"/>
    </row>
    <row r="969" customFormat="false" ht="15.75" hidden="false" customHeight="false" outlineLevel="0" collapsed="false">
      <c r="L969" s="269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67"/>
    </row>
    <row r="970" customFormat="false" ht="15.75" hidden="false" customHeight="false" outlineLevel="0" collapsed="false">
      <c r="L970" s="269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67"/>
    </row>
    <row r="971" customFormat="false" ht="15.75" hidden="false" customHeight="false" outlineLevel="0" collapsed="false">
      <c r="L971" s="269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67"/>
    </row>
    <row r="972" customFormat="false" ht="15.75" hidden="false" customHeight="false" outlineLevel="0" collapsed="false">
      <c r="L972" s="269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67"/>
    </row>
    <row r="973" customFormat="false" ht="15.75" hidden="false" customHeight="false" outlineLevel="0" collapsed="false">
      <c r="L973" s="269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67"/>
    </row>
    <row r="974" customFormat="false" ht="15.75" hidden="false" customHeight="false" outlineLevel="0" collapsed="false">
      <c r="L974" s="269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67"/>
    </row>
    <row r="975" customFormat="false" ht="15.75" hidden="false" customHeight="false" outlineLevel="0" collapsed="false">
      <c r="L975" s="269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67"/>
    </row>
    <row r="976" customFormat="false" ht="15.75" hidden="false" customHeight="false" outlineLevel="0" collapsed="false">
      <c r="L976" s="269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67"/>
    </row>
    <row r="977" customFormat="false" ht="15.75" hidden="false" customHeight="false" outlineLevel="0" collapsed="false">
      <c r="L977" s="269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67"/>
    </row>
    <row r="978" customFormat="false" ht="15.75" hidden="false" customHeight="false" outlineLevel="0" collapsed="false">
      <c r="L978" s="269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67"/>
    </row>
    <row r="979" customFormat="false" ht="15.75" hidden="false" customHeight="false" outlineLevel="0" collapsed="false">
      <c r="L979" s="269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67"/>
    </row>
    <row r="980" customFormat="false" ht="15.75" hidden="false" customHeight="false" outlineLevel="0" collapsed="false">
      <c r="L980" s="269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67"/>
    </row>
    <row r="981" customFormat="false" ht="15.75" hidden="false" customHeight="false" outlineLevel="0" collapsed="false">
      <c r="L981" s="269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67"/>
    </row>
    <row r="982" customFormat="false" ht="15.75" hidden="false" customHeight="false" outlineLevel="0" collapsed="false">
      <c r="L982" s="269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67"/>
    </row>
    <row r="983" customFormat="false" ht="15.75" hidden="false" customHeight="false" outlineLevel="0" collapsed="false">
      <c r="L983" s="269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67"/>
    </row>
    <row r="984" customFormat="false" ht="15.75" hidden="false" customHeight="false" outlineLevel="0" collapsed="false">
      <c r="L984" s="269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67"/>
    </row>
    <row r="985" customFormat="false" ht="15.75" hidden="false" customHeight="false" outlineLevel="0" collapsed="false">
      <c r="L985" s="269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67"/>
    </row>
    <row r="986" customFormat="false" ht="15.75" hidden="false" customHeight="false" outlineLevel="0" collapsed="false">
      <c r="L986" s="269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67"/>
    </row>
    <row r="987" customFormat="false" ht="15.75" hidden="false" customHeight="false" outlineLevel="0" collapsed="false">
      <c r="L987" s="269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67"/>
    </row>
    <row r="988" customFormat="false" ht="15.75" hidden="false" customHeight="false" outlineLevel="0" collapsed="false">
      <c r="L988" s="269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67"/>
    </row>
    <row r="989" customFormat="false" ht="15.75" hidden="false" customHeight="false" outlineLevel="0" collapsed="false">
      <c r="L989" s="269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67"/>
    </row>
    <row r="990" customFormat="false" ht="15.75" hidden="false" customHeight="false" outlineLevel="0" collapsed="false">
      <c r="L990" s="269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67"/>
    </row>
    <row r="991" customFormat="false" ht="15.75" hidden="false" customHeight="false" outlineLevel="0" collapsed="false">
      <c r="L991" s="269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67"/>
    </row>
    <row r="992" customFormat="false" ht="15.75" hidden="false" customHeight="false" outlineLevel="0" collapsed="false">
      <c r="L992" s="269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67"/>
    </row>
    <row r="993" customFormat="false" ht="15.75" hidden="false" customHeight="false" outlineLevel="0" collapsed="false">
      <c r="L993" s="269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67"/>
    </row>
    <row r="994" customFormat="false" ht="15.75" hidden="false" customHeight="false" outlineLevel="0" collapsed="false">
      <c r="L994" s="269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67"/>
    </row>
    <row r="995" customFormat="false" ht="15.75" hidden="false" customHeight="false" outlineLevel="0" collapsed="false">
      <c r="L995" s="269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67"/>
    </row>
    <row r="996" customFormat="false" ht="15.75" hidden="false" customHeight="false" outlineLevel="0" collapsed="false">
      <c r="L996" s="269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67"/>
    </row>
    <row r="997" customFormat="false" ht="15.75" hidden="false" customHeight="false" outlineLevel="0" collapsed="false">
      <c r="L997" s="269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67"/>
    </row>
    <row r="998" customFormat="false" ht="15.75" hidden="false" customHeight="false" outlineLevel="0" collapsed="false">
      <c r="L998" s="269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67"/>
    </row>
    <row r="999" customFormat="false" ht="15.75" hidden="false" customHeight="false" outlineLevel="0" collapsed="false">
      <c r="L999" s="269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67"/>
    </row>
    <row r="1000" customFormat="false" ht="15.75" hidden="false" customHeight="false" outlineLevel="0" collapsed="false">
      <c r="L1000" s="269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67"/>
    </row>
    <row r="1001" customFormat="false" ht="15.75" hidden="false" customHeight="false" outlineLevel="0" collapsed="false">
      <c r="L1001" s="269"/>
      <c r="M1001" s="254"/>
      <c r="N1001" s="254"/>
      <c r="O1001" s="254"/>
      <c r="P1001" s="254"/>
      <c r="Q1001" s="254"/>
      <c r="R1001" s="254"/>
      <c r="S1001" s="254"/>
      <c r="T1001" s="254"/>
      <c r="U1001" s="254"/>
      <c r="V1001" s="254"/>
      <c r="W1001" s="254"/>
      <c r="X1001" s="254"/>
      <c r="Y1001" s="67"/>
    </row>
    <row r="1002" customFormat="false" ht="15.75" hidden="false" customHeight="false" outlineLevel="0" collapsed="false">
      <c r="L1002" s="270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4"/>
    </row>
  </sheetData>
  <mergeCells count="1">
    <mergeCell ref="G4:J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2024-10-16T08:21:08Z</dcterms:modified>
  <cp:revision>1</cp:revision>
  <dc:subject/>
  <dc:title/>
</cp:coreProperties>
</file>